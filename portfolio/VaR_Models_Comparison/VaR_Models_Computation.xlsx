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6.xml" ContentType="application/vnd.openxmlformats-officedocument.drawing+xml"/>
  <Override PartName="/xl/charts/chart2.xml" ContentType="application/vnd.openxmlformats-officedocument.drawingml.chart+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Questa_cartella_di_lavoro"/>
  <mc:AlternateContent xmlns:mc="http://schemas.openxmlformats.org/markup-compatibility/2006">
    <mc:Choice Requires="x15">
      <x15ac:absPath xmlns:x15ac="http://schemas.microsoft.com/office/spreadsheetml/2010/11/ac" url="C:\Users\loren\Downloads\"/>
    </mc:Choice>
  </mc:AlternateContent>
  <xr:revisionPtr revIDLastSave="0" documentId="13_ncr:1_{FEE229C5-52C5-4A1A-BAAC-EAD981C58CC6}" xr6:coauthVersionLast="47" xr6:coauthVersionMax="47" xr10:uidLastSave="{00000000-0000-0000-0000-000000000000}"/>
  <bookViews>
    <workbookView xWindow="-110" yWindow="-110" windowWidth="19420" windowHeight="11500" firstSheet="5" activeTab="10" xr2:uid="{69105FEE-CBF3-478C-B40E-071B5F04BABE}"/>
  </bookViews>
  <sheets>
    <sheet name="Cover" sheetId="14" r:id="rId1"/>
    <sheet name="Summary" sheetId="17" r:id="rId2"/>
    <sheet name="Sheet1" sheetId="16" state="hidden" r:id="rId3"/>
    <sheet name="Inputs --&gt;" sheetId="18" r:id="rId4"/>
    <sheet name="Assumptions" sheetId="13" r:id="rId5"/>
    <sheet name="ZCB rates" sheetId="4" r:id="rId6"/>
    <sheet name="Computations --&gt;" sheetId="19" r:id="rId7"/>
    <sheet name="31Mar24" sheetId="7" r:id="rId8"/>
    <sheet name="30Jun24" sheetId="10" r:id="rId9"/>
    <sheet name="30Sep24" sheetId="11" r:id="rId10"/>
    <sheet name="31Dec24" sheetId="12" r:id="rId11"/>
  </sheets>
  <definedNames>
    <definedName name="CFA">'31Mar24'!#REF!</definedName>
    <definedName name="CFB">'31Mar24'!#REF!</definedName>
    <definedName name="CFC">'31Mar24'!#REF!</definedName>
    <definedName name="CFD">'31Mar24'!#REF!</definedName>
    <definedName name="CFE">'31Mar24'!#REF!</definedName>
    <definedName name="CFF">'31Mar24'!#REF!</definedName>
    <definedName name="CFG">'31Mar24'!#REF!</definedName>
    <definedName name="CFH">'31Mar24'!#REF!</definedName>
    <definedName name="CFI">'31Mar24'!#REF!</definedName>
    <definedName name="Chol" localSheetId="5">'ZCB rates'!#REF!</definedName>
    <definedName name="dates">'ZCB rates'!$B$4:$B$319</definedName>
    <definedName name="days_in_year">Assumptions!$D$14</definedName>
    <definedName name="DeltaT" localSheetId="5">'ZCB rates'!#REF!</definedName>
    <definedName name="EPS" localSheetId="5">'ZCB rates'!#REF!</definedName>
    <definedName name="Hist_conf">#REF!</definedName>
    <definedName name="Lambda">Assumptions!$D$19</definedName>
    <definedName name="Lambda_hyb">#REF!</definedName>
    <definedName name="month_in_a_year">Assumptions!$D$16</definedName>
    <definedName name="months_in_a_year">Assumptions!$D$16</definedName>
    <definedName name="N_obs_EWMA">#REF!</definedName>
    <definedName name="N_obs_hist">#REF!</definedName>
    <definedName name="nodes">#REF!</definedName>
    <definedName name="Par_conf">#REF!</definedName>
    <definedName name="RET_header">'ZCB rates'!$M$3:$Q$3</definedName>
    <definedName name="ZCP_header">'ZCB rates'!$H$3:$L$3</definedName>
    <definedName name="ZCR_header">'ZCB rates'!$R$3:$V$3</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7" l="1" a="1"/>
  <c r="C8" i="17" s="1"/>
  <c r="O143" i="7"/>
  <c r="J80" i="12"/>
  <c r="E73" i="10"/>
  <c r="D73" i="10"/>
  <c r="R130" i="12"/>
  <c r="J80" i="7"/>
  <c r="D113" i="11"/>
  <c r="C113" i="11"/>
  <c r="F64" i="11"/>
  <c r="F65" i="11"/>
  <c r="F61" i="12"/>
  <c r="E59" i="12"/>
  <c r="D59" i="12"/>
  <c r="C59" i="12"/>
  <c r="F35" i="12"/>
  <c r="C43" i="11"/>
  <c r="C67" i="11"/>
  <c r="D35" i="12"/>
  <c r="C35" i="12"/>
  <c r="F67" i="11"/>
  <c r="D67" i="11"/>
  <c r="D43" i="11"/>
  <c r="F43" i="11"/>
  <c r="D61" i="11"/>
  <c r="F32" i="11"/>
  <c r="Q180"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29" i="10"/>
  <c r="P180" i="10"/>
  <c r="P180" i="7"/>
  <c r="I129" i="10"/>
  <c r="F59" i="10"/>
  <c r="D59" i="10"/>
  <c r="F35" i="10"/>
  <c r="D35" i="10"/>
  <c r="C35" i="10"/>
  <c r="J224" i="4"/>
  <c r="C59" i="7"/>
  <c r="D59" i="7"/>
  <c r="D38" i="7"/>
  <c r="C74" i="7"/>
  <c r="M9" i="4"/>
  <c r="H10" i="4"/>
  <c r="H5" i="4"/>
  <c r="M5" i="4" s="1"/>
  <c r="R5" i="4"/>
  <c r="C113" i="7"/>
  <c r="G73" i="12"/>
  <c r="D64" i="12"/>
  <c r="E64" i="12"/>
  <c r="C64" i="12"/>
  <c r="C73" i="12" s="1"/>
  <c r="F40" i="12"/>
  <c r="D40" i="12"/>
  <c r="C40" i="12"/>
  <c r="C64" i="11"/>
  <c r="C40" i="11"/>
  <c r="C73" i="11" s="1"/>
  <c r="F64" i="10"/>
  <c r="D64" i="10"/>
  <c r="F40" i="10"/>
  <c r="D40" i="10"/>
  <c r="C40" i="10"/>
  <c r="C64" i="7"/>
  <c r="E20" i="7"/>
  <c r="G79" i="12"/>
  <c r="G117" i="12" s="1"/>
  <c r="L96" i="12" a="1"/>
  <c r="L96" i="12" l="1"/>
  <c r="F62" i="12"/>
  <c r="F67" i="12" s="1"/>
  <c r="D73" i="12"/>
  <c r="B181" i="12"/>
  <c r="B180" i="12" s="1"/>
  <c r="P180" i="12" s="1"/>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P180" i="11"/>
  <c r="B179" i="11"/>
  <c r="B178" i="11" s="1"/>
  <c r="B177" i="11" s="1"/>
  <c r="B176" i="11" s="1"/>
  <c r="B175" i="11" s="1"/>
  <c r="B174" i="11" s="1"/>
  <c r="B173" i="11" s="1"/>
  <c r="B172" i="11" s="1"/>
  <c r="B171" i="11" s="1"/>
  <c r="B170" i="11" s="1"/>
  <c r="B169" i="11" s="1"/>
  <c r="B168" i="11" s="1"/>
  <c r="B167" i="11" s="1"/>
  <c r="B166" i="11" s="1"/>
  <c r="B165" i="11" s="1"/>
  <c r="P165" i="11" s="1"/>
  <c r="C167" i="11"/>
  <c r="C168" i="11"/>
  <c r="C169" i="11"/>
  <c r="C170" i="11"/>
  <c r="C171" i="11"/>
  <c r="C172" i="11"/>
  <c r="C173" i="11"/>
  <c r="C174" i="11"/>
  <c r="C175" i="11"/>
  <c r="C176" i="11"/>
  <c r="C177" i="11"/>
  <c r="C178" i="11"/>
  <c r="C179" i="11"/>
  <c r="C180" i="11"/>
  <c r="C154" i="12"/>
  <c r="C153" i="12"/>
  <c r="C152" i="12"/>
  <c r="C151" i="12"/>
  <c r="C150" i="12"/>
  <c r="C149" i="12"/>
  <c r="C148" i="12"/>
  <c r="C147" i="12"/>
  <c r="C146" i="12"/>
  <c r="C145" i="12"/>
  <c r="C144" i="12"/>
  <c r="C143" i="12"/>
  <c r="C142" i="12"/>
  <c r="C141" i="12"/>
  <c r="C140" i="12"/>
  <c r="C139" i="12"/>
  <c r="C138" i="12"/>
  <c r="C137" i="12"/>
  <c r="C136" i="12"/>
  <c r="C135" i="12"/>
  <c r="C134" i="12"/>
  <c r="C133" i="12"/>
  <c r="C132" i="12"/>
  <c r="C131" i="12"/>
  <c r="C130" i="12"/>
  <c r="C113" i="12"/>
  <c r="B113" i="12"/>
  <c r="F50" i="12"/>
  <c r="F51" i="12" s="1"/>
  <c r="E50" i="12"/>
  <c r="E51" i="12" s="1"/>
  <c r="D50" i="12"/>
  <c r="D51" i="12" s="1"/>
  <c r="C50" i="12"/>
  <c r="C51" i="12" s="1"/>
  <c r="F26" i="12"/>
  <c r="F27" i="12" s="1"/>
  <c r="E26" i="12"/>
  <c r="E27" i="12" s="1"/>
  <c r="D26" i="12"/>
  <c r="D27" i="12" s="1"/>
  <c r="C26" i="12"/>
  <c r="C27" i="12" s="1"/>
  <c r="B20" i="12"/>
  <c r="G19" i="12"/>
  <c r="F19" i="12"/>
  <c r="E19" i="12"/>
  <c r="D19" i="12"/>
  <c r="C19" i="12"/>
  <c r="G13" i="12"/>
  <c r="F13" i="12"/>
  <c r="E13" i="12"/>
  <c r="D13" i="12"/>
  <c r="D14" i="12" s="1"/>
  <c r="C13" i="12"/>
  <c r="C72" i="12" s="1"/>
  <c r="C71" i="12" s="1"/>
  <c r="P176" i="11" l="1"/>
  <c r="P181" i="12"/>
  <c r="P174" i="11"/>
  <c r="P173" i="11"/>
  <c r="P175" i="11"/>
  <c r="P170" i="11"/>
  <c r="P172" i="11"/>
  <c r="P171" i="11"/>
  <c r="P169" i="11"/>
  <c r="P168" i="11"/>
  <c r="P167" i="11"/>
  <c r="P166" i="11"/>
  <c r="P179" i="11"/>
  <c r="P178" i="11"/>
  <c r="P177" i="11"/>
  <c r="B179" i="12"/>
  <c r="P179" i="12" s="1"/>
  <c r="C14" i="12"/>
  <c r="D72" i="12"/>
  <c r="G14" i="12"/>
  <c r="G72" i="12"/>
  <c r="G71" i="12" s="1"/>
  <c r="E14" i="12"/>
  <c r="E72" i="12"/>
  <c r="E71" i="12" s="1"/>
  <c r="C84" i="12"/>
  <c r="C112" i="12"/>
  <c r="F72" i="12"/>
  <c r="F71" i="12" s="1"/>
  <c r="F14" i="12"/>
  <c r="C166" i="11"/>
  <c r="C165" i="11"/>
  <c r="B164" i="11"/>
  <c r="C164" i="11"/>
  <c r="C163" i="11"/>
  <c r="C162" i="11"/>
  <c r="C161" i="11"/>
  <c r="C160" i="11"/>
  <c r="C159" i="11"/>
  <c r="C158" i="11"/>
  <c r="C157" i="11"/>
  <c r="C156" i="11"/>
  <c r="C155" i="11"/>
  <c r="C154" i="11"/>
  <c r="C153" i="11"/>
  <c r="C152" i="11"/>
  <c r="C151" i="11"/>
  <c r="C150" i="11"/>
  <c r="C149" i="11"/>
  <c r="C148" i="11"/>
  <c r="C147" i="11"/>
  <c r="C146" i="11"/>
  <c r="C145" i="11"/>
  <c r="C144" i="11"/>
  <c r="C143" i="11"/>
  <c r="C142" i="11"/>
  <c r="C141" i="11"/>
  <c r="C140" i="11"/>
  <c r="C139" i="11"/>
  <c r="C138" i="11"/>
  <c r="C137" i="11"/>
  <c r="C136" i="11"/>
  <c r="C135" i="11"/>
  <c r="C134" i="11"/>
  <c r="C133" i="11"/>
  <c r="C132" i="11"/>
  <c r="C131" i="11"/>
  <c r="C130" i="11"/>
  <c r="C129" i="11"/>
  <c r="B113" i="11"/>
  <c r="F50" i="11"/>
  <c r="F51" i="11" s="1"/>
  <c r="E50" i="11"/>
  <c r="E51" i="11" s="1"/>
  <c r="D50" i="11"/>
  <c r="D51" i="11" s="1"/>
  <c r="C50" i="11"/>
  <c r="C51" i="11" s="1"/>
  <c r="G26" i="11"/>
  <c r="G27" i="11" s="1"/>
  <c r="F26" i="11"/>
  <c r="F27" i="11" s="1"/>
  <c r="E26" i="11"/>
  <c r="E27" i="11" s="1"/>
  <c r="D26" i="11"/>
  <c r="D27" i="11" s="1"/>
  <c r="C26" i="11"/>
  <c r="C27" i="11" s="1"/>
  <c r="B20" i="11"/>
  <c r="G19" i="11"/>
  <c r="F19" i="11"/>
  <c r="E19" i="11"/>
  <c r="D19" i="11"/>
  <c r="C19" i="11"/>
  <c r="G13" i="11"/>
  <c r="F13" i="11"/>
  <c r="F14" i="11" s="1"/>
  <c r="E13" i="11"/>
  <c r="E72" i="11" s="1"/>
  <c r="E71" i="11" s="1"/>
  <c r="D13" i="11"/>
  <c r="D72" i="11" s="1"/>
  <c r="D71" i="11" s="1"/>
  <c r="C13" i="11"/>
  <c r="C168" i="10"/>
  <c r="C169" i="10"/>
  <c r="C170" i="10"/>
  <c r="C171" i="10"/>
  <c r="C172" i="10"/>
  <c r="C173" i="10"/>
  <c r="C174" i="10"/>
  <c r="C175" i="10"/>
  <c r="C176" i="10"/>
  <c r="C177" i="10"/>
  <c r="C178" i="10"/>
  <c r="C179" i="10"/>
  <c r="C180" i="10"/>
  <c r="C167" i="10"/>
  <c r="C166" i="10"/>
  <c r="B179"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13" i="10"/>
  <c r="B113" i="10"/>
  <c r="G26" i="10"/>
  <c r="G27" i="10" s="1"/>
  <c r="F26" i="10"/>
  <c r="F27" i="10" s="1"/>
  <c r="E26" i="10"/>
  <c r="E27" i="10" s="1"/>
  <c r="D26" i="10"/>
  <c r="D27" i="10" s="1"/>
  <c r="C26" i="10"/>
  <c r="C27" i="10" s="1"/>
  <c r="B20" i="10"/>
  <c r="F50" i="10"/>
  <c r="F51" i="10" s="1"/>
  <c r="E50" i="10"/>
  <c r="E51" i="10" s="1"/>
  <c r="D50" i="10"/>
  <c r="D51" i="10" s="1"/>
  <c r="C50" i="10"/>
  <c r="C51" i="10" s="1"/>
  <c r="G19" i="10"/>
  <c r="F19" i="10"/>
  <c r="E19" i="10"/>
  <c r="D19" i="10"/>
  <c r="C19" i="10"/>
  <c r="G13" i="10"/>
  <c r="G14" i="10" s="1"/>
  <c r="F13" i="10"/>
  <c r="F72" i="10" s="1"/>
  <c r="E13" i="10"/>
  <c r="E72" i="10" s="1"/>
  <c r="D13" i="10"/>
  <c r="D72" i="10" s="1"/>
  <c r="C13" i="10"/>
  <c r="C14" i="10" s="1"/>
  <c r="R4" i="4"/>
  <c r="S4" i="4"/>
  <c r="T4" i="4"/>
  <c r="U4" i="4"/>
  <c r="V4" i="4"/>
  <c r="B113" i="7"/>
  <c r="G13" i="7"/>
  <c r="G14" i="7" s="1"/>
  <c r="D112" i="12" l="1"/>
  <c r="D71" i="12"/>
  <c r="D84" i="12"/>
  <c r="B163" i="11"/>
  <c r="P163" i="11" s="1"/>
  <c r="P164" i="11"/>
  <c r="E112" i="10"/>
  <c r="E71" i="10"/>
  <c r="D112" i="10"/>
  <c r="D71" i="10"/>
  <c r="F112" i="10"/>
  <c r="F71" i="10"/>
  <c r="C72" i="11"/>
  <c r="C71" i="11" s="1"/>
  <c r="C14" i="11"/>
  <c r="G72" i="11"/>
  <c r="G71" i="11" s="1"/>
  <c r="G14" i="11"/>
  <c r="D14" i="10"/>
  <c r="F14" i="10"/>
  <c r="E14" i="10"/>
  <c r="B178" i="12"/>
  <c r="P178" i="12" s="1"/>
  <c r="F84" i="12"/>
  <c r="F112" i="12"/>
  <c r="E112" i="12"/>
  <c r="E84" i="12"/>
  <c r="G84" i="12"/>
  <c r="G112" i="12"/>
  <c r="F72" i="11"/>
  <c r="F71" i="11" s="1"/>
  <c r="E14" i="11"/>
  <c r="D14" i="11"/>
  <c r="D112" i="11"/>
  <c r="D84" i="11"/>
  <c r="E112" i="11"/>
  <c r="E84" i="11"/>
  <c r="B178" i="10"/>
  <c r="C72" i="10"/>
  <c r="C71" i="10" s="1"/>
  <c r="D84" i="10"/>
  <c r="G72" i="10"/>
  <c r="E84" i="10"/>
  <c r="B179" i="7"/>
  <c r="P179" i="7" s="1"/>
  <c r="C175" i="7"/>
  <c r="C176" i="7"/>
  <c r="C177" i="7"/>
  <c r="C178" i="7"/>
  <c r="C179" i="7"/>
  <c r="C180" i="7"/>
  <c r="C157" i="7"/>
  <c r="C158" i="7"/>
  <c r="C159" i="7"/>
  <c r="C160" i="7"/>
  <c r="C161" i="7"/>
  <c r="C162" i="7"/>
  <c r="C163" i="7"/>
  <c r="C164" i="7"/>
  <c r="C165" i="7"/>
  <c r="C166" i="7"/>
  <c r="C167" i="7"/>
  <c r="C168" i="7"/>
  <c r="C169" i="7"/>
  <c r="C170" i="7"/>
  <c r="C171" i="7"/>
  <c r="C172" i="7"/>
  <c r="C173" i="7"/>
  <c r="C174"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H4" i="4"/>
  <c r="C50" i="7"/>
  <c r="C51" i="7" s="1"/>
  <c r="D50" i="7"/>
  <c r="D51" i="7" s="1"/>
  <c r="E50" i="7"/>
  <c r="E51" i="7" s="1"/>
  <c r="F50" i="7"/>
  <c r="F51" i="7" s="1"/>
  <c r="D26" i="7"/>
  <c r="D27" i="7" s="1"/>
  <c r="E26" i="7"/>
  <c r="E27" i="7" s="1"/>
  <c r="F26" i="7"/>
  <c r="F27" i="7" s="1"/>
  <c r="G26" i="7"/>
  <c r="G27" i="7" s="1"/>
  <c r="S5" i="4"/>
  <c r="T5" i="4"/>
  <c r="U5" i="4"/>
  <c r="V5" i="4"/>
  <c r="S6" i="4"/>
  <c r="T6" i="4"/>
  <c r="U6" i="4"/>
  <c r="V6" i="4"/>
  <c r="S7" i="4"/>
  <c r="T7" i="4"/>
  <c r="U7" i="4"/>
  <c r="V7" i="4"/>
  <c r="S8" i="4"/>
  <c r="T8" i="4"/>
  <c r="U8" i="4"/>
  <c r="V8" i="4"/>
  <c r="S9" i="4"/>
  <c r="T9" i="4"/>
  <c r="U9" i="4"/>
  <c r="V9" i="4"/>
  <c r="S10" i="4"/>
  <c r="T10" i="4"/>
  <c r="U10" i="4"/>
  <c r="V10" i="4"/>
  <c r="S11" i="4"/>
  <c r="T11" i="4"/>
  <c r="U11" i="4"/>
  <c r="V11" i="4"/>
  <c r="S12" i="4"/>
  <c r="T12" i="4"/>
  <c r="U12" i="4"/>
  <c r="V12" i="4"/>
  <c r="S13" i="4"/>
  <c r="T13" i="4"/>
  <c r="U13" i="4"/>
  <c r="V13" i="4"/>
  <c r="S14" i="4"/>
  <c r="T14" i="4"/>
  <c r="U14" i="4"/>
  <c r="V14" i="4"/>
  <c r="S15" i="4"/>
  <c r="T15" i="4"/>
  <c r="U15" i="4"/>
  <c r="V15" i="4"/>
  <c r="S16" i="4"/>
  <c r="T16" i="4"/>
  <c r="U16" i="4"/>
  <c r="V16" i="4"/>
  <c r="S17" i="4"/>
  <c r="T17" i="4"/>
  <c r="U17" i="4"/>
  <c r="V17" i="4"/>
  <c r="S18" i="4"/>
  <c r="T18" i="4"/>
  <c r="U18" i="4"/>
  <c r="V18" i="4"/>
  <c r="S19" i="4"/>
  <c r="T19" i="4"/>
  <c r="U19" i="4"/>
  <c r="V19" i="4"/>
  <c r="S20" i="4"/>
  <c r="T20" i="4"/>
  <c r="U20" i="4"/>
  <c r="V20" i="4"/>
  <c r="S21" i="4"/>
  <c r="T21" i="4"/>
  <c r="U21" i="4"/>
  <c r="V21" i="4"/>
  <c r="S22" i="4"/>
  <c r="T22" i="4"/>
  <c r="U22" i="4"/>
  <c r="V22" i="4"/>
  <c r="S23" i="4"/>
  <c r="T23" i="4"/>
  <c r="U23" i="4"/>
  <c r="V23" i="4"/>
  <c r="S24" i="4"/>
  <c r="T24" i="4"/>
  <c r="U24" i="4"/>
  <c r="V24" i="4"/>
  <c r="S25" i="4"/>
  <c r="T25" i="4"/>
  <c r="U25" i="4"/>
  <c r="V25" i="4"/>
  <c r="S26" i="4"/>
  <c r="T26" i="4"/>
  <c r="U26" i="4"/>
  <c r="V26" i="4"/>
  <c r="S27" i="4"/>
  <c r="T27" i="4"/>
  <c r="U27" i="4"/>
  <c r="V27" i="4"/>
  <c r="S28" i="4"/>
  <c r="T28" i="4"/>
  <c r="U28" i="4"/>
  <c r="V28" i="4"/>
  <c r="S29" i="4"/>
  <c r="T29" i="4"/>
  <c r="U29" i="4"/>
  <c r="V29" i="4"/>
  <c r="S30" i="4"/>
  <c r="T30" i="4"/>
  <c r="U30" i="4"/>
  <c r="V30" i="4"/>
  <c r="S31" i="4"/>
  <c r="T31" i="4"/>
  <c r="U31" i="4"/>
  <c r="V31" i="4"/>
  <c r="S32" i="4"/>
  <c r="T32" i="4"/>
  <c r="U32" i="4"/>
  <c r="V32" i="4"/>
  <c r="S33" i="4"/>
  <c r="T33" i="4"/>
  <c r="U33" i="4"/>
  <c r="V33" i="4"/>
  <c r="S34" i="4"/>
  <c r="T34" i="4"/>
  <c r="U34" i="4"/>
  <c r="V34" i="4"/>
  <c r="S35" i="4"/>
  <c r="T35" i="4"/>
  <c r="U35" i="4"/>
  <c r="V35" i="4"/>
  <c r="S36" i="4"/>
  <c r="T36" i="4"/>
  <c r="U36" i="4"/>
  <c r="V36" i="4"/>
  <c r="S37" i="4"/>
  <c r="T37" i="4"/>
  <c r="U37" i="4"/>
  <c r="V37" i="4"/>
  <c r="S38" i="4"/>
  <c r="T38" i="4"/>
  <c r="U38" i="4"/>
  <c r="V38" i="4"/>
  <c r="S39" i="4"/>
  <c r="T39" i="4"/>
  <c r="U39" i="4"/>
  <c r="V39" i="4"/>
  <c r="S40" i="4"/>
  <c r="T40" i="4"/>
  <c r="U40" i="4"/>
  <c r="V40" i="4"/>
  <c r="S41" i="4"/>
  <c r="T41" i="4"/>
  <c r="U41" i="4"/>
  <c r="V41" i="4"/>
  <c r="S42" i="4"/>
  <c r="T42" i="4"/>
  <c r="U42" i="4"/>
  <c r="V42" i="4"/>
  <c r="S43" i="4"/>
  <c r="T43" i="4"/>
  <c r="U43" i="4"/>
  <c r="V43" i="4"/>
  <c r="S44" i="4"/>
  <c r="T44" i="4"/>
  <c r="U44" i="4"/>
  <c r="V44" i="4"/>
  <c r="S45" i="4"/>
  <c r="T45" i="4"/>
  <c r="U45" i="4"/>
  <c r="V45" i="4"/>
  <c r="S46" i="4"/>
  <c r="T46" i="4"/>
  <c r="U46" i="4"/>
  <c r="V46" i="4"/>
  <c r="S47" i="4"/>
  <c r="T47" i="4"/>
  <c r="U47" i="4"/>
  <c r="V47" i="4"/>
  <c r="S48" i="4"/>
  <c r="T48" i="4"/>
  <c r="U48" i="4"/>
  <c r="V48" i="4"/>
  <c r="S49" i="4"/>
  <c r="T49" i="4"/>
  <c r="U49" i="4"/>
  <c r="V49" i="4"/>
  <c r="S50" i="4"/>
  <c r="T50" i="4"/>
  <c r="U50" i="4"/>
  <c r="V50" i="4"/>
  <c r="S51" i="4"/>
  <c r="T51" i="4"/>
  <c r="U51" i="4"/>
  <c r="V51" i="4"/>
  <c r="S52" i="4"/>
  <c r="T52" i="4"/>
  <c r="U52" i="4"/>
  <c r="V52" i="4"/>
  <c r="S53" i="4"/>
  <c r="T53" i="4"/>
  <c r="U53" i="4"/>
  <c r="V53" i="4"/>
  <c r="S54" i="4"/>
  <c r="T54" i="4"/>
  <c r="U54" i="4"/>
  <c r="V54" i="4"/>
  <c r="S55" i="4"/>
  <c r="T55" i="4"/>
  <c r="U55" i="4"/>
  <c r="V55" i="4"/>
  <c r="S56" i="4"/>
  <c r="T56" i="4"/>
  <c r="U56" i="4"/>
  <c r="V56" i="4"/>
  <c r="S57" i="4"/>
  <c r="T57" i="4"/>
  <c r="U57" i="4"/>
  <c r="V57" i="4"/>
  <c r="S58" i="4"/>
  <c r="T58" i="4"/>
  <c r="U58" i="4"/>
  <c r="V58" i="4"/>
  <c r="S59" i="4"/>
  <c r="T59" i="4"/>
  <c r="U59" i="4"/>
  <c r="V59" i="4"/>
  <c r="S60" i="4"/>
  <c r="T60" i="4"/>
  <c r="U60" i="4"/>
  <c r="V60" i="4"/>
  <c r="S61" i="4"/>
  <c r="T61" i="4"/>
  <c r="U61" i="4"/>
  <c r="V61" i="4"/>
  <c r="S62" i="4"/>
  <c r="T62" i="4"/>
  <c r="U62" i="4"/>
  <c r="V62" i="4"/>
  <c r="S63" i="4"/>
  <c r="T63" i="4"/>
  <c r="U63" i="4"/>
  <c r="V63" i="4"/>
  <c r="S64" i="4"/>
  <c r="T64" i="4"/>
  <c r="U64" i="4"/>
  <c r="V64" i="4"/>
  <c r="S65" i="4"/>
  <c r="T65" i="4"/>
  <c r="U65" i="4"/>
  <c r="V65" i="4"/>
  <c r="S66" i="4"/>
  <c r="T66" i="4"/>
  <c r="U66" i="4"/>
  <c r="V66" i="4"/>
  <c r="S67" i="4"/>
  <c r="T67" i="4"/>
  <c r="U67" i="4"/>
  <c r="V67" i="4"/>
  <c r="S68" i="4"/>
  <c r="T68" i="4"/>
  <c r="U68" i="4"/>
  <c r="V68" i="4"/>
  <c r="S69" i="4"/>
  <c r="T69" i="4"/>
  <c r="U69" i="4"/>
  <c r="V69" i="4"/>
  <c r="S70" i="4"/>
  <c r="T70" i="4"/>
  <c r="U70" i="4"/>
  <c r="V70" i="4"/>
  <c r="S71" i="4"/>
  <c r="T71" i="4"/>
  <c r="U71" i="4"/>
  <c r="V71" i="4"/>
  <c r="S72" i="4"/>
  <c r="T72" i="4"/>
  <c r="U72" i="4"/>
  <c r="V72" i="4"/>
  <c r="S73" i="4"/>
  <c r="T73" i="4"/>
  <c r="U73" i="4"/>
  <c r="V73" i="4"/>
  <c r="S74" i="4"/>
  <c r="T74" i="4"/>
  <c r="U74" i="4"/>
  <c r="V74" i="4"/>
  <c r="S75" i="4"/>
  <c r="T75" i="4"/>
  <c r="U75" i="4"/>
  <c r="V75" i="4"/>
  <c r="S76" i="4"/>
  <c r="T76" i="4"/>
  <c r="U76" i="4"/>
  <c r="V76" i="4"/>
  <c r="S77" i="4"/>
  <c r="T77" i="4"/>
  <c r="U77" i="4"/>
  <c r="V77" i="4"/>
  <c r="S78" i="4"/>
  <c r="T78" i="4"/>
  <c r="U78" i="4"/>
  <c r="V78" i="4"/>
  <c r="S79" i="4"/>
  <c r="T79" i="4"/>
  <c r="U79" i="4"/>
  <c r="V79" i="4"/>
  <c r="S80" i="4"/>
  <c r="T80" i="4"/>
  <c r="U80" i="4"/>
  <c r="V80" i="4"/>
  <c r="S81" i="4"/>
  <c r="T81" i="4"/>
  <c r="U81" i="4"/>
  <c r="V81" i="4"/>
  <c r="S82" i="4"/>
  <c r="T82" i="4"/>
  <c r="U82" i="4"/>
  <c r="V82" i="4"/>
  <c r="S83" i="4"/>
  <c r="T83" i="4"/>
  <c r="U83" i="4"/>
  <c r="V83" i="4"/>
  <c r="S84" i="4"/>
  <c r="T84" i="4"/>
  <c r="U84" i="4"/>
  <c r="V84" i="4"/>
  <c r="S85" i="4"/>
  <c r="T85" i="4"/>
  <c r="U85" i="4"/>
  <c r="V85" i="4"/>
  <c r="S86" i="4"/>
  <c r="T86" i="4"/>
  <c r="U86" i="4"/>
  <c r="V86" i="4"/>
  <c r="S87" i="4"/>
  <c r="T87" i="4"/>
  <c r="U87" i="4"/>
  <c r="V87" i="4"/>
  <c r="S88" i="4"/>
  <c r="T88" i="4"/>
  <c r="U88" i="4"/>
  <c r="V88" i="4"/>
  <c r="S89" i="4"/>
  <c r="T89" i="4"/>
  <c r="U89" i="4"/>
  <c r="V89" i="4"/>
  <c r="S90" i="4"/>
  <c r="T90" i="4"/>
  <c r="U90" i="4"/>
  <c r="V90" i="4"/>
  <c r="S91" i="4"/>
  <c r="T91" i="4"/>
  <c r="U91" i="4"/>
  <c r="V91" i="4"/>
  <c r="S92" i="4"/>
  <c r="T92" i="4"/>
  <c r="U92" i="4"/>
  <c r="V92" i="4"/>
  <c r="S93" i="4"/>
  <c r="T93" i="4"/>
  <c r="U93" i="4"/>
  <c r="V93" i="4"/>
  <c r="S94" i="4"/>
  <c r="T94" i="4"/>
  <c r="U94" i="4"/>
  <c r="V94" i="4"/>
  <c r="S95" i="4"/>
  <c r="T95" i="4"/>
  <c r="U95" i="4"/>
  <c r="V95" i="4"/>
  <c r="S96" i="4"/>
  <c r="T96" i="4"/>
  <c r="U96" i="4"/>
  <c r="V96" i="4"/>
  <c r="S97" i="4"/>
  <c r="T97" i="4"/>
  <c r="U97" i="4"/>
  <c r="V97" i="4"/>
  <c r="S98" i="4"/>
  <c r="T98" i="4"/>
  <c r="U98" i="4"/>
  <c r="V98" i="4"/>
  <c r="S99" i="4"/>
  <c r="T99" i="4"/>
  <c r="U99" i="4"/>
  <c r="V99" i="4"/>
  <c r="S100" i="4"/>
  <c r="T100" i="4"/>
  <c r="U100" i="4"/>
  <c r="V100" i="4"/>
  <c r="S101" i="4"/>
  <c r="T101" i="4"/>
  <c r="U101" i="4"/>
  <c r="V101" i="4"/>
  <c r="S102" i="4"/>
  <c r="T102" i="4"/>
  <c r="U102" i="4"/>
  <c r="V102" i="4"/>
  <c r="S103" i="4"/>
  <c r="T103" i="4"/>
  <c r="U103" i="4"/>
  <c r="V103" i="4"/>
  <c r="S104" i="4"/>
  <c r="T104" i="4"/>
  <c r="U104" i="4"/>
  <c r="V104" i="4"/>
  <c r="S105" i="4"/>
  <c r="T105" i="4"/>
  <c r="U105" i="4"/>
  <c r="V105" i="4"/>
  <c r="S106" i="4"/>
  <c r="T106" i="4"/>
  <c r="U106" i="4"/>
  <c r="V106" i="4"/>
  <c r="S107" i="4"/>
  <c r="T107" i="4"/>
  <c r="U107" i="4"/>
  <c r="V107" i="4"/>
  <c r="S108" i="4"/>
  <c r="T108" i="4"/>
  <c r="U108" i="4"/>
  <c r="V108" i="4"/>
  <c r="S109" i="4"/>
  <c r="T109" i="4"/>
  <c r="U109" i="4"/>
  <c r="V109" i="4"/>
  <c r="S110" i="4"/>
  <c r="T110" i="4"/>
  <c r="U110" i="4"/>
  <c r="V110" i="4"/>
  <c r="S111" i="4"/>
  <c r="T111" i="4"/>
  <c r="U111" i="4"/>
  <c r="V111" i="4"/>
  <c r="S112" i="4"/>
  <c r="T112" i="4"/>
  <c r="U112" i="4"/>
  <c r="V112" i="4"/>
  <c r="S113" i="4"/>
  <c r="T113" i="4"/>
  <c r="U113" i="4"/>
  <c r="V113" i="4"/>
  <c r="S114" i="4"/>
  <c r="T114" i="4"/>
  <c r="U114" i="4"/>
  <c r="V114" i="4"/>
  <c r="S115" i="4"/>
  <c r="T115" i="4"/>
  <c r="U115" i="4"/>
  <c r="V115" i="4"/>
  <c r="S116" i="4"/>
  <c r="T116" i="4"/>
  <c r="U116" i="4"/>
  <c r="V116" i="4"/>
  <c r="S117" i="4"/>
  <c r="T117" i="4"/>
  <c r="U117" i="4"/>
  <c r="V117" i="4"/>
  <c r="S118" i="4"/>
  <c r="T118" i="4"/>
  <c r="U118" i="4"/>
  <c r="V118" i="4"/>
  <c r="S119" i="4"/>
  <c r="T119" i="4"/>
  <c r="U119" i="4"/>
  <c r="V119" i="4"/>
  <c r="S120" i="4"/>
  <c r="T120" i="4"/>
  <c r="U120" i="4"/>
  <c r="V120" i="4"/>
  <c r="S121" i="4"/>
  <c r="T121" i="4"/>
  <c r="U121" i="4"/>
  <c r="V121" i="4"/>
  <c r="S122" i="4"/>
  <c r="T122" i="4"/>
  <c r="U122" i="4"/>
  <c r="V122" i="4"/>
  <c r="S123" i="4"/>
  <c r="T123" i="4"/>
  <c r="U123" i="4"/>
  <c r="V123" i="4"/>
  <c r="S124" i="4"/>
  <c r="T124" i="4"/>
  <c r="U124" i="4"/>
  <c r="V124" i="4"/>
  <c r="S125" i="4"/>
  <c r="T125" i="4"/>
  <c r="U125" i="4"/>
  <c r="V125" i="4"/>
  <c r="S126" i="4"/>
  <c r="T126" i="4"/>
  <c r="U126" i="4"/>
  <c r="V126" i="4"/>
  <c r="S127" i="4"/>
  <c r="T127" i="4"/>
  <c r="U127" i="4"/>
  <c r="V127" i="4"/>
  <c r="S128" i="4"/>
  <c r="T128" i="4"/>
  <c r="U128" i="4"/>
  <c r="V128" i="4"/>
  <c r="S129" i="4"/>
  <c r="T129" i="4"/>
  <c r="U129" i="4"/>
  <c r="V129" i="4"/>
  <c r="S130" i="4"/>
  <c r="T130" i="4"/>
  <c r="U130" i="4"/>
  <c r="V130" i="4"/>
  <c r="S131" i="4"/>
  <c r="T131" i="4"/>
  <c r="U131" i="4"/>
  <c r="V131" i="4"/>
  <c r="S132" i="4"/>
  <c r="T132" i="4"/>
  <c r="U132" i="4"/>
  <c r="V132" i="4"/>
  <c r="S133" i="4"/>
  <c r="T133" i="4"/>
  <c r="U133" i="4"/>
  <c r="V133" i="4"/>
  <c r="S134" i="4"/>
  <c r="T134" i="4"/>
  <c r="U134" i="4"/>
  <c r="V134" i="4"/>
  <c r="S135" i="4"/>
  <c r="T135" i="4"/>
  <c r="U135" i="4"/>
  <c r="V135" i="4"/>
  <c r="S136" i="4"/>
  <c r="T136" i="4"/>
  <c r="U136" i="4"/>
  <c r="V136" i="4"/>
  <c r="S137" i="4"/>
  <c r="T137" i="4"/>
  <c r="U137" i="4"/>
  <c r="V137" i="4"/>
  <c r="S138" i="4"/>
  <c r="T138" i="4"/>
  <c r="U138" i="4"/>
  <c r="V138" i="4"/>
  <c r="S139" i="4"/>
  <c r="T139" i="4"/>
  <c r="U139" i="4"/>
  <c r="V139" i="4"/>
  <c r="S140" i="4"/>
  <c r="T140" i="4"/>
  <c r="U140" i="4"/>
  <c r="V140" i="4"/>
  <c r="S141" i="4"/>
  <c r="T141" i="4"/>
  <c r="U141" i="4"/>
  <c r="V141" i="4"/>
  <c r="S142" i="4"/>
  <c r="T142" i="4"/>
  <c r="U142" i="4"/>
  <c r="V142" i="4"/>
  <c r="S143" i="4"/>
  <c r="T143" i="4"/>
  <c r="U143" i="4"/>
  <c r="V143" i="4"/>
  <c r="S144" i="4"/>
  <c r="T144" i="4"/>
  <c r="U144" i="4"/>
  <c r="V144" i="4"/>
  <c r="S145" i="4"/>
  <c r="T145" i="4"/>
  <c r="U145" i="4"/>
  <c r="V145" i="4"/>
  <c r="S146" i="4"/>
  <c r="T146" i="4"/>
  <c r="U146" i="4"/>
  <c r="V146" i="4"/>
  <c r="S147" i="4"/>
  <c r="T147" i="4"/>
  <c r="U147" i="4"/>
  <c r="V147" i="4"/>
  <c r="S148" i="4"/>
  <c r="T148" i="4"/>
  <c r="U148" i="4"/>
  <c r="V148" i="4"/>
  <c r="S149" i="4"/>
  <c r="T149" i="4"/>
  <c r="U149" i="4"/>
  <c r="V149" i="4"/>
  <c r="S150" i="4"/>
  <c r="T150" i="4"/>
  <c r="U150" i="4"/>
  <c r="V150" i="4"/>
  <c r="S151" i="4"/>
  <c r="T151" i="4"/>
  <c r="U151" i="4"/>
  <c r="V151" i="4"/>
  <c r="S152" i="4"/>
  <c r="T152" i="4"/>
  <c r="U152" i="4"/>
  <c r="V152" i="4"/>
  <c r="S153" i="4"/>
  <c r="T153" i="4"/>
  <c r="U153" i="4"/>
  <c r="V153" i="4"/>
  <c r="S154" i="4"/>
  <c r="T154" i="4"/>
  <c r="U154" i="4"/>
  <c r="V154" i="4"/>
  <c r="S155" i="4"/>
  <c r="T155" i="4"/>
  <c r="U155" i="4"/>
  <c r="V155" i="4"/>
  <c r="S156" i="4"/>
  <c r="T156" i="4"/>
  <c r="U156" i="4"/>
  <c r="V156" i="4"/>
  <c r="S157" i="4"/>
  <c r="T157" i="4"/>
  <c r="U157" i="4"/>
  <c r="V157" i="4"/>
  <c r="S158" i="4"/>
  <c r="T158" i="4"/>
  <c r="U158" i="4"/>
  <c r="V158" i="4"/>
  <c r="S159" i="4"/>
  <c r="T159" i="4"/>
  <c r="U159" i="4"/>
  <c r="V159" i="4"/>
  <c r="S160" i="4"/>
  <c r="T160" i="4"/>
  <c r="U160" i="4"/>
  <c r="V160" i="4"/>
  <c r="S161" i="4"/>
  <c r="T161" i="4"/>
  <c r="U161" i="4"/>
  <c r="V161" i="4"/>
  <c r="S162" i="4"/>
  <c r="T162" i="4"/>
  <c r="U162" i="4"/>
  <c r="V162" i="4"/>
  <c r="S163" i="4"/>
  <c r="T163" i="4"/>
  <c r="U163" i="4"/>
  <c r="V163" i="4"/>
  <c r="S164" i="4"/>
  <c r="T164" i="4"/>
  <c r="U164" i="4"/>
  <c r="V164" i="4"/>
  <c r="S165" i="4"/>
  <c r="T165" i="4"/>
  <c r="U165" i="4"/>
  <c r="V165" i="4"/>
  <c r="S166" i="4"/>
  <c r="T166" i="4"/>
  <c r="U166" i="4"/>
  <c r="V166" i="4"/>
  <c r="S167" i="4"/>
  <c r="T167" i="4"/>
  <c r="U167" i="4"/>
  <c r="V167" i="4"/>
  <c r="S168" i="4"/>
  <c r="T168" i="4"/>
  <c r="U168" i="4"/>
  <c r="V168" i="4"/>
  <c r="S169" i="4"/>
  <c r="T169" i="4"/>
  <c r="U169" i="4"/>
  <c r="V169" i="4"/>
  <c r="S170" i="4"/>
  <c r="T170" i="4"/>
  <c r="U170" i="4"/>
  <c r="V170" i="4"/>
  <c r="S171" i="4"/>
  <c r="T171" i="4"/>
  <c r="U171" i="4"/>
  <c r="V171" i="4"/>
  <c r="S172" i="4"/>
  <c r="T172" i="4"/>
  <c r="U172" i="4"/>
  <c r="V172" i="4"/>
  <c r="S173" i="4"/>
  <c r="T173" i="4"/>
  <c r="U173" i="4"/>
  <c r="V173" i="4"/>
  <c r="S174" i="4"/>
  <c r="T174" i="4"/>
  <c r="U174" i="4"/>
  <c r="V174" i="4"/>
  <c r="S175" i="4"/>
  <c r="T175" i="4"/>
  <c r="U175" i="4"/>
  <c r="V175" i="4"/>
  <c r="S176" i="4"/>
  <c r="T176" i="4"/>
  <c r="U176" i="4"/>
  <c r="V176" i="4"/>
  <c r="S177" i="4"/>
  <c r="T177" i="4"/>
  <c r="U177" i="4"/>
  <c r="V177" i="4"/>
  <c r="S178" i="4"/>
  <c r="T178" i="4"/>
  <c r="U178" i="4"/>
  <c r="V178" i="4"/>
  <c r="S179" i="4"/>
  <c r="T179" i="4"/>
  <c r="U179" i="4"/>
  <c r="V179" i="4"/>
  <c r="S180" i="4"/>
  <c r="T180" i="4"/>
  <c r="U180" i="4"/>
  <c r="V180" i="4"/>
  <c r="S181" i="4"/>
  <c r="T181" i="4"/>
  <c r="U181" i="4"/>
  <c r="V181" i="4"/>
  <c r="S182" i="4"/>
  <c r="T182" i="4"/>
  <c r="U182" i="4"/>
  <c r="V182" i="4"/>
  <c r="S183" i="4"/>
  <c r="T183" i="4"/>
  <c r="U183" i="4"/>
  <c r="V183" i="4"/>
  <c r="S184" i="4"/>
  <c r="T184" i="4"/>
  <c r="U184" i="4"/>
  <c r="V184" i="4"/>
  <c r="S185" i="4"/>
  <c r="T185" i="4"/>
  <c r="U185" i="4"/>
  <c r="V185" i="4"/>
  <c r="S186" i="4"/>
  <c r="T186" i="4"/>
  <c r="U186" i="4"/>
  <c r="V186" i="4"/>
  <c r="S187" i="4"/>
  <c r="T187" i="4"/>
  <c r="U187" i="4"/>
  <c r="V187" i="4"/>
  <c r="S188" i="4"/>
  <c r="T188" i="4"/>
  <c r="U188" i="4"/>
  <c r="V188" i="4"/>
  <c r="S189" i="4"/>
  <c r="T189" i="4"/>
  <c r="U189" i="4"/>
  <c r="V189" i="4"/>
  <c r="S190" i="4"/>
  <c r="T190" i="4"/>
  <c r="U190" i="4"/>
  <c r="V190" i="4"/>
  <c r="S191" i="4"/>
  <c r="T191" i="4"/>
  <c r="U191" i="4"/>
  <c r="V191" i="4"/>
  <c r="S192" i="4"/>
  <c r="T192" i="4"/>
  <c r="U192" i="4"/>
  <c r="V192" i="4"/>
  <c r="S193" i="4"/>
  <c r="T193" i="4"/>
  <c r="U193" i="4"/>
  <c r="V193" i="4"/>
  <c r="S194" i="4"/>
  <c r="T194" i="4"/>
  <c r="U194" i="4"/>
  <c r="V194" i="4"/>
  <c r="S195" i="4"/>
  <c r="T195" i="4"/>
  <c r="U195" i="4"/>
  <c r="V195" i="4"/>
  <c r="S196" i="4"/>
  <c r="T196" i="4"/>
  <c r="U196" i="4"/>
  <c r="V196" i="4"/>
  <c r="S197" i="4"/>
  <c r="T197" i="4"/>
  <c r="U197" i="4"/>
  <c r="V197" i="4"/>
  <c r="S198" i="4"/>
  <c r="T198" i="4"/>
  <c r="U198" i="4"/>
  <c r="V198" i="4"/>
  <c r="S199" i="4"/>
  <c r="T199" i="4"/>
  <c r="U199" i="4"/>
  <c r="V199" i="4"/>
  <c r="S200" i="4"/>
  <c r="T200" i="4"/>
  <c r="U200" i="4"/>
  <c r="V200" i="4"/>
  <c r="S201" i="4"/>
  <c r="T201" i="4"/>
  <c r="U201" i="4"/>
  <c r="V201" i="4"/>
  <c r="S202" i="4"/>
  <c r="T202" i="4"/>
  <c r="U202" i="4"/>
  <c r="V202" i="4"/>
  <c r="S203" i="4"/>
  <c r="T203" i="4"/>
  <c r="U203" i="4"/>
  <c r="V203" i="4"/>
  <c r="S204" i="4"/>
  <c r="T204" i="4"/>
  <c r="U204" i="4"/>
  <c r="V204" i="4"/>
  <c r="S205" i="4"/>
  <c r="T205" i="4"/>
  <c r="U205" i="4"/>
  <c r="V205" i="4"/>
  <c r="S206" i="4"/>
  <c r="T206" i="4"/>
  <c r="U206" i="4"/>
  <c r="V206" i="4"/>
  <c r="S207" i="4"/>
  <c r="T207" i="4"/>
  <c r="U207" i="4"/>
  <c r="V207" i="4"/>
  <c r="S208" i="4"/>
  <c r="T208" i="4"/>
  <c r="U208" i="4"/>
  <c r="V208" i="4"/>
  <c r="S209" i="4"/>
  <c r="T209" i="4"/>
  <c r="U209" i="4"/>
  <c r="V209" i="4"/>
  <c r="S210" i="4"/>
  <c r="T210" i="4"/>
  <c r="U210" i="4"/>
  <c r="V210" i="4"/>
  <c r="S211" i="4"/>
  <c r="T211" i="4"/>
  <c r="U211" i="4"/>
  <c r="V211" i="4"/>
  <c r="S212" i="4"/>
  <c r="T212" i="4"/>
  <c r="U212" i="4"/>
  <c r="V212" i="4"/>
  <c r="S213" i="4"/>
  <c r="T213" i="4"/>
  <c r="U213" i="4"/>
  <c r="V213" i="4"/>
  <c r="S214" i="4"/>
  <c r="T214" i="4"/>
  <c r="U214" i="4"/>
  <c r="V214" i="4"/>
  <c r="S215" i="4"/>
  <c r="T215" i="4"/>
  <c r="U215" i="4"/>
  <c r="V215" i="4"/>
  <c r="S216" i="4"/>
  <c r="T216" i="4"/>
  <c r="U216" i="4"/>
  <c r="V216" i="4"/>
  <c r="S217" i="4"/>
  <c r="T217" i="4"/>
  <c r="U217" i="4"/>
  <c r="V217" i="4"/>
  <c r="S218" i="4"/>
  <c r="T218" i="4"/>
  <c r="U218" i="4"/>
  <c r="V218" i="4"/>
  <c r="S219" i="4"/>
  <c r="T219" i="4"/>
  <c r="U219" i="4"/>
  <c r="V219" i="4"/>
  <c r="S220" i="4"/>
  <c r="T220" i="4"/>
  <c r="U220" i="4"/>
  <c r="V220" i="4"/>
  <c r="S221" i="4"/>
  <c r="T221" i="4"/>
  <c r="U221" i="4"/>
  <c r="V221" i="4"/>
  <c r="S222" i="4"/>
  <c r="T222" i="4"/>
  <c r="U222" i="4"/>
  <c r="V222" i="4"/>
  <c r="S223" i="4"/>
  <c r="T223" i="4"/>
  <c r="U223" i="4"/>
  <c r="V223" i="4"/>
  <c r="S224" i="4"/>
  <c r="T224" i="4"/>
  <c r="U224" i="4"/>
  <c r="V224" i="4"/>
  <c r="S225" i="4"/>
  <c r="D20" i="7" s="1"/>
  <c r="T225" i="4"/>
  <c r="U225" i="4"/>
  <c r="F20" i="7" s="1"/>
  <c r="V225" i="4"/>
  <c r="G20" i="7" s="1"/>
  <c r="S226" i="4"/>
  <c r="T226" i="4"/>
  <c r="U226" i="4"/>
  <c r="V226" i="4"/>
  <c r="S227" i="4"/>
  <c r="T227" i="4"/>
  <c r="U227" i="4"/>
  <c r="V227" i="4"/>
  <c r="S228" i="4"/>
  <c r="T228" i="4"/>
  <c r="U228" i="4"/>
  <c r="V228" i="4"/>
  <c r="S229" i="4"/>
  <c r="T229" i="4"/>
  <c r="U229" i="4"/>
  <c r="V229" i="4"/>
  <c r="S230" i="4"/>
  <c r="T230" i="4"/>
  <c r="U230" i="4"/>
  <c r="V230" i="4"/>
  <c r="S231" i="4"/>
  <c r="T231" i="4"/>
  <c r="U231" i="4"/>
  <c r="V231" i="4"/>
  <c r="S232" i="4"/>
  <c r="T232" i="4"/>
  <c r="U232" i="4"/>
  <c r="V232" i="4"/>
  <c r="S233" i="4"/>
  <c r="T233" i="4"/>
  <c r="U233" i="4"/>
  <c r="V233" i="4"/>
  <c r="S234" i="4"/>
  <c r="T234" i="4"/>
  <c r="U234" i="4"/>
  <c r="V234" i="4"/>
  <c r="S235" i="4"/>
  <c r="T235" i="4"/>
  <c r="U235" i="4"/>
  <c r="V235" i="4"/>
  <c r="S236" i="4"/>
  <c r="T236" i="4"/>
  <c r="U236" i="4"/>
  <c r="V236" i="4"/>
  <c r="S237" i="4"/>
  <c r="T237" i="4"/>
  <c r="U237" i="4"/>
  <c r="V237" i="4"/>
  <c r="S238" i="4"/>
  <c r="D20" i="10" s="1"/>
  <c r="T238" i="4"/>
  <c r="E20" i="10" s="1"/>
  <c r="U238" i="4"/>
  <c r="F20" i="10" s="1"/>
  <c r="V238" i="4"/>
  <c r="G20" i="10" s="1"/>
  <c r="G33" i="10" s="1"/>
  <c r="S239" i="4"/>
  <c r="T239" i="4"/>
  <c r="U239" i="4"/>
  <c r="V239" i="4"/>
  <c r="S240" i="4"/>
  <c r="T240" i="4"/>
  <c r="U240" i="4"/>
  <c r="V240" i="4"/>
  <c r="S241" i="4"/>
  <c r="T241" i="4"/>
  <c r="U241" i="4"/>
  <c r="V241" i="4"/>
  <c r="S242" i="4"/>
  <c r="T242" i="4"/>
  <c r="U242" i="4"/>
  <c r="V242" i="4"/>
  <c r="S243" i="4"/>
  <c r="T243" i="4"/>
  <c r="U243" i="4"/>
  <c r="V243" i="4"/>
  <c r="S244" i="4"/>
  <c r="T244" i="4"/>
  <c r="U244" i="4"/>
  <c r="V244" i="4"/>
  <c r="S245" i="4"/>
  <c r="T245" i="4"/>
  <c r="U245" i="4"/>
  <c r="V245" i="4"/>
  <c r="S246" i="4"/>
  <c r="T246" i="4"/>
  <c r="U246" i="4"/>
  <c r="V246" i="4"/>
  <c r="S247" i="4"/>
  <c r="T247" i="4"/>
  <c r="U247" i="4"/>
  <c r="V247" i="4"/>
  <c r="S248" i="4"/>
  <c r="T248" i="4"/>
  <c r="U248" i="4"/>
  <c r="V248" i="4"/>
  <c r="S249" i="4"/>
  <c r="T249" i="4"/>
  <c r="U249" i="4"/>
  <c r="V249" i="4"/>
  <c r="S250" i="4"/>
  <c r="T250" i="4"/>
  <c r="U250" i="4"/>
  <c r="V250" i="4"/>
  <c r="S251" i="4"/>
  <c r="T251" i="4"/>
  <c r="U251" i="4"/>
  <c r="V251" i="4"/>
  <c r="S252" i="4"/>
  <c r="D20" i="11" s="1"/>
  <c r="C59" i="11" s="1"/>
  <c r="T252" i="4"/>
  <c r="E20" i="11" s="1"/>
  <c r="U252" i="4"/>
  <c r="F20" i="11" s="1"/>
  <c r="V252" i="4"/>
  <c r="G20" i="11" s="1"/>
  <c r="S253" i="4"/>
  <c r="T253" i="4"/>
  <c r="U253" i="4"/>
  <c r="V253" i="4"/>
  <c r="S254" i="4"/>
  <c r="T254" i="4"/>
  <c r="U254" i="4"/>
  <c r="V254" i="4"/>
  <c r="S255" i="4"/>
  <c r="T255" i="4"/>
  <c r="U255" i="4"/>
  <c r="V255" i="4"/>
  <c r="S256" i="4"/>
  <c r="T256" i="4"/>
  <c r="U256" i="4"/>
  <c r="V256" i="4"/>
  <c r="S257" i="4"/>
  <c r="T257" i="4"/>
  <c r="U257" i="4"/>
  <c r="V257" i="4"/>
  <c r="S258" i="4"/>
  <c r="T258" i="4"/>
  <c r="U258" i="4"/>
  <c r="V258" i="4"/>
  <c r="S259" i="4"/>
  <c r="T259" i="4"/>
  <c r="U259" i="4"/>
  <c r="V259" i="4"/>
  <c r="S260" i="4"/>
  <c r="T260" i="4"/>
  <c r="U260" i="4"/>
  <c r="V260" i="4"/>
  <c r="S261" i="4"/>
  <c r="T261" i="4"/>
  <c r="U261" i="4"/>
  <c r="V261" i="4"/>
  <c r="S262" i="4"/>
  <c r="T262" i="4"/>
  <c r="U262" i="4"/>
  <c r="V262" i="4"/>
  <c r="S263" i="4"/>
  <c r="T263" i="4"/>
  <c r="U263" i="4"/>
  <c r="V263" i="4"/>
  <c r="S264" i="4"/>
  <c r="T264" i="4"/>
  <c r="U264" i="4"/>
  <c r="V264" i="4"/>
  <c r="S265" i="4"/>
  <c r="D20" i="12" s="1"/>
  <c r="T265" i="4"/>
  <c r="E20" i="12" s="1"/>
  <c r="U265" i="4"/>
  <c r="F20" i="12" s="1"/>
  <c r="V265" i="4"/>
  <c r="G20" i="12" s="1"/>
  <c r="S266" i="4"/>
  <c r="T266" i="4"/>
  <c r="U266" i="4"/>
  <c r="V266" i="4"/>
  <c r="S267" i="4"/>
  <c r="T267" i="4"/>
  <c r="U267" i="4"/>
  <c r="V267" i="4"/>
  <c r="S268" i="4"/>
  <c r="T268" i="4"/>
  <c r="U268" i="4"/>
  <c r="V268" i="4"/>
  <c r="S269" i="4"/>
  <c r="T269" i="4"/>
  <c r="U269" i="4"/>
  <c r="V269" i="4"/>
  <c r="S270" i="4"/>
  <c r="T270" i="4"/>
  <c r="U270" i="4"/>
  <c r="V270" i="4"/>
  <c r="S271" i="4"/>
  <c r="T271" i="4"/>
  <c r="U271" i="4"/>
  <c r="V271" i="4"/>
  <c r="S272" i="4"/>
  <c r="T272" i="4"/>
  <c r="U272" i="4"/>
  <c r="V272" i="4"/>
  <c r="S273" i="4"/>
  <c r="T273" i="4"/>
  <c r="U273" i="4"/>
  <c r="V273" i="4"/>
  <c r="S274" i="4"/>
  <c r="T274" i="4"/>
  <c r="U274" i="4"/>
  <c r="V274" i="4"/>
  <c r="S275" i="4"/>
  <c r="T275" i="4"/>
  <c r="U275" i="4"/>
  <c r="V275" i="4"/>
  <c r="S276" i="4"/>
  <c r="T276" i="4"/>
  <c r="U276" i="4"/>
  <c r="V276" i="4"/>
  <c r="S277" i="4"/>
  <c r="T277" i="4"/>
  <c r="U277" i="4"/>
  <c r="V277" i="4"/>
  <c r="S278" i="4"/>
  <c r="T278" i="4"/>
  <c r="U278" i="4"/>
  <c r="V278" i="4"/>
  <c r="S279" i="4"/>
  <c r="T279" i="4"/>
  <c r="U279" i="4"/>
  <c r="V279" i="4"/>
  <c r="S280" i="4"/>
  <c r="T280" i="4"/>
  <c r="U280" i="4"/>
  <c r="V280" i="4"/>
  <c r="S281" i="4"/>
  <c r="T281" i="4"/>
  <c r="U281" i="4"/>
  <c r="V281" i="4"/>
  <c r="S282" i="4"/>
  <c r="T282" i="4"/>
  <c r="U282" i="4"/>
  <c r="V282" i="4"/>
  <c r="S283" i="4"/>
  <c r="T283" i="4"/>
  <c r="U283" i="4"/>
  <c r="V283" i="4"/>
  <c r="S284" i="4"/>
  <c r="T284" i="4"/>
  <c r="U284" i="4"/>
  <c r="V284" i="4"/>
  <c r="S285" i="4"/>
  <c r="T285" i="4"/>
  <c r="U285" i="4"/>
  <c r="V285" i="4"/>
  <c r="S286" i="4"/>
  <c r="T286" i="4"/>
  <c r="U286" i="4"/>
  <c r="V286" i="4"/>
  <c r="S287" i="4"/>
  <c r="T287" i="4"/>
  <c r="U287" i="4"/>
  <c r="V287" i="4"/>
  <c r="S288" i="4"/>
  <c r="T288" i="4"/>
  <c r="U288" i="4"/>
  <c r="V288" i="4"/>
  <c r="S289" i="4"/>
  <c r="T289" i="4"/>
  <c r="U289" i="4"/>
  <c r="V289" i="4"/>
  <c r="S290" i="4"/>
  <c r="T290" i="4"/>
  <c r="U290" i="4"/>
  <c r="V290" i="4"/>
  <c r="S291" i="4"/>
  <c r="T291" i="4"/>
  <c r="U291" i="4"/>
  <c r="V291" i="4"/>
  <c r="S292" i="4"/>
  <c r="T292" i="4"/>
  <c r="U292" i="4"/>
  <c r="V292" i="4"/>
  <c r="S293" i="4"/>
  <c r="T293" i="4"/>
  <c r="U293" i="4"/>
  <c r="V293" i="4"/>
  <c r="S294" i="4"/>
  <c r="T294" i="4"/>
  <c r="U294" i="4"/>
  <c r="V294" i="4"/>
  <c r="S295" i="4"/>
  <c r="T295" i="4"/>
  <c r="U295" i="4"/>
  <c r="V295" i="4"/>
  <c r="S296" i="4"/>
  <c r="T296" i="4"/>
  <c r="U296" i="4"/>
  <c r="V296" i="4"/>
  <c r="S297" i="4"/>
  <c r="T297" i="4"/>
  <c r="U297" i="4"/>
  <c r="V297" i="4"/>
  <c r="S298" i="4"/>
  <c r="T298" i="4"/>
  <c r="U298" i="4"/>
  <c r="V298" i="4"/>
  <c r="S299" i="4"/>
  <c r="T299" i="4"/>
  <c r="U299" i="4"/>
  <c r="V299" i="4"/>
  <c r="S300" i="4"/>
  <c r="T300" i="4"/>
  <c r="U300" i="4"/>
  <c r="V300" i="4"/>
  <c r="S301" i="4"/>
  <c r="T301" i="4"/>
  <c r="U301" i="4"/>
  <c r="V301" i="4"/>
  <c r="S302" i="4"/>
  <c r="T302" i="4"/>
  <c r="U302" i="4"/>
  <c r="V302" i="4"/>
  <c r="S303" i="4"/>
  <c r="T303" i="4"/>
  <c r="U303" i="4"/>
  <c r="V303" i="4"/>
  <c r="S304" i="4"/>
  <c r="T304" i="4"/>
  <c r="U304" i="4"/>
  <c r="V304" i="4"/>
  <c r="S305" i="4"/>
  <c r="T305" i="4"/>
  <c r="U305" i="4"/>
  <c r="V305" i="4"/>
  <c r="S306" i="4"/>
  <c r="T306" i="4"/>
  <c r="U306" i="4"/>
  <c r="V306" i="4"/>
  <c r="S307" i="4"/>
  <c r="T307" i="4"/>
  <c r="U307" i="4"/>
  <c r="V307" i="4"/>
  <c r="S308" i="4"/>
  <c r="T308" i="4"/>
  <c r="U308" i="4"/>
  <c r="V308" i="4"/>
  <c r="S309" i="4"/>
  <c r="T309" i="4"/>
  <c r="U309" i="4"/>
  <c r="V309" i="4"/>
  <c r="S310" i="4"/>
  <c r="T310" i="4"/>
  <c r="U310" i="4"/>
  <c r="V310" i="4"/>
  <c r="S311" i="4"/>
  <c r="T311" i="4"/>
  <c r="U311" i="4"/>
  <c r="V311" i="4"/>
  <c r="S312" i="4"/>
  <c r="T312" i="4"/>
  <c r="U312" i="4"/>
  <c r="V312" i="4"/>
  <c r="S313" i="4"/>
  <c r="T313" i="4"/>
  <c r="U313" i="4"/>
  <c r="V313" i="4"/>
  <c r="S314" i="4"/>
  <c r="T314" i="4"/>
  <c r="U314" i="4"/>
  <c r="V314" i="4"/>
  <c r="S315" i="4"/>
  <c r="T315" i="4"/>
  <c r="U315" i="4"/>
  <c r="V315" i="4"/>
  <c r="S316" i="4"/>
  <c r="T316" i="4"/>
  <c r="U316" i="4"/>
  <c r="V316" i="4"/>
  <c r="S317" i="4"/>
  <c r="T317" i="4"/>
  <c r="U317" i="4"/>
  <c r="V317" i="4"/>
  <c r="S318" i="4"/>
  <c r="T318" i="4"/>
  <c r="U318" i="4"/>
  <c r="V318" i="4"/>
  <c r="S319" i="4"/>
  <c r="T319" i="4"/>
  <c r="U319" i="4"/>
  <c r="V319"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C20" i="7" s="1"/>
  <c r="R226" i="4"/>
  <c r="R227" i="4"/>
  <c r="R228" i="4"/>
  <c r="R229" i="4"/>
  <c r="R230" i="4"/>
  <c r="R231" i="4"/>
  <c r="R232" i="4"/>
  <c r="R233" i="4"/>
  <c r="R234" i="4"/>
  <c r="R235" i="4"/>
  <c r="R236" i="4"/>
  <c r="R237" i="4"/>
  <c r="R238" i="4"/>
  <c r="C20" i="10" s="1"/>
  <c r="R239" i="4"/>
  <c r="R240" i="4"/>
  <c r="R241" i="4"/>
  <c r="R242" i="4"/>
  <c r="R243" i="4"/>
  <c r="R244" i="4"/>
  <c r="R245" i="4"/>
  <c r="R246" i="4"/>
  <c r="R247" i="4"/>
  <c r="R248" i="4"/>
  <c r="R249" i="4"/>
  <c r="R250" i="4"/>
  <c r="R251" i="4"/>
  <c r="R252" i="4"/>
  <c r="C20" i="11" s="1"/>
  <c r="C35" i="11" s="1"/>
  <c r="R253" i="4"/>
  <c r="R254" i="4"/>
  <c r="R255" i="4"/>
  <c r="R256" i="4"/>
  <c r="R257" i="4"/>
  <c r="R258" i="4"/>
  <c r="R259" i="4"/>
  <c r="R260" i="4"/>
  <c r="R261" i="4"/>
  <c r="R262" i="4"/>
  <c r="R263" i="4"/>
  <c r="R264" i="4"/>
  <c r="R265" i="4"/>
  <c r="C20" i="12" s="1"/>
  <c r="C75" i="12" s="1"/>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D19" i="7"/>
  <c r="E19" i="7"/>
  <c r="F19" i="7"/>
  <c r="G19" i="7"/>
  <c r="C19" i="7"/>
  <c r="C26" i="7"/>
  <c r="C27" i="7" s="1"/>
  <c r="B20" i="7"/>
  <c r="J5" i="4"/>
  <c r="H7" i="4"/>
  <c r="K7" i="4"/>
  <c r="H8" i="4"/>
  <c r="K8" i="4"/>
  <c r="I13" i="4"/>
  <c r="K13" i="4"/>
  <c r="L13" i="4"/>
  <c r="J14" i="4"/>
  <c r="H16" i="4"/>
  <c r="K17" i="4"/>
  <c r="H20" i="4"/>
  <c r="J20" i="4"/>
  <c r="I21" i="4"/>
  <c r="J21" i="4"/>
  <c r="J22" i="4"/>
  <c r="K24" i="4"/>
  <c r="K25" i="4"/>
  <c r="P25" i="4" s="1"/>
  <c r="H26" i="4"/>
  <c r="L26" i="4"/>
  <c r="H27" i="4"/>
  <c r="I27" i="4"/>
  <c r="K27" i="4"/>
  <c r="K29" i="4"/>
  <c r="H30" i="4"/>
  <c r="I30" i="4"/>
  <c r="J30" i="4"/>
  <c r="H31" i="4"/>
  <c r="H32" i="4"/>
  <c r="K33" i="4"/>
  <c r="I34" i="4"/>
  <c r="J34" i="4"/>
  <c r="L34" i="4"/>
  <c r="J36" i="4"/>
  <c r="L36" i="4"/>
  <c r="J37" i="4"/>
  <c r="L39" i="4"/>
  <c r="H40" i="4"/>
  <c r="J40" i="4"/>
  <c r="K40" i="4"/>
  <c r="L42" i="4"/>
  <c r="H43" i="4"/>
  <c r="I43" i="4"/>
  <c r="L43" i="4"/>
  <c r="I46" i="4"/>
  <c r="J46" i="4"/>
  <c r="K46" i="4"/>
  <c r="L46" i="4"/>
  <c r="H47" i="4"/>
  <c r="J47" i="4"/>
  <c r="K47" i="4"/>
  <c r="H48" i="4"/>
  <c r="K49" i="4"/>
  <c r="I50" i="4"/>
  <c r="I51" i="4"/>
  <c r="N51" i="4" s="1"/>
  <c r="J51" i="4"/>
  <c r="L51" i="4"/>
  <c r="H53" i="4"/>
  <c r="J53" i="4"/>
  <c r="K55" i="4"/>
  <c r="H56" i="4"/>
  <c r="K56" i="4"/>
  <c r="H57" i="4"/>
  <c r="I57" i="4"/>
  <c r="K57" i="4"/>
  <c r="L58" i="4"/>
  <c r="H59" i="4"/>
  <c r="I59" i="4"/>
  <c r="L59" i="4"/>
  <c r="H62" i="4"/>
  <c r="I62" i="4"/>
  <c r="J62" i="4"/>
  <c r="K62" i="4"/>
  <c r="H64" i="4"/>
  <c r="K64" i="4"/>
  <c r="L64" i="4"/>
  <c r="I65" i="4"/>
  <c r="K65" i="4"/>
  <c r="I66" i="4"/>
  <c r="J68" i="4"/>
  <c r="K68" i="4"/>
  <c r="L68" i="4"/>
  <c r="J69" i="4"/>
  <c r="H72" i="4"/>
  <c r="K72" i="4"/>
  <c r="H73" i="4"/>
  <c r="I73" i="4"/>
  <c r="K73" i="4"/>
  <c r="I75" i="4"/>
  <c r="N75" i="4" s="1"/>
  <c r="J75" i="4"/>
  <c r="K75" i="4"/>
  <c r="L75" i="4"/>
  <c r="H76" i="4"/>
  <c r="H79" i="4"/>
  <c r="I81" i="4"/>
  <c r="K81" i="4"/>
  <c r="I82" i="4"/>
  <c r="J84" i="4"/>
  <c r="K84" i="4"/>
  <c r="L84" i="4"/>
  <c r="J85" i="4"/>
  <c r="L85" i="4"/>
  <c r="J86" i="4"/>
  <c r="H88" i="4"/>
  <c r="I90" i="4"/>
  <c r="J90" i="4"/>
  <c r="I91" i="4"/>
  <c r="J91" i="4"/>
  <c r="O91" i="4" s="1"/>
  <c r="K91" i="4"/>
  <c r="L91" i="4"/>
  <c r="J94" i="4"/>
  <c r="L94" i="4"/>
  <c r="H95" i="4"/>
  <c r="I97" i="4"/>
  <c r="J97" i="4"/>
  <c r="K97" i="4"/>
  <c r="L97" i="4"/>
  <c r="I98" i="4"/>
  <c r="J100" i="4"/>
  <c r="K100" i="4"/>
  <c r="L100" i="4"/>
  <c r="I101" i="4"/>
  <c r="J101" i="4"/>
  <c r="K101" i="4"/>
  <c r="L101" i="4"/>
  <c r="K103" i="4"/>
  <c r="H104" i="4"/>
  <c r="K104" i="4"/>
  <c r="P104" i="4" s="1"/>
  <c r="K105" i="4"/>
  <c r="H107" i="4"/>
  <c r="I107" i="4"/>
  <c r="J107" i="4"/>
  <c r="K107" i="4"/>
  <c r="L107" i="4"/>
  <c r="H108" i="4"/>
  <c r="I108" i="4"/>
  <c r="J110" i="4"/>
  <c r="H111" i="4"/>
  <c r="J113" i="4"/>
  <c r="K113" i="4"/>
  <c r="L113" i="4"/>
  <c r="I114" i="4"/>
  <c r="I115" i="4"/>
  <c r="K115" i="4"/>
  <c r="L116" i="4"/>
  <c r="H117" i="4"/>
  <c r="M117" i="4" s="1"/>
  <c r="J117" i="4"/>
  <c r="J118" i="4"/>
  <c r="O118" i="4" s="1"/>
  <c r="K120" i="4"/>
  <c r="H121" i="4"/>
  <c r="I121" i="4"/>
  <c r="I122" i="4"/>
  <c r="I123" i="4"/>
  <c r="K123" i="4"/>
  <c r="L123" i="4"/>
  <c r="L124" i="4"/>
  <c r="H126" i="4"/>
  <c r="J126" i="4"/>
  <c r="H127" i="4"/>
  <c r="I127" i="4"/>
  <c r="J127" i="4"/>
  <c r="K127" i="4"/>
  <c r="H128" i="4"/>
  <c r="I129" i="4"/>
  <c r="K130" i="4"/>
  <c r="L130" i="4"/>
  <c r="I131" i="4"/>
  <c r="K131" i="4"/>
  <c r="J132" i="4"/>
  <c r="K132" i="4"/>
  <c r="L132" i="4"/>
  <c r="J133" i="4"/>
  <c r="J134" i="4"/>
  <c r="L134" i="4"/>
  <c r="H135" i="4"/>
  <c r="J135" i="4"/>
  <c r="K135" i="4"/>
  <c r="H136" i="4"/>
  <c r="I136" i="4"/>
  <c r="K136" i="4"/>
  <c r="I137" i="4"/>
  <c r="K137" i="4"/>
  <c r="L138" i="4"/>
  <c r="I139" i="4"/>
  <c r="J139" i="4"/>
  <c r="K139" i="4"/>
  <c r="L140" i="4"/>
  <c r="J141" i="4"/>
  <c r="K141" i="4"/>
  <c r="I142" i="4"/>
  <c r="J142" i="4"/>
  <c r="H143" i="4"/>
  <c r="L144" i="4"/>
  <c r="H145" i="4"/>
  <c r="I145" i="4"/>
  <c r="K145" i="4"/>
  <c r="L145" i="4"/>
  <c r="I146" i="4"/>
  <c r="K148" i="4"/>
  <c r="L148" i="4"/>
  <c r="H149" i="4"/>
  <c r="I149" i="4"/>
  <c r="J149" i="4"/>
  <c r="I151" i="4"/>
  <c r="J151" i="4"/>
  <c r="K151" i="4"/>
  <c r="L151" i="4"/>
  <c r="H152" i="4"/>
  <c r="K152" i="4"/>
  <c r="L154" i="4"/>
  <c r="H155" i="4"/>
  <c r="I155" i="4"/>
  <c r="J155" i="4"/>
  <c r="L155" i="4"/>
  <c r="I156" i="4"/>
  <c r="H158" i="4"/>
  <c r="J158" i="4"/>
  <c r="L158" i="4"/>
  <c r="H159" i="4"/>
  <c r="H160" i="4"/>
  <c r="I161" i="4"/>
  <c r="J161" i="4"/>
  <c r="K161" i="4"/>
  <c r="I162" i="4"/>
  <c r="K164" i="4"/>
  <c r="L164" i="4"/>
  <c r="I165" i="4"/>
  <c r="J165" i="4"/>
  <c r="K165" i="4"/>
  <c r="J166" i="4"/>
  <c r="H168" i="4"/>
  <c r="I168" i="4"/>
  <c r="K168" i="4"/>
  <c r="H169" i="4"/>
  <c r="K169" i="4"/>
  <c r="H170" i="4"/>
  <c r="I170" i="4"/>
  <c r="J171" i="4"/>
  <c r="K171" i="4"/>
  <c r="L171" i="4"/>
  <c r="J173" i="4"/>
  <c r="K173" i="4"/>
  <c r="J174" i="4"/>
  <c r="H175" i="4"/>
  <c r="J175" i="4"/>
  <c r="H176" i="4"/>
  <c r="I177" i="4"/>
  <c r="K177" i="4"/>
  <c r="I178" i="4"/>
  <c r="K178" i="4"/>
  <c r="K179" i="4"/>
  <c r="L179" i="4"/>
  <c r="L182" i="4"/>
  <c r="K183" i="4"/>
  <c r="L183" i="4"/>
  <c r="H184" i="4"/>
  <c r="K184" i="4"/>
  <c r="H185" i="4"/>
  <c r="M185" i="4" s="1"/>
  <c r="L186" i="4"/>
  <c r="H187" i="4"/>
  <c r="I187" i="4"/>
  <c r="L187" i="4"/>
  <c r="L188" i="4"/>
  <c r="I190" i="4"/>
  <c r="J190" i="4"/>
  <c r="K190" i="4"/>
  <c r="L190" i="4"/>
  <c r="H192" i="4"/>
  <c r="L192" i="4"/>
  <c r="H193" i="4"/>
  <c r="I193" i="4"/>
  <c r="J193" i="4"/>
  <c r="K193" i="4"/>
  <c r="I194" i="4"/>
  <c r="J196" i="4"/>
  <c r="L196" i="4"/>
  <c r="H197" i="4"/>
  <c r="I197" i="4"/>
  <c r="J197" i="4"/>
  <c r="K199" i="4"/>
  <c r="H200" i="4"/>
  <c r="I200" i="4"/>
  <c r="J200" i="4"/>
  <c r="K200" i="4"/>
  <c r="L202" i="4"/>
  <c r="I203" i="4"/>
  <c r="L203" i="4"/>
  <c r="I204" i="4"/>
  <c r="N204" i="4" s="1"/>
  <c r="J204" i="4"/>
  <c r="I206" i="4"/>
  <c r="J206" i="4"/>
  <c r="K206" i="4"/>
  <c r="L206" i="4"/>
  <c r="H207" i="4"/>
  <c r="J209" i="4"/>
  <c r="K209" i="4"/>
  <c r="L209" i="4"/>
  <c r="H210" i="4"/>
  <c r="I210" i="4"/>
  <c r="J210" i="4"/>
  <c r="K210" i="4"/>
  <c r="L210" i="4"/>
  <c r="I211" i="4"/>
  <c r="L212" i="4"/>
  <c r="J213" i="4"/>
  <c r="K213" i="4"/>
  <c r="L213" i="4"/>
  <c r="H214" i="4"/>
  <c r="M215" i="4" s="1"/>
  <c r="J214" i="4"/>
  <c r="L215" i="4"/>
  <c r="H216" i="4"/>
  <c r="I216" i="4"/>
  <c r="K216" i="4"/>
  <c r="K217" i="4"/>
  <c r="H218" i="4"/>
  <c r="M218" i="4" s="1"/>
  <c r="I218" i="4"/>
  <c r="I219" i="4"/>
  <c r="J219" i="4"/>
  <c r="L219" i="4"/>
  <c r="H220" i="4"/>
  <c r="I220" i="4"/>
  <c r="J220" i="4"/>
  <c r="L220" i="4"/>
  <c r="K222" i="4"/>
  <c r="H223" i="4"/>
  <c r="J223" i="4"/>
  <c r="K224" i="4"/>
  <c r="L224" i="4"/>
  <c r="Q224" i="4" s="1"/>
  <c r="K225" i="4"/>
  <c r="F74" i="7" s="1"/>
  <c r="F114" i="7" s="1"/>
  <c r="I226" i="4"/>
  <c r="I227" i="4"/>
  <c r="J227" i="4"/>
  <c r="K227" i="4"/>
  <c r="J228" i="4"/>
  <c r="L228" i="4"/>
  <c r="J229" i="4"/>
  <c r="K231" i="4"/>
  <c r="L231" i="4"/>
  <c r="K233" i="4"/>
  <c r="H234" i="4"/>
  <c r="H235" i="4"/>
  <c r="I235" i="4"/>
  <c r="L235" i="4"/>
  <c r="L236" i="4"/>
  <c r="Q236" i="4" s="1"/>
  <c r="K237" i="4"/>
  <c r="H238" i="4"/>
  <c r="C74" i="10" s="1"/>
  <c r="J238" i="4"/>
  <c r="E74" i="10" s="1"/>
  <c r="E114" i="10" s="1"/>
  <c r="K238" i="4"/>
  <c r="H239" i="4"/>
  <c r="K239" i="4"/>
  <c r="I240" i="4"/>
  <c r="J240" i="4"/>
  <c r="I241" i="4"/>
  <c r="J241" i="4"/>
  <c r="K241" i="4"/>
  <c r="L241" i="4"/>
  <c r="H242" i="4"/>
  <c r="H244" i="4"/>
  <c r="J244" i="4"/>
  <c r="K244" i="4"/>
  <c r="L244" i="4"/>
  <c r="H245" i="4"/>
  <c r="J245" i="4"/>
  <c r="L246" i="4"/>
  <c r="H247" i="4"/>
  <c r="K247" i="4"/>
  <c r="H248" i="4"/>
  <c r="M248" i="4" s="1"/>
  <c r="I248" i="4"/>
  <c r="K248" i="4"/>
  <c r="H250" i="4"/>
  <c r="I250" i="4"/>
  <c r="L250" i="4"/>
  <c r="H251" i="4"/>
  <c r="I251" i="4"/>
  <c r="J251" i="4"/>
  <c r="L251" i="4"/>
  <c r="J253" i="4"/>
  <c r="L253" i="4"/>
  <c r="H254" i="4"/>
  <c r="I254" i="4"/>
  <c r="J254" i="4"/>
  <c r="L254" i="4"/>
  <c r="H255" i="4"/>
  <c r="J255" i="4"/>
  <c r="K255" i="4"/>
  <c r="I257" i="4"/>
  <c r="K257" i="4"/>
  <c r="I258" i="4"/>
  <c r="K258" i="4"/>
  <c r="I259" i="4"/>
  <c r="I260" i="4"/>
  <c r="J260" i="4"/>
  <c r="K260" i="4"/>
  <c r="L260" i="4"/>
  <c r="J261" i="4"/>
  <c r="J262" i="4"/>
  <c r="K263" i="4"/>
  <c r="L263" i="4"/>
  <c r="H264" i="4"/>
  <c r="I264" i="4"/>
  <c r="J264" i="4"/>
  <c r="K264" i="4"/>
  <c r="L264" i="4"/>
  <c r="H265" i="4"/>
  <c r="C74" i="12" s="1"/>
  <c r="H267" i="4"/>
  <c r="I267" i="4"/>
  <c r="J267" i="4"/>
  <c r="L267" i="4"/>
  <c r="L268" i="4"/>
  <c r="I269" i="4"/>
  <c r="J269" i="4"/>
  <c r="J270" i="4"/>
  <c r="K270" i="4"/>
  <c r="H271" i="4"/>
  <c r="I271" i="4"/>
  <c r="K271" i="4"/>
  <c r="H272" i="4"/>
  <c r="L273" i="4"/>
  <c r="H274" i="4"/>
  <c r="I274" i="4"/>
  <c r="J274" i="4"/>
  <c r="K275" i="4"/>
  <c r="H276" i="4"/>
  <c r="I276" i="4"/>
  <c r="L276" i="4"/>
  <c r="I277" i="4"/>
  <c r="J277" i="4"/>
  <c r="K277" i="4"/>
  <c r="L277" i="4"/>
  <c r="H278" i="4"/>
  <c r="J278" i="4"/>
  <c r="K279" i="4"/>
  <c r="H280" i="4"/>
  <c r="I280" i="4"/>
  <c r="K280" i="4"/>
  <c r="L280" i="4"/>
  <c r="H281" i="4"/>
  <c r="K281" i="4"/>
  <c r="L282" i="4"/>
  <c r="H284" i="4"/>
  <c r="J284" i="4"/>
  <c r="L284" i="4"/>
  <c r="H286" i="4"/>
  <c r="I286" i="4"/>
  <c r="J286" i="4"/>
  <c r="H287" i="4"/>
  <c r="I289" i="4"/>
  <c r="K289" i="4"/>
  <c r="L289" i="4"/>
  <c r="I290" i="4"/>
  <c r="J292" i="4"/>
  <c r="K292" i="4"/>
  <c r="L292" i="4"/>
  <c r="H293" i="4"/>
  <c r="L293" i="4"/>
  <c r="J294" i="4"/>
  <c r="K295" i="4"/>
  <c r="P295" i="4" s="1"/>
  <c r="H296" i="4"/>
  <c r="J296" i="4"/>
  <c r="K296" i="4"/>
  <c r="L298" i="4"/>
  <c r="H299" i="4"/>
  <c r="I299" i="4"/>
  <c r="J299" i="4"/>
  <c r="L299" i="4"/>
  <c r="I301" i="4"/>
  <c r="J301" i="4"/>
  <c r="K301" i="4"/>
  <c r="L301" i="4"/>
  <c r="I302" i="4"/>
  <c r="J302" i="4"/>
  <c r="K302" i="4"/>
  <c r="L302" i="4"/>
  <c r="H303" i="4"/>
  <c r="I305" i="4"/>
  <c r="J305" i="4"/>
  <c r="K305" i="4"/>
  <c r="L305" i="4"/>
  <c r="I306" i="4"/>
  <c r="K306" i="4"/>
  <c r="L306" i="4"/>
  <c r="K307" i="4"/>
  <c r="J308" i="4"/>
  <c r="L308" i="4"/>
  <c r="J309" i="4"/>
  <c r="J310" i="4"/>
  <c r="K311" i="4"/>
  <c r="L311" i="4"/>
  <c r="H312" i="4"/>
  <c r="I312" i="4"/>
  <c r="K312" i="4"/>
  <c r="L312" i="4"/>
  <c r="I313" i="4"/>
  <c r="K313" i="4"/>
  <c r="H315" i="4"/>
  <c r="I315" i="4"/>
  <c r="J315" i="4"/>
  <c r="L315" i="4"/>
  <c r="I318" i="4"/>
  <c r="J318" i="4"/>
  <c r="K318" i="4"/>
  <c r="H319" i="4"/>
  <c r="I319" i="4"/>
  <c r="J319" i="4"/>
  <c r="K319" i="4"/>
  <c r="I5" i="4"/>
  <c r="K5" i="4"/>
  <c r="L5" i="4"/>
  <c r="H6" i="4"/>
  <c r="M6" i="4" s="1"/>
  <c r="I6" i="4"/>
  <c r="J6" i="4"/>
  <c r="K6" i="4"/>
  <c r="L6" i="4"/>
  <c r="I7" i="4"/>
  <c r="J7" i="4"/>
  <c r="L7" i="4"/>
  <c r="I8" i="4"/>
  <c r="J8" i="4"/>
  <c r="L8" i="4"/>
  <c r="H9" i="4"/>
  <c r="I9" i="4"/>
  <c r="J9" i="4"/>
  <c r="K9" i="4"/>
  <c r="L9" i="4"/>
  <c r="I10" i="4"/>
  <c r="J10" i="4"/>
  <c r="K10" i="4"/>
  <c r="P10" i="4" s="1"/>
  <c r="L10" i="4"/>
  <c r="H11" i="4"/>
  <c r="I11" i="4"/>
  <c r="J11" i="4"/>
  <c r="K11" i="4"/>
  <c r="L11" i="4"/>
  <c r="H12" i="4"/>
  <c r="I12" i="4"/>
  <c r="J12" i="4"/>
  <c r="K12" i="4"/>
  <c r="P12" i="4" s="1"/>
  <c r="L12" i="4"/>
  <c r="H13" i="4"/>
  <c r="J13" i="4"/>
  <c r="H14" i="4"/>
  <c r="I14" i="4"/>
  <c r="K14" i="4"/>
  <c r="L14" i="4"/>
  <c r="H15" i="4"/>
  <c r="I15" i="4"/>
  <c r="J15" i="4"/>
  <c r="O15" i="4" s="1"/>
  <c r="K15" i="4"/>
  <c r="L15" i="4"/>
  <c r="I16" i="4"/>
  <c r="J16" i="4"/>
  <c r="K16" i="4"/>
  <c r="L16" i="4"/>
  <c r="H17" i="4"/>
  <c r="I17" i="4"/>
  <c r="J17" i="4"/>
  <c r="L17" i="4"/>
  <c r="Q17" i="4" s="1"/>
  <c r="H18" i="4"/>
  <c r="I18" i="4"/>
  <c r="J18" i="4"/>
  <c r="K18" i="4"/>
  <c r="L18" i="4"/>
  <c r="H19" i="4"/>
  <c r="I19" i="4"/>
  <c r="J19" i="4"/>
  <c r="K19" i="4"/>
  <c r="L19" i="4"/>
  <c r="Q19" i="4" s="1"/>
  <c r="I20" i="4"/>
  <c r="K20" i="4"/>
  <c r="L20" i="4"/>
  <c r="H21" i="4"/>
  <c r="K21" i="4"/>
  <c r="L21" i="4"/>
  <c r="H22" i="4"/>
  <c r="I22" i="4"/>
  <c r="K22" i="4"/>
  <c r="L22" i="4"/>
  <c r="Q22" i="4" s="1"/>
  <c r="H23" i="4"/>
  <c r="I23" i="4"/>
  <c r="J23" i="4"/>
  <c r="K23" i="4"/>
  <c r="L23" i="4"/>
  <c r="H24" i="4"/>
  <c r="I24" i="4"/>
  <c r="J24" i="4"/>
  <c r="L24" i="4"/>
  <c r="H25" i="4"/>
  <c r="M25" i="4" s="1"/>
  <c r="I25" i="4"/>
  <c r="J25" i="4"/>
  <c r="L25" i="4"/>
  <c r="I26" i="4"/>
  <c r="J26" i="4"/>
  <c r="K26" i="4"/>
  <c r="J27" i="4"/>
  <c r="L27" i="4"/>
  <c r="H28" i="4"/>
  <c r="M29" i="4" s="1"/>
  <c r="I28" i="4"/>
  <c r="J28" i="4"/>
  <c r="K28" i="4"/>
  <c r="L28" i="4"/>
  <c r="H29" i="4"/>
  <c r="I29" i="4"/>
  <c r="J29" i="4"/>
  <c r="L29" i="4"/>
  <c r="K30" i="4"/>
  <c r="L30" i="4"/>
  <c r="Q30" i="4" s="1"/>
  <c r="I31" i="4"/>
  <c r="J31" i="4"/>
  <c r="K31" i="4"/>
  <c r="L31" i="4"/>
  <c r="I32" i="4"/>
  <c r="J32" i="4"/>
  <c r="K32" i="4"/>
  <c r="L32" i="4"/>
  <c r="H33" i="4"/>
  <c r="I33" i="4"/>
  <c r="J33" i="4"/>
  <c r="O33" i="4" s="1"/>
  <c r="L33" i="4"/>
  <c r="H34" i="4"/>
  <c r="K34" i="4"/>
  <c r="H35" i="4"/>
  <c r="I35" i="4"/>
  <c r="J35" i="4"/>
  <c r="K35" i="4"/>
  <c r="L35" i="4"/>
  <c r="H36" i="4"/>
  <c r="M36" i="4" s="1"/>
  <c r="I36" i="4"/>
  <c r="N36" i="4" s="1"/>
  <c r="K36" i="4"/>
  <c r="H37" i="4"/>
  <c r="I37" i="4"/>
  <c r="K37" i="4"/>
  <c r="L37" i="4"/>
  <c r="H38" i="4"/>
  <c r="I38" i="4"/>
  <c r="J38" i="4"/>
  <c r="K38" i="4"/>
  <c r="L38" i="4"/>
  <c r="Q38" i="4" s="1"/>
  <c r="H39" i="4"/>
  <c r="I39" i="4"/>
  <c r="J39" i="4"/>
  <c r="K39" i="4"/>
  <c r="I40" i="4"/>
  <c r="L40" i="4"/>
  <c r="H41" i="4"/>
  <c r="I41" i="4"/>
  <c r="J41" i="4"/>
  <c r="K41" i="4"/>
  <c r="L41" i="4"/>
  <c r="H42" i="4"/>
  <c r="I42" i="4"/>
  <c r="J42" i="4"/>
  <c r="K42" i="4"/>
  <c r="J43" i="4"/>
  <c r="K43" i="4"/>
  <c r="H44" i="4"/>
  <c r="I44" i="4"/>
  <c r="J44" i="4"/>
  <c r="K44" i="4"/>
  <c r="L44" i="4"/>
  <c r="H45" i="4"/>
  <c r="I45" i="4"/>
  <c r="J45" i="4"/>
  <c r="K45" i="4"/>
  <c r="L45" i="4"/>
  <c r="H46" i="4"/>
  <c r="I47" i="4"/>
  <c r="L47" i="4"/>
  <c r="I48" i="4"/>
  <c r="J48" i="4"/>
  <c r="K48" i="4"/>
  <c r="L48" i="4"/>
  <c r="H49" i="4"/>
  <c r="I49" i="4"/>
  <c r="J49" i="4"/>
  <c r="L49" i="4"/>
  <c r="H50" i="4"/>
  <c r="J50" i="4"/>
  <c r="K50" i="4"/>
  <c r="L50" i="4"/>
  <c r="H51" i="4"/>
  <c r="K51" i="4"/>
  <c r="H52" i="4"/>
  <c r="I52" i="4"/>
  <c r="N52" i="4" s="1"/>
  <c r="J52" i="4"/>
  <c r="O52" i="4" s="1"/>
  <c r="K52" i="4"/>
  <c r="L52" i="4"/>
  <c r="Q52" i="4" s="1"/>
  <c r="I53" i="4"/>
  <c r="N53" i="4" s="1"/>
  <c r="K53" i="4"/>
  <c r="L53" i="4"/>
  <c r="H54" i="4"/>
  <c r="I54" i="4"/>
  <c r="J54" i="4"/>
  <c r="K54" i="4"/>
  <c r="L54" i="4"/>
  <c r="H55" i="4"/>
  <c r="I55" i="4"/>
  <c r="J55" i="4"/>
  <c r="O55" i="4" s="1"/>
  <c r="L55" i="4"/>
  <c r="I56" i="4"/>
  <c r="J56" i="4"/>
  <c r="L56" i="4"/>
  <c r="J57" i="4"/>
  <c r="L57" i="4"/>
  <c r="H58" i="4"/>
  <c r="I58" i="4"/>
  <c r="J58" i="4"/>
  <c r="K58" i="4"/>
  <c r="P58" i="4" s="1"/>
  <c r="J59" i="4"/>
  <c r="K59" i="4"/>
  <c r="H60" i="4"/>
  <c r="I60" i="4"/>
  <c r="J60" i="4"/>
  <c r="K60" i="4"/>
  <c r="L60" i="4"/>
  <c r="H61" i="4"/>
  <c r="I61" i="4"/>
  <c r="J61" i="4"/>
  <c r="O61" i="4" s="1"/>
  <c r="K61" i="4"/>
  <c r="L61" i="4"/>
  <c r="L62" i="4"/>
  <c r="H63" i="4"/>
  <c r="I63" i="4"/>
  <c r="J63" i="4"/>
  <c r="K63" i="4"/>
  <c r="L63" i="4"/>
  <c r="I64" i="4"/>
  <c r="J64" i="4"/>
  <c r="O64" i="4" s="1"/>
  <c r="H65" i="4"/>
  <c r="M65" i="4" s="1"/>
  <c r="J65" i="4"/>
  <c r="L65" i="4"/>
  <c r="H66" i="4"/>
  <c r="J66" i="4"/>
  <c r="K66" i="4"/>
  <c r="L66" i="4"/>
  <c r="H67" i="4"/>
  <c r="I67" i="4"/>
  <c r="J67" i="4"/>
  <c r="O67" i="4" s="1"/>
  <c r="K67" i="4"/>
  <c r="L67" i="4"/>
  <c r="H68" i="4"/>
  <c r="I68" i="4"/>
  <c r="H69" i="4"/>
  <c r="I69" i="4"/>
  <c r="K69" i="4"/>
  <c r="L69" i="4"/>
  <c r="H70" i="4"/>
  <c r="I70" i="4"/>
  <c r="N70" i="4" s="1"/>
  <c r="J70" i="4"/>
  <c r="K70" i="4"/>
  <c r="L70" i="4"/>
  <c r="H71" i="4"/>
  <c r="I71" i="4"/>
  <c r="J71" i="4"/>
  <c r="K71" i="4"/>
  <c r="L71" i="4"/>
  <c r="I72" i="4"/>
  <c r="J72" i="4"/>
  <c r="O72" i="4" s="1"/>
  <c r="L72" i="4"/>
  <c r="J73" i="4"/>
  <c r="L73" i="4"/>
  <c r="H74" i="4"/>
  <c r="I74" i="4"/>
  <c r="J74" i="4"/>
  <c r="K74" i="4"/>
  <c r="L74" i="4"/>
  <c r="H75" i="4"/>
  <c r="I76" i="4"/>
  <c r="N76" i="4" s="1"/>
  <c r="J76" i="4"/>
  <c r="O76" i="4" s="1"/>
  <c r="K76" i="4"/>
  <c r="P76" i="4" s="1"/>
  <c r="L76" i="4"/>
  <c r="Q76" i="4" s="1"/>
  <c r="H77" i="4"/>
  <c r="M77" i="4" s="1"/>
  <c r="I77" i="4"/>
  <c r="J77" i="4"/>
  <c r="K77" i="4"/>
  <c r="L77" i="4"/>
  <c r="H78" i="4"/>
  <c r="I78" i="4"/>
  <c r="N78" i="4" s="1"/>
  <c r="J78" i="4"/>
  <c r="K78" i="4"/>
  <c r="L78" i="4"/>
  <c r="I79" i="4"/>
  <c r="J79" i="4"/>
  <c r="K79" i="4"/>
  <c r="L79" i="4"/>
  <c r="H80" i="4"/>
  <c r="I80" i="4"/>
  <c r="J80" i="4"/>
  <c r="O80" i="4" s="1"/>
  <c r="K80" i="4"/>
  <c r="L80" i="4"/>
  <c r="H81" i="4"/>
  <c r="J81" i="4"/>
  <c r="L81" i="4"/>
  <c r="H82" i="4"/>
  <c r="J82" i="4"/>
  <c r="K82" i="4"/>
  <c r="L82" i="4"/>
  <c r="H83" i="4"/>
  <c r="M83" i="4" s="1"/>
  <c r="I83" i="4"/>
  <c r="J83" i="4"/>
  <c r="K83" i="4"/>
  <c r="L83" i="4"/>
  <c r="H84" i="4"/>
  <c r="I84" i="4"/>
  <c r="H85" i="4"/>
  <c r="I85" i="4"/>
  <c r="K85" i="4"/>
  <c r="H86" i="4"/>
  <c r="I86" i="4"/>
  <c r="K86" i="4"/>
  <c r="L86" i="4"/>
  <c r="Q86" i="4" s="1"/>
  <c r="H87" i="4"/>
  <c r="I87" i="4"/>
  <c r="J87" i="4"/>
  <c r="K87" i="4"/>
  <c r="L87" i="4"/>
  <c r="I88" i="4"/>
  <c r="J88" i="4"/>
  <c r="K88" i="4"/>
  <c r="L88" i="4"/>
  <c r="H89" i="4"/>
  <c r="I89" i="4"/>
  <c r="J89" i="4"/>
  <c r="K89" i="4"/>
  <c r="L89" i="4"/>
  <c r="H90" i="4"/>
  <c r="K90" i="4"/>
  <c r="L90" i="4"/>
  <c r="H91" i="4"/>
  <c r="H92" i="4"/>
  <c r="I92" i="4"/>
  <c r="J92" i="4"/>
  <c r="K92" i="4"/>
  <c r="L92" i="4"/>
  <c r="H93" i="4"/>
  <c r="I93" i="4"/>
  <c r="J93" i="4"/>
  <c r="K93" i="4"/>
  <c r="P93" i="4" s="1"/>
  <c r="L93" i="4"/>
  <c r="H94" i="4"/>
  <c r="I94" i="4"/>
  <c r="K94" i="4"/>
  <c r="I95" i="4"/>
  <c r="J95" i="4"/>
  <c r="K95" i="4"/>
  <c r="L95" i="4"/>
  <c r="H96" i="4"/>
  <c r="I96" i="4"/>
  <c r="N96" i="4" s="1"/>
  <c r="J96" i="4"/>
  <c r="K96" i="4"/>
  <c r="L96" i="4"/>
  <c r="H97" i="4"/>
  <c r="H98" i="4"/>
  <c r="J98" i="4"/>
  <c r="O98" i="4" s="1"/>
  <c r="K98" i="4"/>
  <c r="P98" i="4" s="1"/>
  <c r="L98" i="4"/>
  <c r="Q98" i="4" s="1"/>
  <c r="H99" i="4"/>
  <c r="I99" i="4"/>
  <c r="J99" i="4"/>
  <c r="K99" i="4"/>
  <c r="L99" i="4"/>
  <c r="H100" i="4"/>
  <c r="I100" i="4"/>
  <c r="H101" i="4"/>
  <c r="H102" i="4"/>
  <c r="I102" i="4"/>
  <c r="J102" i="4"/>
  <c r="O102" i="4" s="1"/>
  <c r="K102" i="4"/>
  <c r="P102" i="4" s="1"/>
  <c r="L102" i="4"/>
  <c r="H103" i="4"/>
  <c r="I103" i="4"/>
  <c r="J103" i="4"/>
  <c r="L103" i="4"/>
  <c r="I104" i="4"/>
  <c r="J104" i="4"/>
  <c r="L104" i="4"/>
  <c r="H105" i="4"/>
  <c r="M105" i="4" s="1"/>
  <c r="I105" i="4"/>
  <c r="J105" i="4"/>
  <c r="L105" i="4"/>
  <c r="H106" i="4"/>
  <c r="I106" i="4"/>
  <c r="J106" i="4"/>
  <c r="K106" i="4"/>
  <c r="L106" i="4"/>
  <c r="J108" i="4"/>
  <c r="K108" i="4"/>
  <c r="P108" i="4" s="1"/>
  <c r="L108" i="4"/>
  <c r="Q108" i="4" s="1"/>
  <c r="H109" i="4"/>
  <c r="I109" i="4"/>
  <c r="J109" i="4"/>
  <c r="K109" i="4"/>
  <c r="L109" i="4"/>
  <c r="H110" i="4"/>
  <c r="I110" i="4"/>
  <c r="K110" i="4"/>
  <c r="L110" i="4"/>
  <c r="I111" i="4"/>
  <c r="J111" i="4"/>
  <c r="K111" i="4"/>
  <c r="L111" i="4"/>
  <c r="H112" i="4"/>
  <c r="I112" i="4"/>
  <c r="J112" i="4"/>
  <c r="K112" i="4"/>
  <c r="L112" i="4"/>
  <c r="H113" i="4"/>
  <c r="I113" i="4"/>
  <c r="N113" i="4" s="1"/>
  <c r="H114" i="4"/>
  <c r="J114" i="4"/>
  <c r="K114" i="4"/>
  <c r="L114" i="4"/>
  <c r="H115" i="4"/>
  <c r="J115" i="4"/>
  <c r="L115" i="4"/>
  <c r="H116" i="4"/>
  <c r="I116" i="4"/>
  <c r="N116" i="4" s="1"/>
  <c r="J116" i="4"/>
  <c r="K116" i="4"/>
  <c r="P116" i="4" s="1"/>
  <c r="I117" i="4"/>
  <c r="K117" i="4"/>
  <c r="L117" i="4"/>
  <c r="H118" i="4"/>
  <c r="I118" i="4"/>
  <c r="K118" i="4"/>
  <c r="L118" i="4"/>
  <c r="H119" i="4"/>
  <c r="I119" i="4"/>
  <c r="J119" i="4"/>
  <c r="K119" i="4"/>
  <c r="L119" i="4"/>
  <c r="H120" i="4"/>
  <c r="I120" i="4"/>
  <c r="J120" i="4"/>
  <c r="L120" i="4"/>
  <c r="J121" i="4"/>
  <c r="K121" i="4"/>
  <c r="L121" i="4"/>
  <c r="H122" i="4"/>
  <c r="M122" i="4" s="1"/>
  <c r="J122" i="4"/>
  <c r="K122" i="4"/>
  <c r="L122" i="4"/>
  <c r="H123" i="4"/>
  <c r="J123" i="4"/>
  <c r="H124" i="4"/>
  <c r="I124" i="4"/>
  <c r="J124" i="4"/>
  <c r="K124" i="4"/>
  <c r="P124" i="4" s="1"/>
  <c r="H125" i="4"/>
  <c r="I125" i="4"/>
  <c r="J125" i="4"/>
  <c r="K125" i="4"/>
  <c r="L125" i="4"/>
  <c r="I126" i="4"/>
  <c r="K126" i="4"/>
  <c r="L126" i="4"/>
  <c r="L127" i="4"/>
  <c r="Q127" i="4" s="1"/>
  <c r="I128" i="4"/>
  <c r="J128" i="4"/>
  <c r="O128" i="4" s="1"/>
  <c r="K128" i="4"/>
  <c r="L128" i="4"/>
  <c r="H129" i="4"/>
  <c r="M129" i="4" s="1"/>
  <c r="J129" i="4"/>
  <c r="K129" i="4"/>
  <c r="L129" i="4"/>
  <c r="H130" i="4"/>
  <c r="I130" i="4"/>
  <c r="N130" i="4" s="1"/>
  <c r="J130" i="4"/>
  <c r="O130" i="4" s="1"/>
  <c r="H131" i="4"/>
  <c r="J131" i="4"/>
  <c r="L131" i="4"/>
  <c r="H132" i="4"/>
  <c r="I132" i="4"/>
  <c r="H133" i="4"/>
  <c r="I133" i="4"/>
  <c r="K133" i="4"/>
  <c r="L133" i="4"/>
  <c r="H134" i="4"/>
  <c r="I134" i="4"/>
  <c r="K134" i="4"/>
  <c r="I135" i="4"/>
  <c r="L135" i="4"/>
  <c r="J136" i="4"/>
  <c r="L136" i="4"/>
  <c r="H137" i="4"/>
  <c r="J137" i="4"/>
  <c r="L137" i="4"/>
  <c r="H138" i="4"/>
  <c r="I138" i="4"/>
  <c r="J138" i="4"/>
  <c r="K138" i="4"/>
  <c r="P138" i="4" s="1"/>
  <c r="H139" i="4"/>
  <c r="L139" i="4"/>
  <c r="H140" i="4"/>
  <c r="I140" i="4"/>
  <c r="J140" i="4"/>
  <c r="K140" i="4"/>
  <c r="P140" i="4" s="1"/>
  <c r="H141" i="4"/>
  <c r="I141" i="4"/>
  <c r="L141" i="4"/>
  <c r="H142" i="4"/>
  <c r="K142" i="4"/>
  <c r="L142" i="4"/>
  <c r="I143" i="4"/>
  <c r="J143" i="4"/>
  <c r="K143" i="4"/>
  <c r="L143" i="4"/>
  <c r="H144" i="4"/>
  <c r="M145" i="4" s="1"/>
  <c r="I144" i="4"/>
  <c r="J144" i="4"/>
  <c r="K144" i="4"/>
  <c r="J145" i="4"/>
  <c r="H146" i="4"/>
  <c r="M146" i="4" s="1"/>
  <c r="J146" i="4"/>
  <c r="K146" i="4"/>
  <c r="P146" i="4" s="1"/>
  <c r="L146" i="4"/>
  <c r="Q146" i="4" s="1"/>
  <c r="H147" i="4"/>
  <c r="I147" i="4"/>
  <c r="J147" i="4"/>
  <c r="K147" i="4"/>
  <c r="L147" i="4"/>
  <c r="H148" i="4"/>
  <c r="I148" i="4"/>
  <c r="J148" i="4"/>
  <c r="K149" i="4"/>
  <c r="L149" i="4"/>
  <c r="H150" i="4"/>
  <c r="I150" i="4"/>
  <c r="J150" i="4"/>
  <c r="K150" i="4"/>
  <c r="L150" i="4"/>
  <c r="H151" i="4"/>
  <c r="I152" i="4"/>
  <c r="N152" i="4" s="1"/>
  <c r="J152" i="4"/>
  <c r="O152" i="4" s="1"/>
  <c r="L152" i="4"/>
  <c r="Q152" i="4" s="1"/>
  <c r="H153" i="4"/>
  <c r="I153" i="4"/>
  <c r="J153" i="4"/>
  <c r="K153" i="4"/>
  <c r="L153" i="4"/>
  <c r="H154" i="4"/>
  <c r="I154" i="4"/>
  <c r="J154" i="4"/>
  <c r="K154" i="4"/>
  <c r="K155" i="4"/>
  <c r="H156" i="4"/>
  <c r="J156" i="4"/>
  <c r="O156" i="4" s="1"/>
  <c r="K156" i="4"/>
  <c r="L156" i="4"/>
  <c r="Q156" i="4" s="1"/>
  <c r="H157" i="4"/>
  <c r="I157" i="4"/>
  <c r="J157" i="4"/>
  <c r="K157" i="4"/>
  <c r="L157" i="4"/>
  <c r="I158" i="4"/>
  <c r="K158" i="4"/>
  <c r="I159" i="4"/>
  <c r="J159" i="4"/>
  <c r="K159" i="4"/>
  <c r="L159" i="4"/>
  <c r="I160" i="4"/>
  <c r="J160" i="4"/>
  <c r="K160" i="4"/>
  <c r="L160" i="4"/>
  <c r="H161" i="4"/>
  <c r="L161" i="4"/>
  <c r="H162" i="4"/>
  <c r="J162" i="4"/>
  <c r="O163" i="4" s="1"/>
  <c r="K162" i="4"/>
  <c r="L162" i="4"/>
  <c r="H163" i="4"/>
  <c r="I163" i="4"/>
  <c r="J163" i="4"/>
  <c r="K163" i="4"/>
  <c r="P164" i="4" s="1"/>
  <c r="L163" i="4"/>
  <c r="H164" i="4"/>
  <c r="I164" i="4"/>
  <c r="J164" i="4"/>
  <c r="O164" i="4" s="1"/>
  <c r="H165" i="4"/>
  <c r="L165" i="4"/>
  <c r="H166" i="4"/>
  <c r="I166" i="4"/>
  <c r="K166" i="4"/>
  <c r="L166" i="4"/>
  <c r="H167" i="4"/>
  <c r="I167" i="4"/>
  <c r="J167" i="4"/>
  <c r="K167" i="4"/>
  <c r="P167" i="4" s="1"/>
  <c r="L167" i="4"/>
  <c r="J168" i="4"/>
  <c r="L168" i="4"/>
  <c r="I169" i="4"/>
  <c r="N169" i="4" s="1"/>
  <c r="J169" i="4"/>
  <c r="L169" i="4"/>
  <c r="J170" i="4"/>
  <c r="K170" i="4"/>
  <c r="L170" i="4"/>
  <c r="H171" i="4"/>
  <c r="I171" i="4"/>
  <c r="H172" i="4"/>
  <c r="I172" i="4"/>
  <c r="J172" i="4"/>
  <c r="K172" i="4"/>
  <c r="L172" i="4"/>
  <c r="H173" i="4"/>
  <c r="I173" i="4"/>
  <c r="L173" i="4"/>
  <c r="H174" i="4"/>
  <c r="I174" i="4"/>
  <c r="K174" i="4"/>
  <c r="L174" i="4"/>
  <c r="I175" i="4"/>
  <c r="K175" i="4"/>
  <c r="L175" i="4"/>
  <c r="I176" i="4"/>
  <c r="J176" i="4"/>
  <c r="K176" i="4"/>
  <c r="L176" i="4"/>
  <c r="H177" i="4"/>
  <c r="J177" i="4"/>
  <c r="L177" i="4"/>
  <c r="H178" i="4"/>
  <c r="J178" i="4"/>
  <c r="L178" i="4"/>
  <c r="H179" i="4"/>
  <c r="I179" i="4"/>
  <c r="J179" i="4"/>
  <c r="H180" i="4"/>
  <c r="I180" i="4"/>
  <c r="J180" i="4"/>
  <c r="K180" i="4"/>
  <c r="L180" i="4"/>
  <c r="H181" i="4"/>
  <c r="I181" i="4"/>
  <c r="J181" i="4"/>
  <c r="K181" i="4"/>
  <c r="L181" i="4"/>
  <c r="H182" i="4"/>
  <c r="M182" i="4" s="1"/>
  <c r="D137" i="7" s="1"/>
  <c r="I182" i="4"/>
  <c r="J182" i="4"/>
  <c r="K182" i="4"/>
  <c r="H183" i="4"/>
  <c r="I183" i="4"/>
  <c r="J183" i="4"/>
  <c r="I184" i="4"/>
  <c r="J184" i="4"/>
  <c r="L184" i="4"/>
  <c r="Q184" i="4" s="1"/>
  <c r="I185" i="4"/>
  <c r="J185" i="4"/>
  <c r="K185" i="4"/>
  <c r="L185" i="4"/>
  <c r="H186" i="4"/>
  <c r="I186" i="4"/>
  <c r="J186" i="4"/>
  <c r="K186" i="4"/>
  <c r="J187" i="4"/>
  <c r="K187" i="4"/>
  <c r="H188" i="4"/>
  <c r="I188" i="4"/>
  <c r="N188" i="4" s="1"/>
  <c r="J188" i="4"/>
  <c r="K188" i="4"/>
  <c r="H189" i="4"/>
  <c r="I189" i="4"/>
  <c r="J189" i="4"/>
  <c r="K189" i="4"/>
  <c r="L189" i="4"/>
  <c r="H190" i="4"/>
  <c r="H191" i="4"/>
  <c r="I191" i="4"/>
  <c r="N191" i="4" s="1"/>
  <c r="J191" i="4"/>
  <c r="K191" i="4"/>
  <c r="L191" i="4"/>
  <c r="I192" i="4"/>
  <c r="J192" i="4"/>
  <c r="K192" i="4"/>
  <c r="L193" i="4"/>
  <c r="H194" i="4"/>
  <c r="J194" i="4"/>
  <c r="K194" i="4"/>
  <c r="L194" i="4"/>
  <c r="H195" i="4"/>
  <c r="I195" i="4"/>
  <c r="J195" i="4"/>
  <c r="K195" i="4"/>
  <c r="L195" i="4"/>
  <c r="H196" i="4"/>
  <c r="I196" i="4"/>
  <c r="K196" i="4"/>
  <c r="K197" i="4"/>
  <c r="L197" i="4"/>
  <c r="H198" i="4"/>
  <c r="I198" i="4"/>
  <c r="J198" i="4"/>
  <c r="K198" i="4"/>
  <c r="L198" i="4"/>
  <c r="H199" i="4"/>
  <c r="I199" i="4"/>
  <c r="J199" i="4"/>
  <c r="O199" i="4" s="1"/>
  <c r="L199" i="4"/>
  <c r="L200" i="4"/>
  <c r="H201" i="4"/>
  <c r="I201" i="4"/>
  <c r="J201" i="4"/>
  <c r="K201" i="4"/>
  <c r="P201" i="4" s="1"/>
  <c r="L201" i="4"/>
  <c r="H202" i="4"/>
  <c r="I202" i="4"/>
  <c r="N202" i="4" s="1"/>
  <c r="J202" i="4"/>
  <c r="O202" i="4" s="1"/>
  <c r="K202" i="4"/>
  <c r="H203" i="4"/>
  <c r="J203" i="4"/>
  <c r="K203" i="4"/>
  <c r="H204" i="4"/>
  <c r="K204" i="4"/>
  <c r="L204" i="4"/>
  <c r="Q204" i="4" s="1"/>
  <c r="H205" i="4"/>
  <c r="I205" i="4"/>
  <c r="N205" i="4" s="1"/>
  <c r="J205" i="4"/>
  <c r="O205" i="4" s="1"/>
  <c r="K205" i="4"/>
  <c r="L205" i="4"/>
  <c r="H206" i="4"/>
  <c r="I207" i="4"/>
  <c r="J207" i="4"/>
  <c r="K207" i="4"/>
  <c r="L207" i="4"/>
  <c r="H208" i="4"/>
  <c r="I208" i="4"/>
  <c r="J208" i="4"/>
  <c r="K208" i="4"/>
  <c r="L208" i="4"/>
  <c r="H209" i="4"/>
  <c r="I209" i="4"/>
  <c r="H211" i="4"/>
  <c r="J211" i="4"/>
  <c r="K211" i="4"/>
  <c r="L211" i="4"/>
  <c r="H212" i="4"/>
  <c r="I212" i="4"/>
  <c r="J212" i="4"/>
  <c r="K212" i="4"/>
  <c r="H213" i="4"/>
  <c r="I213" i="4"/>
  <c r="I214" i="4"/>
  <c r="K214" i="4"/>
  <c r="L214" i="4"/>
  <c r="Q214" i="4" s="1"/>
  <c r="H215" i="4"/>
  <c r="I215" i="4"/>
  <c r="J215" i="4"/>
  <c r="O215" i="4" s="1"/>
  <c r="K215" i="4"/>
  <c r="J216" i="4"/>
  <c r="L216" i="4"/>
  <c r="H217" i="4"/>
  <c r="I217" i="4"/>
  <c r="J217" i="4"/>
  <c r="L217" i="4"/>
  <c r="J218" i="4"/>
  <c r="K218" i="4"/>
  <c r="P218" i="4" s="1"/>
  <c r="L218" i="4"/>
  <c r="H219" i="4"/>
  <c r="K219" i="4"/>
  <c r="K220" i="4"/>
  <c r="H221" i="4"/>
  <c r="I221" i="4"/>
  <c r="J221" i="4"/>
  <c r="K221" i="4"/>
  <c r="L221" i="4"/>
  <c r="H222" i="4"/>
  <c r="I222" i="4"/>
  <c r="N222" i="4" s="1"/>
  <c r="J222" i="4"/>
  <c r="L222" i="4"/>
  <c r="I223" i="4"/>
  <c r="K223" i="4"/>
  <c r="L223" i="4"/>
  <c r="H224" i="4"/>
  <c r="M224" i="4" s="1"/>
  <c r="I224" i="4"/>
  <c r="H225" i="4"/>
  <c r="I225" i="4"/>
  <c r="D74" i="7" s="1"/>
  <c r="D114" i="7" s="1"/>
  <c r="J225" i="4"/>
  <c r="E74" i="7" s="1"/>
  <c r="E114" i="7" s="1"/>
  <c r="L225" i="4"/>
  <c r="H226" i="4"/>
  <c r="J226" i="4"/>
  <c r="K226" i="4"/>
  <c r="L226" i="4"/>
  <c r="H227" i="4"/>
  <c r="L227" i="4"/>
  <c r="H228" i="4"/>
  <c r="I228" i="4"/>
  <c r="K228" i="4"/>
  <c r="P228" i="4" s="1"/>
  <c r="H229" i="4"/>
  <c r="I229" i="4"/>
  <c r="K229" i="4"/>
  <c r="L229" i="4"/>
  <c r="H230" i="4"/>
  <c r="I230" i="4"/>
  <c r="J230" i="4"/>
  <c r="K230" i="4"/>
  <c r="L230" i="4"/>
  <c r="H231" i="4"/>
  <c r="M231" i="4" s="1"/>
  <c r="I231" i="4"/>
  <c r="J231" i="4"/>
  <c r="H232" i="4"/>
  <c r="I232" i="4"/>
  <c r="J232" i="4"/>
  <c r="K232" i="4"/>
  <c r="L232" i="4"/>
  <c r="H233" i="4"/>
  <c r="I233" i="4"/>
  <c r="J233" i="4"/>
  <c r="O233" i="4" s="1"/>
  <c r="L233" i="4"/>
  <c r="I234" i="4"/>
  <c r="J234" i="4"/>
  <c r="K234" i="4"/>
  <c r="L234" i="4"/>
  <c r="J235" i="4"/>
  <c r="K235" i="4"/>
  <c r="H236" i="4"/>
  <c r="I236" i="4"/>
  <c r="N236" i="4" s="1"/>
  <c r="J236" i="4"/>
  <c r="K236" i="4"/>
  <c r="H237" i="4"/>
  <c r="I237" i="4"/>
  <c r="J237" i="4"/>
  <c r="L237" i="4"/>
  <c r="I238" i="4"/>
  <c r="D74" i="10" s="1"/>
  <c r="D114" i="10" s="1"/>
  <c r="L238" i="4"/>
  <c r="G74" i="10" s="1"/>
  <c r="G114" i="10" s="1"/>
  <c r="I239" i="4"/>
  <c r="J239" i="4"/>
  <c r="O239" i="4" s="1"/>
  <c r="L239" i="4"/>
  <c r="H240" i="4"/>
  <c r="M240" i="4" s="1"/>
  <c r="K240" i="4"/>
  <c r="P240" i="4" s="1"/>
  <c r="L240" i="4"/>
  <c r="H241" i="4"/>
  <c r="I242" i="4"/>
  <c r="N242" i="4" s="1"/>
  <c r="J242" i="4"/>
  <c r="O242" i="4" s="1"/>
  <c r="K242" i="4"/>
  <c r="P242" i="4" s="1"/>
  <c r="L242" i="4"/>
  <c r="Q242" i="4" s="1"/>
  <c r="H243" i="4"/>
  <c r="M243" i="4" s="1"/>
  <c r="I243" i="4"/>
  <c r="N243" i="4" s="1"/>
  <c r="J243" i="4"/>
  <c r="K243" i="4"/>
  <c r="L243" i="4"/>
  <c r="I244" i="4"/>
  <c r="I245" i="4"/>
  <c r="K245" i="4"/>
  <c r="L245" i="4"/>
  <c r="H246" i="4"/>
  <c r="I246" i="4"/>
  <c r="J246" i="4"/>
  <c r="O246" i="4" s="1"/>
  <c r="K246" i="4"/>
  <c r="I247" i="4"/>
  <c r="J247" i="4"/>
  <c r="L247" i="4"/>
  <c r="J248" i="4"/>
  <c r="L248" i="4"/>
  <c r="H249" i="4"/>
  <c r="I249" i="4"/>
  <c r="J249" i="4"/>
  <c r="K249" i="4"/>
  <c r="L249" i="4"/>
  <c r="J250" i="4"/>
  <c r="K250" i="4"/>
  <c r="K251" i="4"/>
  <c r="P251" i="4" s="1"/>
  <c r="H252" i="4"/>
  <c r="I252" i="4"/>
  <c r="J252" i="4"/>
  <c r="K252" i="4"/>
  <c r="F74" i="11" s="1"/>
  <c r="F114" i="11" s="1"/>
  <c r="L252" i="4"/>
  <c r="H253" i="4"/>
  <c r="M253" i="4" s="1"/>
  <c r="D169" i="12" s="1"/>
  <c r="I253" i="4"/>
  <c r="K253" i="4"/>
  <c r="K254" i="4"/>
  <c r="I255" i="4"/>
  <c r="L255" i="4"/>
  <c r="H256" i="4"/>
  <c r="M256" i="4" s="1"/>
  <c r="D172" i="12" s="1"/>
  <c r="I256" i="4"/>
  <c r="J256" i="4"/>
  <c r="K256" i="4"/>
  <c r="P256" i="4" s="1"/>
  <c r="G172" i="12" s="1"/>
  <c r="L256" i="4"/>
  <c r="Q256" i="4" s="1"/>
  <c r="H172" i="12" s="1"/>
  <c r="H257" i="4"/>
  <c r="J257" i="4"/>
  <c r="L257" i="4"/>
  <c r="H258" i="4"/>
  <c r="J258" i="4"/>
  <c r="L258" i="4"/>
  <c r="H259" i="4"/>
  <c r="J259" i="4"/>
  <c r="K259" i="4"/>
  <c r="P260" i="4" s="1"/>
  <c r="G176" i="12" s="1"/>
  <c r="L259" i="4"/>
  <c r="H260" i="4"/>
  <c r="H261" i="4"/>
  <c r="I261" i="4"/>
  <c r="N261" i="4" s="1"/>
  <c r="E177" i="12" s="1"/>
  <c r="K261" i="4"/>
  <c r="L261" i="4"/>
  <c r="H262" i="4"/>
  <c r="I262" i="4"/>
  <c r="K262" i="4"/>
  <c r="L262" i="4"/>
  <c r="H263" i="4"/>
  <c r="I263" i="4"/>
  <c r="J263" i="4"/>
  <c r="I265" i="4"/>
  <c r="D74" i="12" s="1"/>
  <c r="D114" i="12" s="1"/>
  <c r="J265" i="4"/>
  <c r="K265" i="4"/>
  <c r="L265" i="4"/>
  <c r="H266" i="4"/>
  <c r="M266" i="4" s="1"/>
  <c r="I266" i="4"/>
  <c r="J266" i="4"/>
  <c r="K266" i="4"/>
  <c r="P266" i="4" s="1"/>
  <c r="L266" i="4"/>
  <c r="K267" i="4"/>
  <c r="H268" i="4"/>
  <c r="I268" i="4"/>
  <c r="J268" i="4"/>
  <c r="K268" i="4"/>
  <c r="H269" i="4"/>
  <c r="K269" i="4"/>
  <c r="L269" i="4"/>
  <c r="H270" i="4"/>
  <c r="I270" i="4"/>
  <c r="N270" i="4" s="1"/>
  <c r="L270" i="4"/>
  <c r="J271" i="4"/>
  <c r="L271" i="4"/>
  <c r="I272" i="4"/>
  <c r="J272" i="4"/>
  <c r="K272" i="4"/>
  <c r="L272" i="4"/>
  <c r="H273" i="4"/>
  <c r="M273" i="4" s="1"/>
  <c r="I273" i="4"/>
  <c r="N273" i="4" s="1"/>
  <c r="J273" i="4"/>
  <c r="K273" i="4"/>
  <c r="K274" i="4"/>
  <c r="L274" i="4"/>
  <c r="H275" i="4"/>
  <c r="I275" i="4"/>
  <c r="J275" i="4"/>
  <c r="L275" i="4"/>
  <c r="J276" i="4"/>
  <c r="K276" i="4"/>
  <c r="H277" i="4"/>
  <c r="M277" i="4" s="1"/>
  <c r="I278" i="4"/>
  <c r="K278" i="4"/>
  <c r="L278" i="4"/>
  <c r="H279" i="4"/>
  <c r="I279" i="4"/>
  <c r="N280" i="4" s="1"/>
  <c r="J279" i="4"/>
  <c r="L279" i="4"/>
  <c r="J280" i="4"/>
  <c r="I281" i="4"/>
  <c r="N281" i="4" s="1"/>
  <c r="J281" i="4"/>
  <c r="L281" i="4"/>
  <c r="H282" i="4"/>
  <c r="I282" i="4"/>
  <c r="J282" i="4"/>
  <c r="K282" i="4"/>
  <c r="H283" i="4"/>
  <c r="I283" i="4"/>
  <c r="J283" i="4"/>
  <c r="K283" i="4"/>
  <c r="L283" i="4"/>
  <c r="Q283" i="4" s="1"/>
  <c r="I284" i="4"/>
  <c r="K284" i="4"/>
  <c r="H285" i="4"/>
  <c r="I285" i="4"/>
  <c r="J285" i="4"/>
  <c r="K285" i="4"/>
  <c r="L285" i="4"/>
  <c r="K286" i="4"/>
  <c r="L286" i="4"/>
  <c r="I287" i="4"/>
  <c r="J287" i="4"/>
  <c r="K287" i="4"/>
  <c r="L287" i="4"/>
  <c r="H288" i="4"/>
  <c r="I288" i="4"/>
  <c r="J288" i="4"/>
  <c r="K288" i="4"/>
  <c r="L288" i="4"/>
  <c r="H289" i="4"/>
  <c r="J289" i="4"/>
  <c r="H290" i="4"/>
  <c r="J290" i="4"/>
  <c r="K290" i="4"/>
  <c r="L290" i="4"/>
  <c r="H291" i="4"/>
  <c r="I291" i="4"/>
  <c r="J291" i="4"/>
  <c r="K291" i="4"/>
  <c r="L291" i="4"/>
  <c r="H292" i="4"/>
  <c r="I292" i="4"/>
  <c r="I293" i="4"/>
  <c r="J293" i="4"/>
  <c r="O293" i="4" s="1"/>
  <c r="K293" i="4"/>
  <c r="H294" i="4"/>
  <c r="M294" i="4" s="1"/>
  <c r="I294" i="4"/>
  <c r="K294" i="4"/>
  <c r="L294" i="4"/>
  <c r="Q294" i="4" s="1"/>
  <c r="H295" i="4"/>
  <c r="I295" i="4"/>
  <c r="J295" i="4"/>
  <c r="L295" i="4"/>
  <c r="I296" i="4"/>
  <c r="L296" i="4"/>
  <c r="H297" i="4"/>
  <c r="I297" i="4"/>
  <c r="J297" i="4"/>
  <c r="K297" i="4"/>
  <c r="L297" i="4"/>
  <c r="H298" i="4"/>
  <c r="I298" i="4"/>
  <c r="J298" i="4"/>
  <c r="K298" i="4"/>
  <c r="K299" i="4"/>
  <c r="H300" i="4"/>
  <c r="I300" i="4"/>
  <c r="J300" i="4"/>
  <c r="K300" i="4"/>
  <c r="L300" i="4"/>
  <c r="H301" i="4"/>
  <c r="H302" i="4"/>
  <c r="I303" i="4"/>
  <c r="J303" i="4"/>
  <c r="O303" i="4" s="1"/>
  <c r="K303" i="4"/>
  <c r="L303" i="4"/>
  <c r="Q303" i="4" s="1"/>
  <c r="H304" i="4"/>
  <c r="I304" i="4"/>
  <c r="J304" i="4"/>
  <c r="K304" i="4"/>
  <c r="L304" i="4"/>
  <c r="H305" i="4"/>
  <c r="H306" i="4"/>
  <c r="J306" i="4"/>
  <c r="H307" i="4"/>
  <c r="I307" i="4"/>
  <c r="J307" i="4"/>
  <c r="L307" i="4"/>
  <c r="H308" i="4"/>
  <c r="I308" i="4"/>
  <c r="K308" i="4"/>
  <c r="H309" i="4"/>
  <c r="I309" i="4"/>
  <c r="K309" i="4"/>
  <c r="L309" i="4"/>
  <c r="H310" i="4"/>
  <c r="I310" i="4"/>
  <c r="K310" i="4"/>
  <c r="L310" i="4"/>
  <c r="H311" i="4"/>
  <c r="I311" i="4"/>
  <c r="J311" i="4"/>
  <c r="J312" i="4"/>
  <c r="H313" i="4"/>
  <c r="J313" i="4"/>
  <c r="L313" i="4"/>
  <c r="H314" i="4"/>
  <c r="I314" i="4"/>
  <c r="J314" i="4"/>
  <c r="K314" i="4"/>
  <c r="P314" i="4" s="1"/>
  <c r="L314" i="4"/>
  <c r="K315" i="4"/>
  <c r="H316" i="4"/>
  <c r="I316" i="4"/>
  <c r="J316" i="4"/>
  <c r="K316" i="4"/>
  <c r="L316" i="4"/>
  <c r="H317" i="4"/>
  <c r="I317" i="4"/>
  <c r="J317" i="4"/>
  <c r="K317" i="4"/>
  <c r="L317" i="4"/>
  <c r="H318" i="4"/>
  <c r="L318" i="4"/>
  <c r="L319" i="4"/>
  <c r="I4" i="4"/>
  <c r="J4" i="4"/>
  <c r="K4" i="4"/>
  <c r="L4" i="4"/>
  <c r="D75" i="12" l="1"/>
  <c r="B162" i="11"/>
  <c r="P162" i="11" s="1"/>
  <c r="G112" i="11"/>
  <c r="G84" i="11"/>
  <c r="F28" i="11"/>
  <c r="F35" i="11" s="1"/>
  <c r="F84" i="11"/>
  <c r="F112" i="11"/>
  <c r="C84" i="11"/>
  <c r="C112" i="11"/>
  <c r="G112" i="10"/>
  <c r="G71" i="10"/>
  <c r="G75" i="10" s="1"/>
  <c r="C28" i="7"/>
  <c r="C29" i="7" s="1"/>
  <c r="C33" i="7"/>
  <c r="D56" i="7"/>
  <c r="D134" i="12"/>
  <c r="D146" i="11"/>
  <c r="D160" i="10"/>
  <c r="D173" i="7"/>
  <c r="F155" i="12"/>
  <c r="F167" i="11"/>
  <c r="E130" i="11"/>
  <c r="E144" i="10"/>
  <c r="J144" i="10" s="1"/>
  <c r="E157" i="7"/>
  <c r="J157" i="7" s="1"/>
  <c r="H139" i="7"/>
  <c r="D164" i="12"/>
  <c r="D176" i="11"/>
  <c r="O230" i="4"/>
  <c r="O306" i="4"/>
  <c r="J177" i="12"/>
  <c r="E32" i="11"/>
  <c r="E28" i="11"/>
  <c r="E35" i="11" s="1"/>
  <c r="E52" i="11"/>
  <c r="E59" i="11" s="1"/>
  <c r="D33" i="11"/>
  <c r="D57" i="11"/>
  <c r="F52" i="11"/>
  <c r="F59" i="11" s="1"/>
  <c r="F56" i="11"/>
  <c r="E56" i="11"/>
  <c r="O252" i="4"/>
  <c r="E74" i="11"/>
  <c r="E114" i="11" s="1"/>
  <c r="O311" i="4"/>
  <c r="O287" i="4"/>
  <c r="Q281" i="4"/>
  <c r="N278" i="4"/>
  <c r="O257" i="4"/>
  <c r="F173" i="12" s="1"/>
  <c r="P253" i="4"/>
  <c r="G169" i="12" s="1"/>
  <c r="G168" i="11"/>
  <c r="L168" i="11" s="1"/>
  <c r="G156" i="12"/>
  <c r="M237" i="4"/>
  <c r="Q222" i="4"/>
  <c r="Q197" i="4"/>
  <c r="Q194" i="4"/>
  <c r="O188" i="4"/>
  <c r="P185" i="4"/>
  <c r="O177" i="4"/>
  <c r="Q165" i="4"/>
  <c r="Q162" i="4"/>
  <c r="M157" i="4"/>
  <c r="Q141" i="4"/>
  <c r="O138" i="4"/>
  <c r="P134" i="4"/>
  <c r="N125" i="4"/>
  <c r="O122" i="4"/>
  <c r="P111" i="4"/>
  <c r="N109" i="4"/>
  <c r="Q105" i="4"/>
  <c r="Q88" i="4"/>
  <c r="O83" i="4"/>
  <c r="Q80" i="4"/>
  <c r="P78" i="4"/>
  <c r="P70" i="4"/>
  <c r="Q67" i="4"/>
  <c r="Q61" i="4"/>
  <c r="Q50" i="4"/>
  <c r="M42" i="4"/>
  <c r="N39" i="4"/>
  <c r="P31" i="4"/>
  <c r="O25" i="4"/>
  <c r="N23" i="4"/>
  <c r="N18" i="4"/>
  <c r="Q15" i="4"/>
  <c r="M13" i="4"/>
  <c r="M11" i="4"/>
  <c r="N6" i="4"/>
  <c r="N302" i="4"/>
  <c r="N220" i="4"/>
  <c r="P210" i="4"/>
  <c r="Q113" i="4"/>
  <c r="P47" i="4"/>
  <c r="Q252" i="4"/>
  <c r="G74" i="11"/>
  <c r="G114" i="11" s="1"/>
  <c r="D159" i="12"/>
  <c r="D171" i="11"/>
  <c r="G134" i="12"/>
  <c r="G160" i="10"/>
  <c r="G146" i="11"/>
  <c r="L146" i="11" s="1"/>
  <c r="G173" i="7"/>
  <c r="L173" i="7" s="1"/>
  <c r="P272" i="4"/>
  <c r="H130" i="12"/>
  <c r="H142" i="11"/>
  <c r="H156" i="10"/>
  <c r="M156" i="10" s="1"/>
  <c r="H169" i="7"/>
  <c r="N316" i="4"/>
  <c r="E57" i="11"/>
  <c r="E33" i="11"/>
  <c r="G32" i="11"/>
  <c r="F57" i="11"/>
  <c r="G28" i="11"/>
  <c r="G35" i="11" s="1"/>
  <c r="F33" i="11"/>
  <c r="O295" i="4"/>
  <c r="N284" i="4"/>
  <c r="O263" i="4"/>
  <c r="F179" i="12" s="1"/>
  <c r="P308" i="4"/>
  <c r="N287" i="4"/>
  <c r="D168" i="11"/>
  <c r="D156" i="12"/>
  <c r="M229" i="4"/>
  <c r="Q225" i="4"/>
  <c r="G74" i="7"/>
  <c r="G114" i="7" s="1"/>
  <c r="M219" i="4"/>
  <c r="P197" i="4"/>
  <c r="P194" i="4"/>
  <c r="E133" i="10"/>
  <c r="J133" i="10" s="1"/>
  <c r="E130" i="10"/>
  <c r="J130" i="10" s="1"/>
  <c r="O185" i="4"/>
  <c r="N180" i="4"/>
  <c r="M177" i="4"/>
  <c r="N174" i="4"/>
  <c r="N171" i="4"/>
  <c r="M165" i="4"/>
  <c r="P162" i="4"/>
  <c r="P159" i="4"/>
  <c r="P153" i="4"/>
  <c r="O150" i="4"/>
  <c r="M131" i="4"/>
  <c r="O119" i="4"/>
  <c r="O111" i="4"/>
  <c r="M109" i="4"/>
  <c r="Q102" i="4"/>
  <c r="M91" i="4"/>
  <c r="N86" i="4"/>
  <c r="N83" i="4"/>
  <c r="P80" i="4"/>
  <c r="O78" i="4"/>
  <c r="Q72" i="4"/>
  <c r="O70" i="4"/>
  <c r="P67" i="4"/>
  <c r="P61" i="4"/>
  <c r="Q55" i="4"/>
  <c r="P53" i="4"/>
  <c r="P50" i="4"/>
  <c r="P44" i="4"/>
  <c r="Q41" i="4"/>
  <c r="M39" i="4"/>
  <c r="P36" i="4"/>
  <c r="Q33" i="4"/>
  <c r="O28" i="4"/>
  <c r="N25" i="4"/>
  <c r="M23" i="4"/>
  <c r="N20" i="4"/>
  <c r="M18" i="4"/>
  <c r="P15" i="4"/>
  <c r="Q10" i="4"/>
  <c r="Q8" i="4"/>
  <c r="N306" i="4"/>
  <c r="Q277" i="4"/>
  <c r="Q268" i="4"/>
  <c r="P248" i="4"/>
  <c r="M239" i="4"/>
  <c r="O210" i="4"/>
  <c r="M187" i="4"/>
  <c r="M160" i="4"/>
  <c r="P136" i="4"/>
  <c r="M121" i="4"/>
  <c r="M108" i="4"/>
  <c r="Q84" i="4"/>
  <c r="O75" i="4"/>
  <c r="M62" i="4"/>
  <c r="P55" i="4"/>
  <c r="O47" i="4"/>
  <c r="P40" i="4"/>
  <c r="P33" i="4"/>
  <c r="M16" i="4"/>
  <c r="H158" i="12"/>
  <c r="H170" i="11"/>
  <c r="O265" i="4"/>
  <c r="F181" i="12" s="1"/>
  <c r="E74" i="12"/>
  <c r="E114" i="12" s="1"/>
  <c r="Q300" i="4"/>
  <c r="Q286" i="4"/>
  <c r="P276" i="4"/>
  <c r="F174" i="11"/>
  <c r="F162" i="12"/>
  <c r="E159" i="12"/>
  <c r="J159" i="12" s="1"/>
  <c r="E171" i="11"/>
  <c r="F149" i="12"/>
  <c r="F161" i="11"/>
  <c r="F175" i="10"/>
  <c r="K175" i="10" s="1"/>
  <c r="D147" i="12"/>
  <c r="D173" i="10"/>
  <c r="D159" i="11"/>
  <c r="G144" i="12"/>
  <c r="G156" i="11"/>
  <c r="L156" i="11" s="1"/>
  <c r="G170" i="10"/>
  <c r="O225" i="4"/>
  <c r="E138" i="12"/>
  <c r="J138" i="12" s="1"/>
  <c r="E164" i="10"/>
  <c r="J164" i="10" s="1"/>
  <c r="E150" i="11"/>
  <c r="E177" i="7"/>
  <c r="J177" i="7" s="1"/>
  <c r="F131" i="12"/>
  <c r="F143" i="11"/>
  <c r="F157" i="10"/>
  <c r="K157" i="10" s="1"/>
  <c r="F170" i="7"/>
  <c r="K170" i="7" s="1"/>
  <c r="N212" i="4"/>
  <c r="F133" i="11"/>
  <c r="F147" i="10"/>
  <c r="K147" i="10" s="1"/>
  <c r="F160" i="7"/>
  <c r="K160" i="7" s="1"/>
  <c r="F130" i="11"/>
  <c r="F144" i="10"/>
  <c r="K144" i="10" s="1"/>
  <c r="F157" i="7"/>
  <c r="K157" i="7" s="1"/>
  <c r="F141" i="10"/>
  <c r="K141" i="10" s="1"/>
  <c r="M171" i="4"/>
  <c r="O159" i="4"/>
  <c r="N147" i="4"/>
  <c r="N99" i="4"/>
  <c r="O50" i="4"/>
  <c r="Q47" i="4"/>
  <c r="O44" i="4"/>
  <c r="N31" i="4"/>
  <c r="O8" i="4"/>
  <c r="P289" i="4"/>
  <c r="P281" i="4"/>
  <c r="Q273" i="4"/>
  <c r="N258" i="4"/>
  <c r="E174" i="12" s="1"/>
  <c r="J174" i="12" s="1"/>
  <c r="P238" i="4"/>
  <c r="F74" i="10"/>
  <c r="F114" i="10" s="1"/>
  <c r="H140" i="12"/>
  <c r="H152" i="11"/>
  <c r="H166" i="10"/>
  <c r="M166" i="10" s="1"/>
  <c r="H179" i="7"/>
  <c r="O214" i="4"/>
  <c r="N210" i="4"/>
  <c r="O197" i="4"/>
  <c r="Q192" i="4"/>
  <c r="N178" i="4"/>
  <c r="P171" i="4"/>
  <c r="P165" i="4"/>
  <c r="M159" i="4"/>
  <c r="P152" i="4"/>
  <c r="M127" i="4"/>
  <c r="O101" i="4"/>
  <c r="N66" i="4"/>
  <c r="Q59" i="4"/>
  <c r="O53" i="4"/>
  <c r="M47" i="4"/>
  <c r="E146" i="7"/>
  <c r="J146" i="7" s="1"/>
  <c r="E146" i="10"/>
  <c r="J146" i="10" s="1"/>
  <c r="E132" i="11"/>
  <c r="D140" i="7"/>
  <c r="C114" i="10"/>
  <c r="C78" i="10"/>
  <c r="C85" i="10" s="1"/>
  <c r="G32" i="10"/>
  <c r="E33" i="10"/>
  <c r="G28" i="10"/>
  <c r="G35" i="10" s="1"/>
  <c r="E57" i="10"/>
  <c r="E56" i="10"/>
  <c r="E52" i="10"/>
  <c r="E32" i="10"/>
  <c r="C57" i="10"/>
  <c r="E28" i="10"/>
  <c r="M133" i="4"/>
  <c r="O121" i="4"/>
  <c r="Q40" i="4"/>
  <c r="C114" i="12"/>
  <c r="C78" i="12"/>
  <c r="H152" i="12"/>
  <c r="H164" i="11"/>
  <c r="H178" i="10"/>
  <c r="M178" i="10" s="1"/>
  <c r="E33" i="12"/>
  <c r="F57" i="12"/>
  <c r="C56" i="10"/>
  <c r="C52" i="10"/>
  <c r="C59" i="10" s="1"/>
  <c r="E159" i="7"/>
  <c r="J159" i="7" s="1"/>
  <c r="F154" i="7"/>
  <c r="K154" i="7" s="1"/>
  <c r="E152" i="12"/>
  <c r="J152" i="12" s="1"/>
  <c r="E178" i="10"/>
  <c r="J178" i="10" s="1"/>
  <c r="E164" i="11"/>
  <c r="E133" i="11"/>
  <c r="E147" i="10"/>
  <c r="J147" i="10" s="1"/>
  <c r="E160" i="7"/>
  <c r="J160" i="7" s="1"/>
  <c r="D131" i="12"/>
  <c r="D143" i="11"/>
  <c r="D157" i="10"/>
  <c r="D170" i="7"/>
  <c r="G158" i="12"/>
  <c r="G170" i="11"/>
  <c r="L170" i="11" s="1"/>
  <c r="H132" i="11"/>
  <c r="H146" i="10"/>
  <c r="M146" i="10" s="1"/>
  <c r="H159" i="7"/>
  <c r="O262" i="4"/>
  <c r="F178" i="12" s="1"/>
  <c r="Q265" i="4"/>
  <c r="G74" i="12"/>
  <c r="N252" i="4"/>
  <c r="D74" i="11"/>
  <c r="D114" i="11" s="1"/>
  <c r="F158" i="12"/>
  <c r="F170" i="11"/>
  <c r="D140" i="12"/>
  <c r="D152" i="11"/>
  <c r="D166" i="10"/>
  <c r="D179" i="7"/>
  <c r="G129" i="11"/>
  <c r="L129" i="11" s="1"/>
  <c r="G143" i="10"/>
  <c r="G156" i="7"/>
  <c r="L156" i="7" s="1"/>
  <c r="Q319" i="4"/>
  <c r="Q309" i="4"/>
  <c r="M288" i="4"/>
  <c r="P265" i="4"/>
  <c r="G181" i="12" s="1"/>
  <c r="F74" i="12"/>
  <c r="F114" i="12" s="1"/>
  <c r="Q261" i="4"/>
  <c r="H177" i="12" s="1"/>
  <c r="M252" i="4"/>
  <c r="C74" i="11"/>
  <c r="E158" i="12"/>
  <c r="J158" i="12" s="1"/>
  <c r="E170" i="11"/>
  <c r="Q237" i="4"/>
  <c r="M205" i="4"/>
  <c r="M118" i="4"/>
  <c r="N74" i="4"/>
  <c r="Q37" i="4"/>
  <c r="N30" i="4"/>
  <c r="N14" i="4"/>
  <c r="P9" i="4"/>
  <c r="F56" i="12"/>
  <c r="E32" i="12"/>
  <c r="F52" i="12"/>
  <c r="E28" i="12"/>
  <c r="G33" i="11"/>
  <c r="G75" i="11"/>
  <c r="G167" i="12"/>
  <c r="G179" i="11"/>
  <c r="L179" i="11" s="1"/>
  <c r="E143" i="7"/>
  <c r="J143" i="7" s="1"/>
  <c r="D75" i="10"/>
  <c r="D32" i="11"/>
  <c r="D56" i="11"/>
  <c r="D28" i="11"/>
  <c r="D35" i="11" s="1"/>
  <c r="D52" i="11"/>
  <c r="E75" i="10"/>
  <c r="C75" i="11"/>
  <c r="F75" i="12"/>
  <c r="E75" i="11"/>
  <c r="G75" i="12"/>
  <c r="D75" i="11"/>
  <c r="E75" i="12"/>
  <c r="F75" i="11"/>
  <c r="C32" i="7"/>
  <c r="B177" i="12"/>
  <c r="P177" i="12" s="1"/>
  <c r="F52" i="7"/>
  <c r="F28" i="7"/>
  <c r="D28" i="7"/>
  <c r="D29" i="7" s="1"/>
  <c r="D52" i="7"/>
  <c r="E52" i="7"/>
  <c r="E28" i="7"/>
  <c r="D113" i="12"/>
  <c r="D78" i="12"/>
  <c r="B161" i="11"/>
  <c r="P161" i="11" s="1"/>
  <c r="C75" i="10"/>
  <c r="C112" i="10"/>
  <c r="B177" i="10"/>
  <c r="C84" i="10"/>
  <c r="G84" i="10"/>
  <c r="F75" i="10"/>
  <c r="F84" i="10"/>
  <c r="C114" i="7"/>
  <c r="C78" i="7"/>
  <c r="C85" i="7" s="1"/>
  <c r="G33" i="7"/>
  <c r="F33" i="7"/>
  <c r="D33" i="7"/>
  <c r="G32" i="7"/>
  <c r="F32" i="7"/>
  <c r="E33" i="7"/>
  <c r="E32" i="7"/>
  <c r="D32" i="7"/>
  <c r="B178" i="7"/>
  <c r="P178" i="7" s="1"/>
  <c r="P286" i="4"/>
  <c r="O280" i="4"/>
  <c r="O276" i="4"/>
  <c r="N225" i="4"/>
  <c r="P187" i="4"/>
  <c r="M162" i="4"/>
  <c r="N159" i="4"/>
  <c r="M315" i="4"/>
  <c r="M267" i="4"/>
  <c r="M305" i="4"/>
  <c r="N298" i="4"/>
  <c r="N292" i="4"/>
  <c r="P273" i="4"/>
  <c r="P243" i="4"/>
  <c r="O231" i="4"/>
  <c r="P212" i="4"/>
  <c r="Q208" i="4"/>
  <c r="Q205" i="4"/>
  <c r="O182" i="4"/>
  <c r="Q153" i="4"/>
  <c r="P150" i="4"/>
  <c r="P147" i="4"/>
  <c r="O144" i="4"/>
  <c r="P119" i="4"/>
  <c r="P99" i="4"/>
  <c r="P96" i="4"/>
  <c r="M94" i="4"/>
  <c r="Q317" i="4"/>
  <c r="P317" i="4"/>
  <c r="Q314" i="4"/>
  <c r="N311" i="4"/>
  <c r="Q304" i="4"/>
  <c r="M301" i="4"/>
  <c r="M298" i="4"/>
  <c r="N295" i="4"/>
  <c r="M292" i="4"/>
  <c r="O289" i="4"/>
  <c r="O281" i="4"/>
  <c r="O273" i="4"/>
  <c r="Q266" i="4"/>
  <c r="N263" i="4"/>
  <c r="E179" i="12" s="1"/>
  <c r="J179" i="12" s="1"/>
  <c r="M260" i="4"/>
  <c r="D176" i="12" s="1"/>
  <c r="M257" i="4"/>
  <c r="D173" i="12" s="1"/>
  <c r="N253" i="4"/>
  <c r="E169" i="12" s="1"/>
  <c r="J169" i="12" s="1"/>
  <c r="Q249" i="4"/>
  <c r="P246" i="4"/>
  <c r="O243" i="4"/>
  <c r="P236" i="4"/>
  <c r="Q233" i="4"/>
  <c r="N231" i="4"/>
  <c r="O222" i="4"/>
  <c r="P215" i="4"/>
  <c r="P208" i="4"/>
  <c r="P205" i="4"/>
  <c r="P202" i="4"/>
  <c r="Q199" i="4"/>
  <c r="N182" i="4"/>
  <c r="Q167" i="4"/>
  <c r="O147" i="4"/>
  <c r="N144" i="4"/>
  <c r="N141" i="4"/>
  <c r="N134" i="4"/>
  <c r="M125" i="4"/>
  <c r="O105" i="4"/>
  <c r="O99" i="4"/>
  <c r="O96" i="4"/>
  <c r="Q93" i="4"/>
  <c r="P88" i="4"/>
  <c r="O59" i="4"/>
  <c r="N48" i="4"/>
  <c r="N318" i="4"/>
  <c r="M312" i="4"/>
  <c r="Q301" i="4"/>
  <c r="M274" i="4"/>
  <c r="P258" i="4"/>
  <c r="G174" i="12" s="1"/>
  <c r="M254" i="4"/>
  <c r="D170" i="12" s="1"/>
  <c r="P233" i="4"/>
  <c r="P225" i="4"/>
  <c r="Q215" i="4"/>
  <c r="N206" i="4"/>
  <c r="P199" i="4"/>
  <c r="M193" i="4"/>
  <c r="P178" i="4"/>
  <c r="Q171" i="4"/>
  <c r="O166" i="4"/>
  <c r="P132" i="4"/>
  <c r="N127" i="4"/>
  <c r="P113" i="4"/>
  <c r="O317" i="4"/>
  <c r="M311" i="4"/>
  <c r="N308" i="4"/>
  <c r="P304" i="4"/>
  <c r="Q297" i="4"/>
  <c r="M295" i="4"/>
  <c r="Q291" i="4"/>
  <c r="M289" i="4"/>
  <c r="P283" i="4"/>
  <c r="M270" i="4"/>
  <c r="M263" i="4"/>
  <c r="D179" i="12" s="1"/>
  <c r="Q259" i="4"/>
  <c r="H175" i="12" s="1"/>
  <c r="Q239" i="4"/>
  <c r="O236" i="4"/>
  <c r="Q218" i="4"/>
  <c r="O208" i="4"/>
  <c r="P196" i="4"/>
  <c r="N185" i="4"/>
  <c r="M180" i="4"/>
  <c r="Q176" i="4"/>
  <c r="P156" i="4"/>
  <c r="O153" i="4"/>
  <c r="M141" i="4"/>
  <c r="Q121" i="4"/>
  <c r="N119" i="4"/>
  <c r="O116" i="4"/>
  <c r="N111" i="4"/>
  <c r="N105" i="4"/>
  <c r="Q90" i="4"/>
  <c r="O88" i="4"/>
  <c r="M86" i="4"/>
  <c r="Q5" i="4"/>
  <c r="Q311" i="4"/>
  <c r="P301" i="4"/>
  <c r="Q263" i="4"/>
  <c r="H179" i="12" s="1"/>
  <c r="Q253" i="4"/>
  <c r="H169" i="12" s="1"/>
  <c r="M244" i="4"/>
  <c r="Q231" i="4"/>
  <c r="P141" i="4"/>
  <c r="O113" i="4"/>
  <c r="P105" i="4"/>
  <c r="P91" i="4"/>
  <c r="M32" i="4"/>
  <c r="M153" i="4"/>
  <c r="P82" i="4"/>
  <c r="O38" i="4"/>
  <c r="M304" i="4"/>
  <c r="N276" i="4"/>
  <c r="P172" i="4"/>
  <c r="N282" i="4"/>
  <c r="N268" i="4"/>
  <c r="P261" i="4"/>
  <c r="G177" i="12" s="1"/>
  <c r="Q247" i="4"/>
  <c r="Q229" i="4"/>
  <c r="N195" i="4"/>
  <c r="M179" i="4"/>
  <c r="O172" i="4"/>
  <c r="N166" i="4"/>
  <c r="N154" i="4"/>
  <c r="M148" i="4"/>
  <c r="Q135" i="4"/>
  <c r="Q117" i="4"/>
  <c r="M112" i="4"/>
  <c r="M100" i="4"/>
  <c r="O92" i="4"/>
  <c r="M74" i="4"/>
  <c r="N68" i="4"/>
  <c r="N60" i="4"/>
  <c r="N45" i="4"/>
  <c r="O42" i="4"/>
  <c r="P39" i="4"/>
  <c r="P23" i="4"/>
  <c r="M15" i="4"/>
  <c r="O11" i="4"/>
  <c r="P6" i="4"/>
  <c r="P264" i="4"/>
  <c r="G180" i="12" s="1"/>
  <c r="O260" i="4"/>
  <c r="F176" i="12" s="1"/>
  <c r="Q138" i="4"/>
  <c r="M76" i="4"/>
  <c r="O268" i="4"/>
  <c r="P298" i="4"/>
  <c r="M285" i="4"/>
  <c r="P223" i="4"/>
  <c r="N209" i="4"/>
  <c r="N198" i="4"/>
  <c r="Q191" i="4"/>
  <c r="M186" i="4"/>
  <c r="N163" i="4"/>
  <c r="O157" i="4"/>
  <c r="M151" i="4"/>
  <c r="M120" i="4"/>
  <c r="P109" i="4"/>
  <c r="O103" i="4"/>
  <c r="M97" i="4"/>
  <c r="N89" i="4"/>
  <c r="Q83" i="4"/>
  <c r="M318" i="4"/>
  <c r="M316" i="4"/>
  <c r="O312" i="4"/>
  <c r="M306" i="4"/>
  <c r="N303" i="4"/>
  <c r="O298" i="4"/>
  <c r="N293" i="4"/>
  <c r="M282" i="4"/>
  <c r="P274" i="4"/>
  <c r="M268" i="4"/>
  <c r="N265" i="4"/>
  <c r="E181" i="12" s="1"/>
  <c r="J181" i="12" s="1"/>
  <c r="P254" i="4"/>
  <c r="G170" i="12" s="1"/>
  <c r="Q243" i="4"/>
  <c r="P220" i="4"/>
  <c r="M209" i="4"/>
  <c r="M201" i="4"/>
  <c r="M198" i="4"/>
  <c r="P191" i="4"/>
  <c r="P182" i="4"/>
  <c r="P180" i="4"/>
  <c r="M154" i="4"/>
  <c r="Q150" i="4"/>
  <c r="Q147" i="4"/>
  <c r="P144" i="4"/>
  <c r="Q131" i="4"/>
  <c r="Q119" i="4"/>
  <c r="O109" i="4"/>
  <c r="N103" i="4"/>
  <c r="Q99" i="4"/>
  <c r="Q96" i="4"/>
  <c r="N94" i="4"/>
  <c r="N92" i="4"/>
  <c r="P83" i="4"/>
  <c r="M81" i="4"/>
  <c r="Q78" i="4"/>
  <c r="Q70" i="4"/>
  <c r="M68" i="4"/>
  <c r="Q65" i="4"/>
  <c r="M60" i="4"/>
  <c r="M51" i="4"/>
  <c r="P48" i="4"/>
  <c r="M45" i="4"/>
  <c r="N42" i="4"/>
  <c r="O39" i="4"/>
  <c r="Q31" i="4"/>
  <c r="Q28" i="4"/>
  <c r="Q25" i="4"/>
  <c r="O23" i="4"/>
  <c r="O18" i="4"/>
  <c r="N16" i="4"/>
  <c r="O13" i="4"/>
  <c r="N11" i="4"/>
  <c r="N9" i="4"/>
  <c r="O6" i="4"/>
  <c r="P312" i="4"/>
  <c r="O302" i="4"/>
  <c r="O292" i="4"/>
  <c r="O278" i="4"/>
  <c r="O254" i="4"/>
  <c r="F170" i="12" s="1"/>
  <c r="M235" i="4"/>
  <c r="N227" i="4"/>
  <c r="O220" i="4"/>
  <c r="Q210" i="4"/>
  <c r="N168" i="4"/>
  <c r="P127" i="4"/>
  <c r="N122" i="4"/>
  <c r="Q75" i="4"/>
  <c r="O314" i="4"/>
  <c r="Q310" i="4"/>
  <c r="M308" i="4"/>
  <c r="P300" i="4"/>
  <c r="O283" i="4"/>
  <c r="Q262" i="4"/>
  <c r="H178" i="12" s="1"/>
  <c r="O249" i="4"/>
  <c r="N246" i="4"/>
  <c r="M222" i="4"/>
  <c r="N215" i="4"/>
  <c r="M212" i="4"/>
  <c r="N199" i="4"/>
  <c r="N196" i="4"/>
  <c r="O179" i="4"/>
  <c r="P176" i="4"/>
  <c r="Q173" i="4"/>
  <c r="Q170" i="4"/>
  <c r="N153" i="4"/>
  <c r="M147" i="4"/>
  <c r="Q143" i="4"/>
  <c r="Q137" i="4"/>
  <c r="O124" i="4"/>
  <c r="P121" i="4"/>
  <c r="M119" i="4"/>
  <c r="M113" i="4"/>
  <c r="Q110" i="4"/>
  <c r="M228" i="4"/>
  <c r="M116" i="4"/>
  <c r="M17" i="4"/>
  <c r="O240" i="4"/>
  <c r="P168" i="4"/>
  <c r="O149" i="4"/>
  <c r="Q144" i="4"/>
  <c r="Q145" i="4"/>
  <c r="P107" i="4"/>
  <c r="P27" i="4"/>
  <c r="P290" i="4"/>
  <c r="M178" i="4"/>
  <c r="Q312" i="4"/>
  <c r="P292" i="4"/>
  <c r="Q254" i="4"/>
  <c r="H170" i="12" s="1"/>
  <c r="P161" i="4"/>
  <c r="Q295" i="4"/>
  <c r="O290" i="4"/>
  <c r="P284" i="4"/>
  <c r="P278" i="4"/>
  <c r="O271" i="4"/>
  <c r="Q257" i="4"/>
  <c r="H173" i="12" s="1"/>
  <c r="P250" i="4"/>
  <c r="M232" i="4"/>
  <c r="O226" i="4"/>
  <c r="M213" i="4"/>
  <c r="M207" i="4"/>
  <c r="M195" i="4"/>
  <c r="P188" i="4"/>
  <c r="Q177" i="4"/>
  <c r="N172" i="4"/>
  <c r="M166" i="4"/>
  <c r="N160" i="4"/>
  <c r="M142" i="4"/>
  <c r="N135" i="4"/>
  <c r="O125" i="4"/>
  <c r="M89" i="4"/>
  <c r="O56" i="4"/>
  <c r="P34" i="4"/>
  <c r="O269" i="4"/>
  <c r="N216" i="4"/>
  <c r="O193" i="4"/>
  <c r="Q179" i="4"/>
  <c r="O161" i="4"/>
  <c r="M143" i="4"/>
  <c r="O133" i="4"/>
  <c r="O107" i="4"/>
  <c r="Q85" i="4"/>
  <c r="P56" i="4"/>
  <c r="O34" i="4"/>
  <c r="M20" i="4"/>
  <c r="P41" i="4"/>
  <c r="M313" i="4"/>
  <c r="Q287" i="4"/>
  <c r="M258" i="4"/>
  <c r="D174" i="12" s="1"/>
  <c r="P234" i="4"/>
  <c r="N213" i="4"/>
  <c r="M183" i="4"/>
  <c r="M87" i="4"/>
  <c r="M66" i="4"/>
  <c r="N54" i="4"/>
  <c r="Q48" i="4"/>
  <c r="M245" i="4"/>
  <c r="O155" i="4"/>
  <c r="N309" i="4"/>
  <c r="P287" i="4"/>
  <c r="O247" i="4"/>
  <c r="Q240" i="4"/>
  <c r="O234" i="4"/>
  <c r="P229" i="4"/>
  <c r="N223" i="4"/>
  <c r="Q216" i="4"/>
  <c r="O203" i="4"/>
  <c r="Q185" i="4"/>
  <c r="Q174" i="4"/>
  <c r="Q168" i="4"/>
  <c r="M163" i="4"/>
  <c r="N157" i="4"/>
  <c r="Q128" i="4"/>
  <c r="P117" i="4"/>
  <c r="Q111" i="4"/>
  <c r="M106" i="4"/>
  <c r="Q73" i="4"/>
  <c r="N37" i="4"/>
  <c r="Q20" i="4"/>
  <c r="Q306" i="4"/>
  <c r="Q298" i="4"/>
  <c r="O284" i="4"/>
  <c r="O274" i="4"/>
  <c r="N200" i="4"/>
  <c r="Q187" i="4"/>
  <c r="P173" i="4"/>
  <c r="N149" i="4"/>
  <c r="P137" i="4"/>
  <c r="N114" i="4"/>
  <c r="N101" i="4"/>
  <c r="O62" i="4"/>
  <c r="M48" i="4"/>
  <c r="N27" i="4"/>
  <c r="P315" i="4"/>
  <c r="M309" i="4"/>
  <c r="M290" i="4"/>
  <c r="Q270" i="4"/>
  <c r="P267" i="4"/>
  <c r="M261" i="4"/>
  <c r="D177" i="12" s="1"/>
  <c r="O250" i="4"/>
  <c r="N247" i="4"/>
  <c r="N234" i="4"/>
  <c r="N229" i="4"/>
  <c r="P219" i="4"/>
  <c r="O216" i="4"/>
  <c r="Q200" i="4"/>
  <c r="O191" i="4"/>
  <c r="O180" i="4"/>
  <c r="P174" i="4"/>
  <c r="M172" i="4"/>
  <c r="O168" i="4"/>
  <c r="Q159" i="4"/>
  <c r="O131" i="4"/>
  <c r="P128" i="4"/>
  <c r="N117" i="4"/>
  <c r="O114" i="4"/>
  <c r="M92" i="4"/>
  <c r="P86" i="4"/>
  <c r="O73" i="4"/>
  <c r="O65" i="4"/>
  <c r="P59" i="4"/>
  <c r="Q53" i="4"/>
  <c r="O48" i="4"/>
  <c r="Q44" i="4"/>
  <c r="M38" i="4"/>
  <c r="P28" i="4"/>
  <c r="O318" i="4"/>
  <c r="P306" i="4"/>
  <c r="P296" i="4"/>
  <c r="N290" i="4"/>
  <c r="M284" i="4"/>
  <c r="M279" i="4"/>
  <c r="N274" i="4"/>
  <c r="N269" i="4"/>
  <c r="N259" i="4"/>
  <c r="E175" i="12" s="1"/>
  <c r="J175" i="12" s="1"/>
  <c r="M250" i="4"/>
  <c r="P239" i="4"/>
  <c r="M234" i="4"/>
  <c r="N226" i="4"/>
  <c r="M216" i="4"/>
  <c r="O206" i="4"/>
  <c r="M200" i="4"/>
  <c r="N193" i="4"/>
  <c r="N187" i="4"/>
  <c r="P179" i="4"/>
  <c r="O173" i="4"/>
  <c r="M169" i="4"/>
  <c r="N161" i="4"/>
  <c r="M155" i="4"/>
  <c r="M149" i="4"/>
  <c r="O142" i="4"/>
  <c r="N137" i="4"/>
  <c r="O127" i="4"/>
  <c r="N121" i="4"/>
  <c r="N107" i="4"/>
  <c r="O94" i="4"/>
  <c r="O85" i="4"/>
  <c r="P75" i="4"/>
  <c r="N62" i="4"/>
  <c r="M57" i="4"/>
  <c r="N34" i="4"/>
  <c r="M27" i="4"/>
  <c r="P17" i="4"/>
  <c r="O5" i="4"/>
  <c r="M96" i="4"/>
  <c r="N88" i="4"/>
  <c r="N72" i="4"/>
  <c r="N64" i="4"/>
  <c r="O58" i="4"/>
  <c r="N44" i="4"/>
  <c r="Q24" i="4"/>
  <c r="N289" i="4"/>
  <c r="M272" i="4"/>
  <c r="P257" i="4"/>
  <c r="G173" i="12" s="1"/>
  <c r="Q158" i="4"/>
  <c r="N146" i="4"/>
  <c r="P131" i="4"/>
  <c r="P65" i="4"/>
  <c r="M31" i="4"/>
  <c r="N314" i="4"/>
  <c r="P310" i="4"/>
  <c r="O300" i="4"/>
  <c r="P294" i="4"/>
  <c r="Q285" i="4"/>
  <c r="Q279" i="4"/>
  <c r="P269" i="4"/>
  <c r="P262" i="4"/>
  <c r="G178" i="12" s="1"/>
  <c r="O259" i="4"/>
  <c r="F175" i="12" s="1"/>
  <c r="O256" i="4"/>
  <c r="F172" i="12" s="1"/>
  <c r="N249" i="4"/>
  <c r="M246" i="4"/>
  <c r="N239" i="4"/>
  <c r="P231" i="4"/>
  <c r="M225" i="4"/>
  <c r="Q221" i="4"/>
  <c r="O218" i="4"/>
  <c r="M208" i="4"/>
  <c r="Q189" i="4"/>
  <c r="O187" i="4"/>
  <c r="O184" i="4"/>
  <c r="O176" i="4"/>
  <c r="P170" i="4"/>
  <c r="Q161" i="4"/>
  <c r="P158" i="4"/>
  <c r="O140" i="4"/>
  <c r="O137" i="4"/>
  <c r="Q126" i="4"/>
  <c r="N124" i="4"/>
  <c r="Q104" i="4"/>
  <c r="N85" i="4"/>
  <c r="M80" i="4"/>
  <c r="M67" i="4"/>
  <c r="N58" i="4"/>
  <c r="N41" i="4"/>
  <c r="Q35" i="4"/>
  <c r="P30" i="4"/>
  <c r="N22" i="4"/>
  <c r="Q7" i="4"/>
  <c r="N5" i="4"/>
  <c r="N315" i="4"/>
  <c r="O310" i="4"/>
  <c r="O305" i="4"/>
  <c r="M287" i="4"/>
  <c r="N277" i="4"/>
  <c r="P271" i="4"/>
  <c r="N257" i="4"/>
  <c r="E173" i="12" s="1"/>
  <c r="J173" i="12" s="1"/>
  <c r="Q251" i="4"/>
  <c r="O229" i="4"/>
  <c r="N219" i="4"/>
  <c r="Q213" i="4"/>
  <c r="Q203" i="4"/>
  <c r="M197" i="4"/>
  <c r="P184" i="4"/>
  <c r="N165" i="4"/>
  <c r="Q140" i="4"/>
  <c r="N91" i="4"/>
  <c r="N82" i="4"/>
  <c r="M59" i="4"/>
  <c r="P46" i="4"/>
  <c r="O30" i="4"/>
  <c r="M99" i="4"/>
  <c r="P90" i="4"/>
  <c r="Q82" i="4"/>
  <c r="M79" i="4"/>
  <c r="M70" i="4"/>
  <c r="N61" i="4"/>
  <c r="M50" i="4"/>
  <c r="N47" i="4"/>
  <c r="P22" i="4"/>
  <c r="N15" i="4"/>
  <c r="N8" i="4"/>
  <c r="O315" i="4"/>
  <c r="M281" i="4"/>
  <c r="M152" i="4"/>
  <c r="M136" i="4"/>
  <c r="M111" i="4"/>
  <c r="N98" i="4"/>
  <c r="P73" i="4"/>
  <c r="M53" i="4"/>
  <c r="M314" i="4"/>
  <c r="O308" i="4"/>
  <c r="N300" i="4"/>
  <c r="M259" i="4"/>
  <c r="D175" i="12" s="1"/>
  <c r="M249" i="4"/>
  <c r="Q246" i="4"/>
  <c r="Q238" i="4"/>
  <c r="Q227" i="4"/>
  <c r="Q207" i="4"/>
  <c r="Q202" i="4"/>
  <c r="N184" i="4"/>
  <c r="N176" i="4"/>
  <c r="O170" i="4"/>
  <c r="P155" i="4"/>
  <c r="P149" i="4"/>
  <c r="N140" i="4"/>
  <c r="M137" i="4"/>
  <c r="N133" i="4"/>
  <c r="M124" i="4"/>
  <c r="M102" i="4"/>
  <c r="M85" i="4"/>
  <c r="O82" i="4"/>
  <c r="P74" i="4"/>
  <c r="P63" i="4"/>
  <c r="M58" i="4"/>
  <c r="P43" i="4"/>
  <c r="M41" i="4"/>
  <c r="O27" i="4"/>
  <c r="Q14" i="4"/>
  <c r="O309" i="4"/>
  <c r="N305" i="4"/>
  <c r="Q293" i="4"/>
  <c r="O286" i="4"/>
  <c r="Q276" i="4"/>
  <c r="O261" i="4"/>
  <c r="F177" i="12" s="1"/>
  <c r="M247" i="4"/>
  <c r="Q228" i="4"/>
  <c r="N218" i="4"/>
  <c r="M184" i="4"/>
  <c r="M176" i="4"/>
  <c r="M170" i="4"/>
  <c r="Q124" i="4"/>
  <c r="O90" i="4"/>
  <c r="M73" i="4"/>
  <c r="Q58" i="4"/>
  <c r="O46" i="4"/>
  <c r="O37" i="4"/>
  <c r="O22" i="4"/>
  <c r="M303" i="4"/>
  <c r="M302" i="4"/>
  <c r="M203" i="4"/>
  <c r="M204" i="4"/>
  <c r="M103" i="4"/>
  <c r="M104" i="4"/>
  <c r="Q148" i="4"/>
  <c r="M236" i="4"/>
  <c r="O313" i="4"/>
  <c r="M307" i="4"/>
  <c r="N285" i="4"/>
  <c r="M275" i="4"/>
  <c r="P175" i="4"/>
  <c r="M123" i="4"/>
  <c r="M168" i="4"/>
  <c r="M56" i="4"/>
  <c r="M319" i="4"/>
  <c r="M299" i="4"/>
  <c r="Q284" i="4"/>
  <c r="P279" i="4"/>
  <c r="N235" i="4"/>
  <c r="M95" i="4"/>
  <c r="P62" i="4"/>
  <c r="M167" i="4"/>
  <c r="M49" i="4"/>
  <c r="P183" i="4"/>
  <c r="P122" i="4"/>
  <c r="P123" i="4"/>
  <c r="P114" i="4"/>
  <c r="P115" i="4"/>
  <c r="Q62" i="4"/>
  <c r="M54" i="4"/>
  <c r="M55" i="4"/>
  <c r="P318" i="4"/>
  <c r="O264" i="4"/>
  <c r="F180" i="12" s="1"/>
  <c r="N260" i="4"/>
  <c r="E176" i="12" s="1"/>
  <c r="J176" i="12" s="1"/>
  <c r="N250" i="4"/>
  <c r="N251" i="4"/>
  <c r="Q244" i="4"/>
  <c r="N241" i="4"/>
  <c r="N240" i="4"/>
  <c r="P206" i="4"/>
  <c r="N155" i="4"/>
  <c r="N156" i="4"/>
  <c r="Q94" i="4"/>
  <c r="Q68" i="4"/>
  <c r="M43" i="4"/>
  <c r="M7" i="4"/>
  <c r="M8" i="4"/>
  <c r="M317" i="4"/>
  <c r="M217" i="4"/>
  <c r="M156" i="4"/>
  <c r="M37" i="4"/>
  <c r="Q180" i="4"/>
  <c r="N56" i="4"/>
  <c r="N57" i="4"/>
  <c r="P20" i="4"/>
  <c r="P21" i="4"/>
  <c r="N312" i="4"/>
  <c r="N313" i="4"/>
  <c r="M278" i="4"/>
  <c r="N264" i="4"/>
  <c r="E180" i="12" s="1"/>
  <c r="J180" i="12" s="1"/>
  <c r="N254" i="4"/>
  <c r="E170" i="12" s="1"/>
  <c r="J170" i="12" s="1"/>
  <c r="P244" i="4"/>
  <c r="Q132" i="4"/>
  <c r="Q100" i="4"/>
  <c r="P68" i="4"/>
  <c r="Q42" i="4"/>
  <c r="Q307" i="4"/>
  <c r="O282" i="4"/>
  <c r="Q32" i="4"/>
  <c r="M206" i="4"/>
  <c r="P307" i="4"/>
  <c r="O244" i="4"/>
  <c r="M220" i="4"/>
  <c r="N142" i="4"/>
  <c r="N28" i="4"/>
  <c r="Q315" i="4"/>
  <c r="Q305" i="4"/>
  <c r="M296" i="4"/>
  <c r="P277" i="4"/>
  <c r="Q267" i="4"/>
  <c r="N248" i="4"/>
  <c r="Q219" i="4"/>
  <c r="O40" i="4"/>
  <c r="M26" i="4"/>
  <c r="O14" i="4"/>
  <c r="M255" i="4"/>
  <c r="D171" i="12" s="1"/>
  <c r="M144" i="4"/>
  <c r="M93" i="4"/>
  <c r="Q302" i="4"/>
  <c r="O248" i="4"/>
  <c r="P209" i="4"/>
  <c r="N102" i="4"/>
  <c r="O213" i="4"/>
  <c r="O212" i="4"/>
  <c r="N138" i="4"/>
  <c r="N139" i="4"/>
  <c r="M115" i="4"/>
  <c r="M114" i="4"/>
  <c r="O31" i="4"/>
  <c r="O32" i="4"/>
  <c r="Q12" i="4"/>
  <c r="Q13" i="4"/>
  <c r="Q282" i="4"/>
  <c r="M265" i="4"/>
  <c r="D181" i="12" s="1"/>
  <c r="M264" i="4"/>
  <c r="D180" i="12" s="1"/>
  <c r="O194" i="4"/>
  <c r="M139" i="4"/>
  <c r="M138" i="4"/>
  <c r="N228" i="4"/>
  <c r="M28" i="4"/>
  <c r="P305" i="4"/>
  <c r="M214" i="4"/>
  <c r="O165" i="4"/>
  <c r="M194" i="4"/>
  <c r="P302" i="4"/>
  <c r="M34" i="4"/>
  <c r="M35" i="4"/>
  <c r="Q289" i="4"/>
  <c r="Q290" i="4"/>
  <c r="P249" i="4"/>
  <c r="M191" i="4"/>
  <c r="M192" i="4"/>
  <c r="M189" i="4"/>
  <c r="M188" i="4"/>
  <c r="N150" i="4"/>
  <c r="M134" i="4"/>
  <c r="M135" i="4"/>
  <c r="N128" i="4"/>
  <c r="N129" i="4"/>
  <c r="O297" i="4"/>
  <c r="M202" i="4"/>
  <c r="M199" i="4"/>
  <c r="M196" i="4"/>
  <c r="M164" i="4"/>
  <c r="P133" i="4"/>
  <c r="O108" i="4"/>
  <c r="Q95" i="4"/>
  <c r="Q87" i="4"/>
  <c r="M46" i="4"/>
  <c r="N17" i="4"/>
  <c r="M238" i="4"/>
  <c r="Q209" i="4"/>
  <c r="M126" i="4"/>
  <c r="M132" i="4"/>
  <c r="N151" i="4"/>
  <c r="N237" i="4"/>
  <c r="N238" i="4"/>
  <c r="O296" i="4"/>
  <c r="Q154" i="4"/>
  <c r="Q155" i="4"/>
  <c r="O162" i="4"/>
  <c r="O288" i="4"/>
  <c r="M283" i="4"/>
  <c r="Q198" i="4"/>
  <c r="M173" i="4"/>
  <c r="Q120" i="4"/>
  <c r="Q45" i="4"/>
  <c r="N38" i="4"/>
  <c r="Q29" i="4"/>
  <c r="N24" i="4"/>
  <c r="Q299" i="4"/>
  <c r="N271" i="4"/>
  <c r="P237" i="4"/>
  <c r="M158" i="4"/>
  <c r="P151" i="4"/>
  <c r="P145" i="4"/>
  <c r="P81" i="4"/>
  <c r="M293" i="4"/>
  <c r="M69" i="4"/>
  <c r="P297" i="4"/>
  <c r="M227" i="4"/>
  <c r="M226" i="4"/>
  <c r="M174" i="4"/>
  <c r="M175" i="4"/>
  <c r="M233" i="4"/>
  <c r="N310" i="4"/>
  <c r="P285" i="4"/>
  <c r="O279" i="4"/>
  <c r="M269" i="4"/>
  <c r="P221" i="4"/>
  <c r="Q195" i="4"/>
  <c r="M297" i="4"/>
  <c r="N288" i="4"/>
  <c r="O285" i="4"/>
  <c r="P282" i="4"/>
  <c r="P268" i="4"/>
  <c r="M262" i="4"/>
  <c r="D178" i="12" s="1"/>
  <c r="P245" i="4"/>
  <c r="P198" i="4"/>
  <c r="P195" i="4"/>
  <c r="Q172" i="4"/>
  <c r="M19" i="4"/>
  <c r="Q292" i="4"/>
  <c r="P69" i="4"/>
  <c r="Q318" i="4"/>
  <c r="P309" i="4"/>
  <c r="N296" i="4"/>
  <c r="Q278" i="4"/>
  <c r="Q274" i="4"/>
  <c r="Q271" i="4"/>
  <c r="N255" i="4"/>
  <c r="E171" i="12" s="1"/>
  <c r="J171" i="12" s="1"/>
  <c r="N244" i="4"/>
  <c r="M241" i="4"/>
  <c r="O237" i="4"/>
  <c r="N232" i="4"/>
  <c r="P226" i="4"/>
  <c r="M221" i="4"/>
  <c r="N207" i="4"/>
  <c r="P203" i="4"/>
  <c r="N201" i="4"/>
  <c r="N175" i="4"/>
  <c r="O160" i="4"/>
  <c r="O145" i="4"/>
  <c r="P142" i="4"/>
  <c r="P125" i="4"/>
  <c r="Q122" i="4"/>
  <c r="Q114" i="4"/>
  <c r="N106" i="4"/>
  <c r="P94" i="4"/>
  <c r="O81" i="4"/>
  <c r="N79" i="4"/>
  <c r="M71" i="4"/>
  <c r="M72" i="4"/>
  <c r="M63" i="4"/>
  <c r="M64" i="4"/>
  <c r="Q56" i="4"/>
  <c r="P51" i="4"/>
  <c r="P37" i="4"/>
  <c r="N32" i="4"/>
  <c r="N26" i="4"/>
  <c r="M21" i="4"/>
  <c r="P18" i="4"/>
  <c r="O16" i="4"/>
  <c r="M14" i="4"/>
  <c r="O9" i="4"/>
  <c r="P275" i="4"/>
  <c r="O270" i="4"/>
  <c r="Q250" i="4"/>
  <c r="O227" i="4"/>
  <c r="Q220" i="4"/>
  <c r="P216" i="4"/>
  <c r="N211" i="4"/>
  <c r="Q206" i="4"/>
  <c r="O200" i="4"/>
  <c r="P193" i="4"/>
  <c r="Q188" i="4"/>
  <c r="Q182" i="4"/>
  <c r="O174" i="4"/>
  <c r="O134" i="4"/>
  <c r="N123" i="4"/>
  <c r="N115" i="4"/>
  <c r="O86" i="4"/>
  <c r="O69" i="4"/>
  <c r="P49" i="4"/>
  <c r="N43" i="4"/>
  <c r="Q34" i="4"/>
  <c r="O20" i="4"/>
  <c r="P7" i="4"/>
  <c r="M107" i="4"/>
  <c r="M78" i="4"/>
  <c r="Q183" i="4"/>
  <c r="P100" i="4"/>
  <c r="Q91" i="4"/>
  <c r="O68" i="4"/>
  <c r="Q26" i="4"/>
  <c r="M242" i="4"/>
  <c r="M128" i="4"/>
  <c r="M75" i="4"/>
  <c r="O307" i="4"/>
  <c r="P224" i="4"/>
  <c r="P101" i="4"/>
  <c r="Q245" i="4"/>
  <c r="O304" i="4"/>
  <c r="P291" i="4"/>
  <c r="Q288" i="4"/>
  <c r="Q269" i="4"/>
  <c r="O266" i="4"/>
  <c r="N233" i="4"/>
  <c r="Q230" i="4"/>
  <c r="N208" i="4"/>
  <c r="M190" i="4"/>
  <c r="Q181" i="4"/>
  <c r="O167" i="4"/>
  <c r="N164" i="4"/>
  <c r="M150" i="4"/>
  <c r="Q133" i="4"/>
  <c r="O93" i="4"/>
  <c r="P85" i="4"/>
  <c r="N80" i="4"/>
  <c r="N67" i="4"/>
  <c r="N55" i="4"/>
  <c r="O41" i="4"/>
  <c r="P38" i="4"/>
  <c r="N33" i="4"/>
  <c r="P19" i="4"/>
  <c r="O17" i="4"/>
  <c r="O12" i="4"/>
  <c r="O10" i="4"/>
  <c r="P5" i="4"/>
  <c r="P311" i="4"/>
  <c r="O301" i="4"/>
  <c r="O277" i="4"/>
  <c r="O267" i="4"/>
  <c r="P263" i="4"/>
  <c r="G179" i="12" s="1"/>
  <c r="O253" i="4"/>
  <c r="F169" i="12" s="1"/>
  <c r="O238" i="4"/>
  <c r="O219" i="4"/>
  <c r="M210" i="4"/>
  <c r="N197" i="4"/>
  <c r="P177" i="4"/>
  <c r="O171" i="4"/>
  <c r="O141" i="4"/>
  <c r="O126" i="4"/>
  <c r="O84" i="4"/>
  <c r="N59" i="4"/>
  <c r="Q46" i="4"/>
  <c r="M40" i="4"/>
  <c r="M276" i="4"/>
  <c r="M88" i="4"/>
  <c r="P259" i="4"/>
  <c r="G175" i="12" s="1"/>
  <c r="P222" i="4"/>
  <c r="Q272" i="4"/>
  <c r="N266" i="4"/>
  <c r="P252" i="4"/>
  <c r="P230" i="4"/>
  <c r="Q211" i="4"/>
  <c r="Q193" i="4"/>
  <c r="P181" i="4"/>
  <c r="N179" i="4"/>
  <c r="N173" i="4"/>
  <c r="N167" i="4"/>
  <c r="Q149" i="4"/>
  <c r="P143" i="4"/>
  <c r="M130" i="4"/>
  <c r="Q118" i="4"/>
  <c r="Q112" i="4"/>
  <c r="P110" i="4"/>
  <c r="N93" i="4"/>
  <c r="M90" i="4"/>
  <c r="Q77" i="4"/>
  <c r="Q74" i="4"/>
  <c r="Q71" i="4"/>
  <c r="Q69" i="4"/>
  <c r="Q63" i="4"/>
  <c r="M61" i="4"/>
  <c r="P52" i="4"/>
  <c r="Q49" i="4"/>
  <c r="M44" i="4"/>
  <c r="M33" i="4"/>
  <c r="Q27" i="4"/>
  <c r="O24" i="4"/>
  <c r="O19" i="4"/>
  <c r="N12" i="4"/>
  <c r="N10" i="4"/>
  <c r="N301" i="4"/>
  <c r="O294" i="4"/>
  <c r="Q280" i="4"/>
  <c r="N267" i="4"/>
  <c r="P247" i="4"/>
  <c r="Q241" i="4"/>
  <c r="O224" i="4"/>
  <c r="Q190" i="4"/>
  <c r="N177" i="4"/>
  <c r="N170" i="4"/>
  <c r="O158" i="4"/>
  <c r="Q151" i="4"/>
  <c r="P135" i="4"/>
  <c r="N131" i="4"/>
  <c r="O117" i="4"/>
  <c r="O110" i="4"/>
  <c r="Q97" i="4"/>
  <c r="N73" i="4"/>
  <c r="N65" i="4"/>
  <c r="Q51" i="4"/>
  <c r="Q39" i="4"/>
  <c r="P24" i="4"/>
  <c r="P13" i="4"/>
  <c r="N46" i="4"/>
  <c r="N317" i="4"/>
  <c r="P288" i="4"/>
  <c r="N297" i="4"/>
  <c r="P235" i="4"/>
  <c r="P211" i="4"/>
  <c r="P189" i="4"/>
  <c r="M161" i="4"/>
  <c r="Q129" i="4"/>
  <c r="Q115" i="4"/>
  <c r="P112" i="4"/>
  <c r="N110" i="4"/>
  <c r="O104" i="4"/>
  <c r="P95" i="4"/>
  <c r="Q79" i="4"/>
  <c r="P77" i="4"/>
  <c r="P71" i="4"/>
  <c r="Q66" i="4"/>
  <c r="Q54" i="4"/>
  <c r="O49" i="4"/>
  <c r="P35" i="4"/>
  <c r="M22" i="4"/>
  <c r="N19" i="4"/>
  <c r="M12" i="4"/>
  <c r="M10" i="4"/>
  <c r="O7" i="4"/>
  <c r="P319" i="4"/>
  <c r="P280" i="4"/>
  <c r="O251" i="4"/>
  <c r="P241" i="4"/>
  <c r="O223" i="4"/>
  <c r="P213" i="4"/>
  <c r="N203" i="4"/>
  <c r="Q196" i="4"/>
  <c r="P190" i="4"/>
  <c r="Q164" i="4"/>
  <c r="P139" i="4"/>
  <c r="O135" i="4"/>
  <c r="Q130" i="4"/>
  <c r="N108" i="4"/>
  <c r="P103" i="4"/>
  <c r="P97" i="4"/>
  <c r="Q64" i="4"/>
  <c r="O51" i="4"/>
  <c r="N13" i="4"/>
  <c r="M286" i="4"/>
  <c r="M98" i="4"/>
  <c r="N279" i="4"/>
  <c r="Q212" i="4"/>
  <c r="O204" i="4"/>
  <c r="P148" i="4"/>
  <c r="N136" i="4"/>
  <c r="P120" i="4"/>
  <c r="O100" i="4"/>
  <c r="P84" i="4"/>
  <c r="O291" i="4"/>
  <c r="Q275" i="4"/>
  <c r="Q316" i="4"/>
  <c r="N294" i="4"/>
  <c r="O275" i="4"/>
  <c r="N224" i="4"/>
  <c r="Q217" i="4"/>
  <c r="P192" i="4"/>
  <c r="N158" i="4"/>
  <c r="P118" i="4"/>
  <c r="Q106" i="4"/>
  <c r="P87" i="4"/>
  <c r="Q60" i="4"/>
  <c r="Q313" i="4"/>
  <c r="N307" i="4"/>
  <c r="M300" i="4"/>
  <c r="M291" i="4"/>
  <c r="N275" i="4"/>
  <c r="O272" i="4"/>
  <c r="Q258" i="4"/>
  <c r="H174" i="12" s="1"/>
  <c r="Q248" i="4"/>
  <c r="O235" i="4"/>
  <c r="P232" i="4"/>
  <c r="N230" i="4"/>
  <c r="O221" i="4"/>
  <c r="O217" i="4"/>
  <c r="P214" i="4"/>
  <c r="O211" i="4"/>
  <c r="P207" i="4"/>
  <c r="P204" i="4"/>
  <c r="O192" i="4"/>
  <c r="O189" i="4"/>
  <c r="O186" i="4"/>
  <c r="O183" i="4"/>
  <c r="N181" i="4"/>
  <c r="Q178" i="4"/>
  <c r="Q175" i="4"/>
  <c r="Q169" i="4"/>
  <c r="Q166" i="4"/>
  <c r="P163" i="4"/>
  <c r="Q160" i="4"/>
  <c r="Q157" i="4"/>
  <c r="P154" i="4"/>
  <c r="O148" i="4"/>
  <c r="O146" i="4"/>
  <c r="N143" i="4"/>
  <c r="M140" i="4"/>
  <c r="Q136" i="4"/>
  <c r="P129" i="4"/>
  <c r="N126" i="4"/>
  <c r="O123" i="4"/>
  <c r="O120" i="4"/>
  <c r="N118" i="4"/>
  <c r="O115" i="4"/>
  <c r="O112" i="4"/>
  <c r="M110" i="4"/>
  <c r="P106" i="4"/>
  <c r="N104" i="4"/>
  <c r="M101" i="4"/>
  <c r="O95" i="4"/>
  <c r="Q92" i="4"/>
  <c r="P89" i="4"/>
  <c r="O87" i="4"/>
  <c r="N84" i="4"/>
  <c r="M82" i="4"/>
  <c r="P79" i="4"/>
  <c r="O77" i="4"/>
  <c r="O74" i="4"/>
  <c r="O71" i="4"/>
  <c r="N69" i="4"/>
  <c r="P66" i="4"/>
  <c r="O63" i="4"/>
  <c r="P60" i="4"/>
  <c r="Q57" i="4"/>
  <c r="P54" i="4"/>
  <c r="N49" i="4"/>
  <c r="P45" i="4"/>
  <c r="O43" i="4"/>
  <c r="O35" i="4"/>
  <c r="P32" i="4"/>
  <c r="O29" i="4"/>
  <c r="P26" i="4"/>
  <c r="M24" i="4"/>
  <c r="Q21" i="4"/>
  <c r="Q16" i="4"/>
  <c r="Q9" i="4"/>
  <c r="O319" i="4"/>
  <c r="P313" i="4"/>
  <c r="Q308" i="4"/>
  <c r="O299" i="4"/>
  <c r="N286" i="4"/>
  <c r="M271" i="4"/>
  <c r="Q260" i="4"/>
  <c r="H176" i="12" s="1"/>
  <c r="O255" i="4"/>
  <c r="F171" i="12" s="1"/>
  <c r="O196" i="4"/>
  <c r="O190" i="4"/>
  <c r="O175" i="4"/>
  <c r="P169" i="4"/>
  <c r="O97" i="4"/>
  <c r="N90" i="4"/>
  <c r="P72" i="4"/>
  <c r="P57" i="4"/>
  <c r="M30" i="4"/>
  <c r="O21" i="4"/>
  <c r="M223" i="4"/>
  <c r="O228" i="4"/>
  <c r="Q186" i="4"/>
  <c r="O132" i="4"/>
  <c r="N304" i="4"/>
  <c r="N283" i="4"/>
  <c r="N291" i="4"/>
  <c r="N262" i="4"/>
  <c r="E178" i="12" s="1"/>
  <c r="J178" i="12" s="1"/>
  <c r="N256" i="4"/>
  <c r="E172" i="12" s="1"/>
  <c r="J172" i="12" s="1"/>
  <c r="Q232" i="4"/>
  <c r="Q201" i="4"/>
  <c r="P186" i="4"/>
  <c r="O181" i="4"/>
  <c r="Q163" i="4"/>
  <c r="O143" i="4"/>
  <c r="P126" i="4"/>
  <c r="Q89" i="4"/>
  <c r="P255" i="4"/>
  <c r="G171" i="12" s="1"/>
  <c r="P316" i="4"/>
  <c r="M310" i="4"/>
  <c r="O316" i="4"/>
  <c r="P303" i="4"/>
  <c r="P299" i="4"/>
  <c r="Q296" i="4"/>
  <c r="P293" i="4"/>
  <c r="N272" i="4"/>
  <c r="O258" i="4"/>
  <c r="F174" i="12" s="1"/>
  <c r="Q255" i="4"/>
  <c r="H171" i="12" s="1"/>
  <c r="N245" i="4"/>
  <c r="Q234" i="4"/>
  <c r="O232" i="4"/>
  <c r="M230" i="4"/>
  <c r="Q226" i="4"/>
  <c r="Q223" i="4"/>
  <c r="N221" i="4"/>
  <c r="N217" i="4"/>
  <c r="N214" i="4"/>
  <c r="M211" i="4"/>
  <c r="O207" i="4"/>
  <c r="O201" i="4"/>
  <c r="O198" i="4"/>
  <c r="O195" i="4"/>
  <c r="N192" i="4"/>
  <c r="N189" i="4"/>
  <c r="N186" i="4"/>
  <c r="N183" i="4"/>
  <c r="M181" i="4"/>
  <c r="O178" i="4"/>
  <c r="O169" i="4"/>
  <c r="P166" i="4"/>
  <c r="P160" i="4"/>
  <c r="P157" i="4"/>
  <c r="O154" i="4"/>
  <c r="N148" i="4"/>
  <c r="Q142" i="4"/>
  <c r="Q139" i="4"/>
  <c r="O136" i="4"/>
  <c r="N132" i="4"/>
  <c r="O129" i="4"/>
  <c r="Q125" i="4"/>
  <c r="N120" i="4"/>
  <c r="N112" i="4"/>
  <c r="Q109" i="4"/>
  <c r="O106" i="4"/>
  <c r="Q103" i="4"/>
  <c r="N100" i="4"/>
  <c r="N95" i="4"/>
  <c r="P92" i="4"/>
  <c r="O89" i="4"/>
  <c r="N87" i="4"/>
  <c r="M84" i="4"/>
  <c r="Q81" i="4"/>
  <c r="O79" i="4"/>
  <c r="N77" i="4"/>
  <c r="N71" i="4"/>
  <c r="O66" i="4"/>
  <c r="N63" i="4"/>
  <c r="O60" i="4"/>
  <c r="O57" i="4"/>
  <c r="O54" i="4"/>
  <c r="M52" i="4"/>
  <c r="O45" i="4"/>
  <c r="P42" i="4"/>
  <c r="N40" i="4"/>
  <c r="N35" i="4"/>
  <c r="N29" i="4"/>
  <c r="O26" i="4"/>
  <c r="N319" i="4"/>
  <c r="N299" i="4"/>
  <c r="M280" i="4"/>
  <c r="Q264" i="4"/>
  <c r="H180" i="12" s="1"/>
  <c r="M251" i="4"/>
  <c r="O245" i="4"/>
  <c r="Q235" i="4"/>
  <c r="P227" i="4"/>
  <c r="P217" i="4"/>
  <c r="P200" i="4"/>
  <c r="N194" i="4"/>
  <c r="N190" i="4"/>
  <c r="N50" i="4"/>
  <c r="Q43" i="4"/>
  <c r="P29" i="4"/>
  <c r="N21" i="4"/>
  <c r="P270" i="4"/>
  <c r="P14" i="4"/>
  <c r="Q11" i="4"/>
  <c r="N7" i="4"/>
  <c r="O241" i="4"/>
  <c r="O209" i="4"/>
  <c r="O151" i="4"/>
  <c r="N145" i="4"/>
  <c r="O139" i="4"/>
  <c r="P130" i="4"/>
  <c r="Q123" i="4"/>
  <c r="Q116" i="4"/>
  <c r="Q101" i="4"/>
  <c r="N81" i="4"/>
  <c r="P64" i="4"/>
  <c r="Q36" i="4"/>
  <c r="P8" i="4"/>
  <c r="Q23" i="4"/>
  <c r="Q18" i="4"/>
  <c r="P16" i="4"/>
  <c r="P11" i="4"/>
  <c r="Q6" i="4"/>
  <c r="N162" i="4"/>
  <c r="Q134" i="4"/>
  <c r="Q107" i="4"/>
  <c r="N97" i="4"/>
  <c r="O36" i="4"/>
  <c r="F57" i="7"/>
  <c r="E56" i="7"/>
  <c r="E57" i="7"/>
  <c r="F56" i="7"/>
  <c r="D57" i="7"/>
  <c r="G72" i="7"/>
  <c r="C13" i="7"/>
  <c r="C14" i="7" s="1"/>
  <c r="F13" i="7"/>
  <c r="E13" i="7"/>
  <c r="D13" i="7"/>
  <c r="C96" i="10" a="1"/>
  <c r="C96" i="12" a="1"/>
  <c r="C96" i="11" a="1"/>
  <c r="L96" i="11" a="1"/>
  <c r="L96" i="10" a="1"/>
  <c r="L96" i="7" a="1"/>
  <c r="C96" i="7" a="1"/>
  <c r="L174" i="12" l="1"/>
  <c r="I178" i="12"/>
  <c r="C103" i="7" a="1"/>
  <c r="C103" i="7" s="1"/>
  <c r="C96" i="7"/>
  <c r="L96" i="7"/>
  <c r="L96" i="10"/>
  <c r="L96" i="11"/>
  <c r="C96" i="11"/>
  <c r="C96" i="12"/>
  <c r="C96" i="10"/>
  <c r="K174" i="11"/>
  <c r="E53" i="11"/>
  <c r="L180" i="12"/>
  <c r="I180" i="12"/>
  <c r="E29" i="11"/>
  <c r="E37" i="11" s="1"/>
  <c r="E40" i="11" s="1"/>
  <c r="K158" i="12"/>
  <c r="I172" i="12"/>
  <c r="L170" i="12"/>
  <c r="F29" i="11"/>
  <c r="F37" i="11" s="1"/>
  <c r="J170" i="11"/>
  <c r="M170" i="11"/>
  <c r="F53" i="11"/>
  <c r="F61" i="11" s="1"/>
  <c r="F62" i="11" s="1"/>
  <c r="D29" i="11"/>
  <c r="D37" i="11" s="1"/>
  <c r="M169" i="7"/>
  <c r="M139" i="7"/>
  <c r="M159" i="7"/>
  <c r="M179" i="7"/>
  <c r="G71" i="7"/>
  <c r="G75" i="7" s="1"/>
  <c r="E35" i="7"/>
  <c r="E29" i="7"/>
  <c r="D53" i="7"/>
  <c r="K174" i="12"/>
  <c r="I170" i="12"/>
  <c r="C85" i="12"/>
  <c r="K176" i="12"/>
  <c r="K178" i="12"/>
  <c r="K180" i="12"/>
  <c r="K170" i="12"/>
  <c r="K172" i="12"/>
  <c r="L178" i="12"/>
  <c r="C53" i="10"/>
  <c r="C61" i="10" s="1"/>
  <c r="C64" i="10" s="1"/>
  <c r="G29" i="10"/>
  <c r="G37" i="10" s="1"/>
  <c r="G29" i="11"/>
  <c r="G37" i="11" s="1"/>
  <c r="G40" i="11" s="1"/>
  <c r="H148" i="12"/>
  <c r="H174" i="10"/>
  <c r="M174" i="10" s="1"/>
  <c r="H160" i="11"/>
  <c r="M160" i="11" s="1"/>
  <c r="H154" i="10"/>
  <c r="M154" i="10" s="1"/>
  <c r="H140" i="11"/>
  <c r="M140" i="11" s="1"/>
  <c r="H167" i="7"/>
  <c r="M167" i="7" s="1"/>
  <c r="H139" i="11"/>
  <c r="M139" i="11" s="1"/>
  <c r="H153" i="10"/>
  <c r="M153" i="10" s="1"/>
  <c r="H166" i="7"/>
  <c r="M166" i="7" s="1"/>
  <c r="D158" i="12"/>
  <c r="I158" i="12" s="1"/>
  <c r="D170" i="11"/>
  <c r="F136" i="10"/>
  <c r="K136" i="10" s="1"/>
  <c r="F149" i="7"/>
  <c r="K149" i="7" s="1"/>
  <c r="D163" i="12"/>
  <c r="I163" i="12" s="1"/>
  <c r="D175" i="11"/>
  <c r="G155" i="12"/>
  <c r="L155" i="12" s="1"/>
  <c r="G167" i="11"/>
  <c r="L167" i="11" s="1"/>
  <c r="F135" i="7"/>
  <c r="K135" i="7" s="1"/>
  <c r="H140" i="7"/>
  <c r="M140" i="7" s="1"/>
  <c r="D148" i="12"/>
  <c r="I148" i="12" s="1"/>
  <c r="D160" i="11"/>
  <c r="D174" i="10"/>
  <c r="I174" i="10" s="1"/>
  <c r="F168" i="11"/>
  <c r="K168" i="11" s="1"/>
  <c r="F156" i="12"/>
  <c r="K156" i="12" s="1"/>
  <c r="E131" i="12"/>
  <c r="J131" i="12" s="1"/>
  <c r="E143" i="11"/>
  <c r="J143" i="11" s="1"/>
  <c r="E157" i="10"/>
  <c r="J157" i="10" s="1"/>
  <c r="E170" i="7"/>
  <c r="J170" i="7" s="1"/>
  <c r="D140" i="10"/>
  <c r="I140" i="10" s="1"/>
  <c r="D153" i="7"/>
  <c r="I153" i="7" s="1"/>
  <c r="G139" i="12"/>
  <c r="L139" i="12" s="1"/>
  <c r="G151" i="11"/>
  <c r="L151" i="11" s="1"/>
  <c r="G165" i="10"/>
  <c r="L165" i="10" s="1"/>
  <c r="G178" i="7"/>
  <c r="L178" i="7" s="1"/>
  <c r="H175" i="11"/>
  <c r="M175" i="11" s="1"/>
  <c r="H163" i="12"/>
  <c r="H155" i="12"/>
  <c r="H167" i="11"/>
  <c r="M167" i="11" s="1"/>
  <c r="G141" i="10"/>
  <c r="G154" i="7"/>
  <c r="L154" i="7" s="1"/>
  <c r="F138" i="12"/>
  <c r="K138" i="12" s="1"/>
  <c r="F164" i="10"/>
  <c r="K164" i="10" s="1"/>
  <c r="F150" i="11"/>
  <c r="K150" i="11" s="1"/>
  <c r="F177" i="7"/>
  <c r="K177" i="7" s="1"/>
  <c r="E153" i="12"/>
  <c r="J153" i="12" s="1"/>
  <c r="E165" i="11"/>
  <c r="J165" i="11" s="1"/>
  <c r="E179" i="10"/>
  <c r="J179" i="10" s="1"/>
  <c r="D167" i="12"/>
  <c r="I167" i="12" s="1"/>
  <c r="D179" i="11"/>
  <c r="F137" i="10"/>
  <c r="K137" i="10" s="1"/>
  <c r="F150" i="7"/>
  <c r="K150" i="7" s="1"/>
  <c r="D146" i="12"/>
  <c r="I146" i="12" s="1"/>
  <c r="D158" i="11"/>
  <c r="D172" i="10"/>
  <c r="I172" i="10" s="1"/>
  <c r="G141" i="7"/>
  <c r="L141" i="7" s="1"/>
  <c r="F144" i="12"/>
  <c r="K144" i="12" s="1"/>
  <c r="F156" i="11"/>
  <c r="K156" i="11" s="1"/>
  <c r="F170" i="10"/>
  <c r="K170" i="10" s="1"/>
  <c r="F132" i="10"/>
  <c r="K132" i="10" s="1"/>
  <c r="F145" i="7"/>
  <c r="K145" i="7" s="1"/>
  <c r="H133" i="7"/>
  <c r="M133" i="7" s="1"/>
  <c r="F133" i="12"/>
  <c r="K133" i="12" s="1"/>
  <c r="F145" i="11"/>
  <c r="K145" i="11" s="1"/>
  <c r="F159" i="10"/>
  <c r="K159" i="10" s="1"/>
  <c r="F172" i="7"/>
  <c r="K172" i="7" s="1"/>
  <c r="E140" i="12"/>
  <c r="J140" i="12" s="1"/>
  <c r="E152" i="11"/>
  <c r="J152" i="11" s="1"/>
  <c r="E166" i="10"/>
  <c r="J166" i="10" s="1"/>
  <c r="E179" i="7"/>
  <c r="J179" i="7" s="1"/>
  <c r="F139" i="12"/>
  <c r="K139" i="12" s="1"/>
  <c r="F151" i="11"/>
  <c r="K151" i="11" s="1"/>
  <c r="F165" i="10"/>
  <c r="K165" i="10" s="1"/>
  <c r="F178" i="7"/>
  <c r="K178" i="7" s="1"/>
  <c r="G136" i="7"/>
  <c r="L136" i="7" s="1"/>
  <c r="D138" i="11"/>
  <c r="D152" i="10"/>
  <c r="I152" i="10" s="1"/>
  <c r="D165" i="7"/>
  <c r="I165" i="7" s="1"/>
  <c r="E149" i="12"/>
  <c r="J149" i="12" s="1"/>
  <c r="E161" i="11"/>
  <c r="J161" i="11" s="1"/>
  <c r="E175" i="10"/>
  <c r="J175" i="10" s="1"/>
  <c r="F129" i="7"/>
  <c r="K129" i="7" s="1"/>
  <c r="H166" i="12"/>
  <c r="H178" i="11"/>
  <c r="M178" i="11" s="1"/>
  <c r="E135" i="11"/>
  <c r="J135" i="11" s="1"/>
  <c r="E149" i="10"/>
  <c r="J149" i="10" s="1"/>
  <c r="E162" i="7"/>
  <c r="J162" i="7" s="1"/>
  <c r="G161" i="12"/>
  <c r="L161" i="12" s="1"/>
  <c r="G173" i="11"/>
  <c r="L173" i="11" s="1"/>
  <c r="E157" i="12"/>
  <c r="J157" i="12" s="1"/>
  <c r="E169" i="11"/>
  <c r="J169" i="11" s="1"/>
  <c r="E134" i="12"/>
  <c r="J134" i="12" s="1"/>
  <c r="E146" i="11"/>
  <c r="J146" i="11" s="1"/>
  <c r="E160" i="10"/>
  <c r="J160" i="10" s="1"/>
  <c r="E173" i="7"/>
  <c r="J173" i="7" s="1"/>
  <c r="H143" i="12"/>
  <c r="H169" i="10"/>
  <c r="M169" i="10" s="1"/>
  <c r="H155" i="11"/>
  <c r="M155" i="11" s="1"/>
  <c r="H167" i="12"/>
  <c r="H179" i="11"/>
  <c r="M179" i="11" s="1"/>
  <c r="D136" i="11"/>
  <c r="D150" i="10"/>
  <c r="I150" i="10" s="1"/>
  <c r="D163" i="7"/>
  <c r="I163" i="7" s="1"/>
  <c r="F140" i="10"/>
  <c r="K140" i="10" s="1"/>
  <c r="F153" i="7"/>
  <c r="K153" i="7" s="1"/>
  <c r="F148" i="12"/>
  <c r="K148" i="12" s="1"/>
  <c r="F160" i="11"/>
  <c r="K160" i="11" s="1"/>
  <c r="F174" i="10"/>
  <c r="K174" i="10" s="1"/>
  <c r="H129" i="11"/>
  <c r="M129" i="11" s="1"/>
  <c r="H143" i="10"/>
  <c r="M143" i="10" s="1"/>
  <c r="H156" i="7"/>
  <c r="M156" i="7" s="1"/>
  <c r="D139" i="12"/>
  <c r="I139" i="12" s="1"/>
  <c r="D165" i="10"/>
  <c r="I165" i="10" s="1"/>
  <c r="D151" i="11"/>
  <c r="D178" i="7"/>
  <c r="I178" i="7" s="1"/>
  <c r="F138" i="10"/>
  <c r="K138" i="10" s="1"/>
  <c r="F151" i="7"/>
  <c r="K151" i="7" s="1"/>
  <c r="E136" i="7"/>
  <c r="J136" i="7" s="1"/>
  <c r="F137" i="12"/>
  <c r="K137" i="12" s="1"/>
  <c r="F149" i="11"/>
  <c r="K149" i="11" s="1"/>
  <c r="F163" i="10"/>
  <c r="K163" i="10" s="1"/>
  <c r="F176" i="7"/>
  <c r="K176" i="7" s="1"/>
  <c r="F146" i="10"/>
  <c r="K146" i="10" s="1"/>
  <c r="F132" i="11"/>
  <c r="K132" i="11" s="1"/>
  <c r="F159" i="7"/>
  <c r="K159" i="7" s="1"/>
  <c r="G157" i="12"/>
  <c r="L157" i="12" s="1"/>
  <c r="G169" i="11"/>
  <c r="L169" i="11" s="1"/>
  <c r="H135" i="10"/>
  <c r="M135" i="10" s="1"/>
  <c r="H148" i="7"/>
  <c r="M148" i="7" s="1"/>
  <c r="F135" i="12"/>
  <c r="K135" i="12" s="1"/>
  <c r="F161" i="10"/>
  <c r="K161" i="10" s="1"/>
  <c r="F147" i="11"/>
  <c r="K147" i="11" s="1"/>
  <c r="F174" i="7"/>
  <c r="K174" i="7" s="1"/>
  <c r="H137" i="7"/>
  <c r="M137" i="7" s="1"/>
  <c r="D137" i="12"/>
  <c r="I137" i="12" s="1"/>
  <c r="D163" i="10"/>
  <c r="I163" i="10" s="1"/>
  <c r="D149" i="11"/>
  <c r="D176" i="7"/>
  <c r="I176" i="7" s="1"/>
  <c r="E154" i="12"/>
  <c r="J154" i="12" s="1"/>
  <c r="E166" i="11"/>
  <c r="J166" i="11" s="1"/>
  <c r="E180" i="10"/>
  <c r="J180" i="10" s="1"/>
  <c r="H160" i="12"/>
  <c r="H172" i="11"/>
  <c r="M172" i="11" s="1"/>
  <c r="H144" i="12"/>
  <c r="H156" i="11"/>
  <c r="M156" i="11" s="1"/>
  <c r="H170" i="10"/>
  <c r="M170" i="10" s="1"/>
  <c r="H154" i="12"/>
  <c r="H166" i="11"/>
  <c r="M166" i="11" s="1"/>
  <c r="H180" i="10"/>
  <c r="M180" i="10" s="1"/>
  <c r="F134" i="12"/>
  <c r="K134" i="12" s="1"/>
  <c r="F146" i="11"/>
  <c r="F160" i="10"/>
  <c r="K160" i="10" s="1"/>
  <c r="F173" i="7"/>
  <c r="K173" i="7" s="1"/>
  <c r="D178" i="11"/>
  <c r="D166" i="12"/>
  <c r="I166" i="12" s="1"/>
  <c r="F133" i="10"/>
  <c r="K133" i="10" s="1"/>
  <c r="F146" i="7"/>
  <c r="K146" i="7" s="1"/>
  <c r="F131" i="11"/>
  <c r="K131" i="11" s="1"/>
  <c r="F145" i="10"/>
  <c r="K145" i="10" s="1"/>
  <c r="F158" i="7"/>
  <c r="K158" i="7" s="1"/>
  <c r="D161" i="12"/>
  <c r="I161" i="12" s="1"/>
  <c r="D173" i="11"/>
  <c r="H134" i="7"/>
  <c r="M134" i="7" s="1"/>
  <c r="G166" i="12"/>
  <c r="L166" i="12" s="1"/>
  <c r="G178" i="11"/>
  <c r="L178" i="11" s="1"/>
  <c r="D138" i="12"/>
  <c r="I138" i="12" s="1"/>
  <c r="D164" i="10"/>
  <c r="I164" i="10" s="1"/>
  <c r="D150" i="11"/>
  <c r="D177" i="7"/>
  <c r="I177" i="7" s="1"/>
  <c r="D129" i="11"/>
  <c r="D143" i="10"/>
  <c r="I143" i="10" s="1"/>
  <c r="D156" i="7"/>
  <c r="I156" i="7" s="1"/>
  <c r="E134" i="11"/>
  <c r="J134" i="11" s="1"/>
  <c r="E148" i="10"/>
  <c r="J148" i="10" s="1"/>
  <c r="E161" i="7"/>
  <c r="J161" i="7" s="1"/>
  <c r="E147" i="12"/>
  <c r="J147" i="12" s="1"/>
  <c r="E159" i="11"/>
  <c r="J159" i="11" s="1"/>
  <c r="E173" i="10"/>
  <c r="J173" i="10" s="1"/>
  <c r="E146" i="12"/>
  <c r="J146" i="12" s="1"/>
  <c r="E158" i="11"/>
  <c r="J158" i="11" s="1"/>
  <c r="E172" i="10"/>
  <c r="J172" i="10" s="1"/>
  <c r="H137" i="12"/>
  <c r="H149" i="11"/>
  <c r="M149" i="11" s="1"/>
  <c r="H163" i="10"/>
  <c r="M163" i="10" s="1"/>
  <c r="H176" i="7"/>
  <c r="M176" i="7" s="1"/>
  <c r="D133" i="7"/>
  <c r="I133" i="7" s="1"/>
  <c r="E162" i="12"/>
  <c r="J162" i="12" s="1"/>
  <c r="E174" i="11"/>
  <c r="J174" i="11" s="1"/>
  <c r="D137" i="11"/>
  <c r="D151" i="10"/>
  <c r="I151" i="10" s="1"/>
  <c r="D164" i="7"/>
  <c r="I164" i="7" s="1"/>
  <c r="H131" i="12"/>
  <c r="H157" i="10"/>
  <c r="M157" i="10" s="1"/>
  <c r="H143" i="11"/>
  <c r="M143" i="11" s="1"/>
  <c r="H170" i="7"/>
  <c r="M170" i="7" s="1"/>
  <c r="H149" i="12"/>
  <c r="H161" i="11"/>
  <c r="M161" i="11" s="1"/>
  <c r="H175" i="10"/>
  <c r="M175" i="10" s="1"/>
  <c r="F137" i="7"/>
  <c r="K137" i="7" s="1"/>
  <c r="H130" i="10"/>
  <c r="M130" i="10" s="1"/>
  <c r="H143" i="7"/>
  <c r="M143" i="7" s="1"/>
  <c r="F151" i="10"/>
  <c r="K151" i="10" s="1"/>
  <c r="F137" i="11"/>
  <c r="K137" i="11" s="1"/>
  <c r="F164" i="7"/>
  <c r="K164" i="7" s="1"/>
  <c r="E132" i="10"/>
  <c r="J132" i="10" s="1"/>
  <c r="E145" i="7"/>
  <c r="J145" i="7" s="1"/>
  <c r="F135" i="11"/>
  <c r="K135" i="11" s="1"/>
  <c r="F149" i="10"/>
  <c r="K149" i="10" s="1"/>
  <c r="F162" i="7"/>
  <c r="K162" i="7" s="1"/>
  <c r="E173" i="11"/>
  <c r="J173" i="11" s="1"/>
  <c r="E161" i="12"/>
  <c r="J161" i="12" s="1"/>
  <c r="F141" i="7"/>
  <c r="K141" i="7" s="1"/>
  <c r="G148" i="12"/>
  <c r="L148" i="12" s="1"/>
  <c r="G160" i="11"/>
  <c r="L160" i="11" s="1"/>
  <c r="G174" i="10"/>
  <c r="L174" i="10" s="1"/>
  <c r="G146" i="12"/>
  <c r="L146" i="12" s="1"/>
  <c r="G172" i="10"/>
  <c r="L172" i="10" s="1"/>
  <c r="G158" i="11"/>
  <c r="L158" i="11" s="1"/>
  <c r="G135" i="10"/>
  <c r="G148" i="7"/>
  <c r="L148" i="7" s="1"/>
  <c r="E148" i="12"/>
  <c r="J148" i="12" s="1"/>
  <c r="E160" i="11"/>
  <c r="J160" i="11" s="1"/>
  <c r="E174" i="10"/>
  <c r="J174" i="10" s="1"/>
  <c r="D149" i="12"/>
  <c r="I149" i="12" s="1"/>
  <c r="D161" i="11"/>
  <c r="D175" i="10"/>
  <c r="I175" i="10" s="1"/>
  <c r="E166" i="12"/>
  <c r="J166" i="12" s="1"/>
  <c r="E178" i="11"/>
  <c r="J178" i="11" s="1"/>
  <c r="D165" i="12"/>
  <c r="I165" i="12" s="1"/>
  <c r="D177" i="11"/>
  <c r="D141" i="12"/>
  <c r="I141" i="12" s="1"/>
  <c r="D153" i="11"/>
  <c r="D167" i="10"/>
  <c r="I167" i="10" s="1"/>
  <c r="D180" i="7"/>
  <c r="I180" i="7" s="1"/>
  <c r="E129" i="10"/>
  <c r="J129" i="10" s="1"/>
  <c r="E142" i="7"/>
  <c r="J142" i="7" s="1"/>
  <c r="F132" i="12"/>
  <c r="K132" i="12" s="1"/>
  <c r="F144" i="11"/>
  <c r="K144" i="11" s="1"/>
  <c r="F158" i="10"/>
  <c r="K158" i="10" s="1"/>
  <c r="F171" i="7"/>
  <c r="K171" i="7" s="1"/>
  <c r="H129" i="10"/>
  <c r="M129" i="10" s="1"/>
  <c r="H142" i="7"/>
  <c r="M142" i="7" s="1"/>
  <c r="E139" i="12"/>
  <c r="J139" i="12" s="1"/>
  <c r="E151" i="11"/>
  <c r="J151" i="11" s="1"/>
  <c r="E165" i="10"/>
  <c r="J165" i="10" s="1"/>
  <c r="E178" i="7"/>
  <c r="J178" i="7" s="1"/>
  <c r="E132" i="12"/>
  <c r="J132" i="12" s="1"/>
  <c r="E144" i="11"/>
  <c r="J144" i="11" s="1"/>
  <c r="E158" i="10"/>
  <c r="J158" i="10" s="1"/>
  <c r="E171" i="7"/>
  <c r="J171" i="7" s="1"/>
  <c r="D144" i="12"/>
  <c r="I144" i="12" s="1"/>
  <c r="D156" i="11"/>
  <c r="D170" i="10"/>
  <c r="I170" i="10" s="1"/>
  <c r="F165" i="12"/>
  <c r="K165" i="12" s="1"/>
  <c r="F177" i="11"/>
  <c r="K177" i="11" s="1"/>
  <c r="G136" i="12"/>
  <c r="L136" i="12" s="1"/>
  <c r="G162" i="10"/>
  <c r="L162" i="10" s="1"/>
  <c r="G148" i="11"/>
  <c r="L148" i="11" s="1"/>
  <c r="G175" i="7"/>
  <c r="L175" i="7" s="1"/>
  <c r="H131" i="7"/>
  <c r="M131" i="7" s="1"/>
  <c r="G141" i="12"/>
  <c r="L141" i="12" s="1"/>
  <c r="G153" i="11"/>
  <c r="L153" i="11" s="1"/>
  <c r="G167" i="10"/>
  <c r="L167" i="10" s="1"/>
  <c r="G180" i="7"/>
  <c r="L180" i="7" s="1"/>
  <c r="G152" i="12"/>
  <c r="L152" i="12" s="1"/>
  <c r="G164" i="11"/>
  <c r="L164" i="11" s="1"/>
  <c r="G178" i="10"/>
  <c r="L178" i="10" s="1"/>
  <c r="H133" i="11"/>
  <c r="M133" i="11" s="1"/>
  <c r="H147" i="10"/>
  <c r="M147" i="10" s="1"/>
  <c r="H160" i="7"/>
  <c r="M160" i="7" s="1"/>
  <c r="F167" i="12"/>
  <c r="K167" i="12" s="1"/>
  <c r="F179" i="11"/>
  <c r="K179" i="11" s="1"/>
  <c r="E167" i="12"/>
  <c r="J167" i="12" s="1"/>
  <c r="E179" i="11"/>
  <c r="J179" i="11" s="1"/>
  <c r="G134" i="7"/>
  <c r="L134" i="7" s="1"/>
  <c r="H142" i="10"/>
  <c r="M142" i="10" s="1"/>
  <c r="H155" i="7"/>
  <c r="M155" i="7" s="1"/>
  <c r="H132" i="12"/>
  <c r="H158" i="10"/>
  <c r="M158" i="10" s="1"/>
  <c r="H144" i="11"/>
  <c r="M144" i="11" s="1"/>
  <c r="H171" i="7"/>
  <c r="M171" i="7" s="1"/>
  <c r="F135" i="10"/>
  <c r="K135" i="10" s="1"/>
  <c r="F148" i="7"/>
  <c r="K148" i="7" s="1"/>
  <c r="F157" i="12"/>
  <c r="K157" i="12" s="1"/>
  <c r="F169" i="11"/>
  <c r="K169" i="11" s="1"/>
  <c r="E136" i="10"/>
  <c r="J136" i="10" s="1"/>
  <c r="E149" i="7"/>
  <c r="J149" i="7" s="1"/>
  <c r="F133" i="7"/>
  <c r="K133" i="7" s="1"/>
  <c r="D139" i="11"/>
  <c r="D153" i="10"/>
  <c r="I153" i="10" s="1"/>
  <c r="D166" i="7"/>
  <c r="I166" i="7" s="1"/>
  <c r="F131" i="10"/>
  <c r="K131" i="10" s="1"/>
  <c r="F144" i="7"/>
  <c r="K144" i="7" s="1"/>
  <c r="F151" i="12"/>
  <c r="K151" i="12" s="1"/>
  <c r="F177" i="10"/>
  <c r="K177" i="10" s="1"/>
  <c r="F163" i="11"/>
  <c r="K163" i="11" s="1"/>
  <c r="G131" i="10"/>
  <c r="L131" i="10" s="1"/>
  <c r="G144" i="7"/>
  <c r="L144" i="7" s="1"/>
  <c r="G168" i="12"/>
  <c r="L168" i="12" s="1"/>
  <c r="G180" i="11"/>
  <c r="L180" i="11" s="1"/>
  <c r="F142" i="10"/>
  <c r="K142" i="10" s="1"/>
  <c r="F155" i="7"/>
  <c r="K155" i="7" s="1"/>
  <c r="F153" i="12"/>
  <c r="K153" i="12" s="1"/>
  <c r="F165" i="11"/>
  <c r="K165" i="11" s="1"/>
  <c r="F179" i="10"/>
  <c r="K179" i="10" s="1"/>
  <c r="D130" i="7"/>
  <c r="I130" i="7" s="1"/>
  <c r="H140" i="10"/>
  <c r="M140" i="10" s="1"/>
  <c r="H153" i="7"/>
  <c r="M153" i="7" s="1"/>
  <c r="D130" i="10"/>
  <c r="I130" i="10" s="1"/>
  <c r="D143" i="7"/>
  <c r="I143" i="7" s="1"/>
  <c r="D136" i="10"/>
  <c r="I136" i="10" s="1"/>
  <c r="D149" i="7"/>
  <c r="I149" i="7" s="1"/>
  <c r="F154" i="10"/>
  <c r="K154" i="10" s="1"/>
  <c r="F140" i="11"/>
  <c r="K140" i="11" s="1"/>
  <c r="F167" i="7"/>
  <c r="K167" i="7" s="1"/>
  <c r="G138" i="7"/>
  <c r="L138" i="7" s="1"/>
  <c r="G139" i="7"/>
  <c r="L139" i="7" s="1"/>
  <c r="G147" i="12"/>
  <c r="L147" i="12" s="1"/>
  <c r="G159" i="11"/>
  <c r="L159" i="11" s="1"/>
  <c r="G173" i="10"/>
  <c r="L173" i="10" s="1"/>
  <c r="E135" i="10"/>
  <c r="J135" i="10" s="1"/>
  <c r="E148" i="7"/>
  <c r="J148" i="7" s="1"/>
  <c r="G135" i="12"/>
  <c r="L135" i="12" s="1"/>
  <c r="G147" i="11"/>
  <c r="L147" i="11" s="1"/>
  <c r="G161" i="10"/>
  <c r="L161" i="10" s="1"/>
  <c r="G174" i="7"/>
  <c r="L174" i="7" s="1"/>
  <c r="E142" i="10"/>
  <c r="J142" i="10" s="1"/>
  <c r="E155" i="7"/>
  <c r="J155" i="7" s="1"/>
  <c r="G145" i="12"/>
  <c r="L145" i="12" s="1"/>
  <c r="G157" i="11"/>
  <c r="L157" i="11" s="1"/>
  <c r="G171" i="10"/>
  <c r="L171" i="10" s="1"/>
  <c r="H132" i="7"/>
  <c r="M132" i="7" s="1"/>
  <c r="H152" i="10"/>
  <c r="M152" i="10" s="1"/>
  <c r="H138" i="11"/>
  <c r="M138" i="11" s="1"/>
  <c r="H165" i="7"/>
  <c r="M165" i="7" s="1"/>
  <c r="H159" i="12"/>
  <c r="H171" i="11"/>
  <c r="M171" i="11" s="1"/>
  <c r="D135" i="7"/>
  <c r="I135" i="7" s="1"/>
  <c r="G149" i="12"/>
  <c r="L149" i="12" s="1"/>
  <c r="G161" i="11"/>
  <c r="L161" i="11" s="1"/>
  <c r="G175" i="10"/>
  <c r="L175" i="10" s="1"/>
  <c r="E137" i="7"/>
  <c r="J137" i="7" s="1"/>
  <c r="F159" i="12"/>
  <c r="K159" i="12" s="1"/>
  <c r="F171" i="11"/>
  <c r="K171" i="11" s="1"/>
  <c r="H136" i="11"/>
  <c r="M136" i="11" s="1"/>
  <c r="H150" i="10"/>
  <c r="M150" i="10" s="1"/>
  <c r="H163" i="7"/>
  <c r="M163" i="7" s="1"/>
  <c r="F129" i="11"/>
  <c r="K129" i="11" s="1"/>
  <c r="F143" i="10"/>
  <c r="K143" i="10" s="1"/>
  <c r="F156" i="7"/>
  <c r="K156" i="7" s="1"/>
  <c r="F138" i="7"/>
  <c r="K138" i="7" s="1"/>
  <c r="D152" i="12"/>
  <c r="I152" i="12" s="1"/>
  <c r="D178" i="10"/>
  <c r="I178" i="10" s="1"/>
  <c r="D164" i="11"/>
  <c r="D136" i="7"/>
  <c r="I136" i="7" s="1"/>
  <c r="E130" i="12"/>
  <c r="J130" i="12" s="1"/>
  <c r="E142" i="11"/>
  <c r="J142" i="11" s="1"/>
  <c r="E156" i="10"/>
  <c r="J156" i="10" s="1"/>
  <c r="E169" i="7"/>
  <c r="J169" i="7" s="1"/>
  <c r="E132" i="7"/>
  <c r="J132" i="7" s="1"/>
  <c r="G153" i="12"/>
  <c r="L153" i="12" s="1"/>
  <c r="G165" i="11"/>
  <c r="L165" i="11" s="1"/>
  <c r="G179" i="10"/>
  <c r="L179" i="10" s="1"/>
  <c r="D138" i="10"/>
  <c r="D151" i="7"/>
  <c r="I151" i="7" s="1"/>
  <c r="D139" i="10"/>
  <c r="I139" i="10" s="1"/>
  <c r="D152" i="7"/>
  <c r="I152" i="7" s="1"/>
  <c r="F150" i="12"/>
  <c r="K150" i="12" s="1"/>
  <c r="F176" i="10"/>
  <c r="K176" i="10" s="1"/>
  <c r="F162" i="11"/>
  <c r="K162" i="11" s="1"/>
  <c r="G130" i="10"/>
  <c r="L130" i="10" s="1"/>
  <c r="G143" i="7"/>
  <c r="L143" i="7" s="1"/>
  <c r="G131" i="7"/>
  <c r="L131" i="7" s="1"/>
  <c r="F136" i="12"/>
  <c r="K136" i="12" s="1"/>
  <c r="F148" i="11"/>
  <c r="K148" i="11" s="1"/>
  <c r="F162" i="10"/>
  <c r="K162" i="10" s="1"/>
  <c r="F175" i="7"/>
  <c r="K175" i="7" s="1"/>
  <c r="H147" i="12"/>
  <c r="H159" i="11"/>
  <c r="M159" i="11" s="1"/>
  <c r="H173" i="10"/>
  <c r="M173" i="10" s="1"/>
  <c r="E140" i="7"/>
  <c r="J140" i="7" s="1"/>
  <c r="H141" i="10"/>
  <c r="M141" i="10" s="1"/>
  <c r="H154" i="7"/>
  <c r="M154" i="7" s="1"/>
  <c r="G174" i="11"/>
  <c r="L174" i="11" s="1"/>
  <c r="G162" i="12"/>
  <c r="L162" i="12" s="1"/>
  <c r="G140" i="11"/>
  <c r="L140" i="11" s="1"/>
  <c r="G154" i="10"/>
  <c r="L154" i="10" s="1"/>
  <c r="G167" i="7"/>
  <c r="L167" i="7" s="1"/>
  <c r="H150" i="12"/>
  <c r="H162" i="11"/>
  <c r="M162" i="11" s="1"/>
  <c r="H176" i="10"/>
  <c r="M176" i="10" s="1"/>
  <c r="F154" i="12"/>
  <c r="K154" i="12" s="1"/>
  <c r="F166" i="11"/>
  <c r="K166" i="11" s="1"/>
  <c r="F180" i="10"/>
  <c r="K180" i="10" s="1"/>
  <c r="G142" i="10"/>
  <c r="L142" i="10" s="1"/>
  <c r="G155" i="7"/>
  <c r="L155" i="7" s="1"/>
  <c r="F134" i="10"/>
  <c r="K134" i="10" s="1"/>
  <c r="F147" i="7"/>
  <c r="K147" i="7" s="1"/>
  <c r="H164" i="12"/>
  <c r="H176" i="11"/>
  <c r="M176" i="11" s="1"/>
  <c r="G139" i="11"/>
  <c r="L139" i="11" s="1"/>
  <c r="G153" i="10"/>
  <c r="L153" i="10" s="1"/>
  <c r="G166" i="7"/>
  <c r="L166" i="7" s="1"/>
  <c r="H148" i="10"/>
  <c r="M148" i="10" s="1"/>
  <c r="H134" i="11"/>
  <c r="M134" i="11" s="1"/>
  <c r="H161" i="7"/>
  <c r="M161" i="7" s="1"/>
  <c r="D157" i="12"/>
  <c r="I157" i="12" s="1"/>
  <c r="D169" i="11"/>
  <c r="D129" i="7"/>
  <c r="I129" i="7" s="1"/>
  <c r="D131" i="10"/>
  <c r="I131" i="10" s="1"/>
  <c r="D144" i="7"/>
  <c r="F141" i="11"/>
  <c r="K141" i="11" s="1"/>
  <c r="F155" i="10"/>
  <c r="K155" i="10" s="1"/>
  <c r="F168" i="7"/>
  <c r="K168" i="7" s="1"/>
  <c r="D136" i="12"/>
  <c r="I136" i="12" s="1"/>
  <c r="D148" i="11"/>
  <c r="D162" i="10"/>
  <c r="I162" i="10" s="1"/>
  <c r="D175" i="7"/>
  <c r="I175" i="7" s="1"/>
  <c r="E155" i="12"/>
  <c r="J155" i="12" s="1"/>
  <c r="E167" i="11"/>
  <c r="J167" i="11" s="1"/>
  <c r="D142" i="10"/>
  <c r="I142" i="10" s="1"/>
  <c r="D155" i="7"/>
  <c r="I155" i="7" s="1"/>
  <c r="E145" i="12"/>
  <c r="J145" i="12" s="1"/>
  <c r="E157" i="11"/>
  <c r="J157" i="11" s="1"/>
  <c r="E171" i="10"/>
  <c r="J171" i="10" s="1"/>
  <c r="G133" i="12"/>
  <c r="L133" i="12" s="1"/>
  <c r="G145" i="11"/>
  <c r="L145" i="11" s="1"/>
  <c r="G159" i="10"/>
  <c r="G172" i="7"/>
  <c r="L172" i="7" s="1"/>
  <c r="E138" i="7"/>
  <c r="J138" i="7" s="1"/>
  <c r="E133" i="12"/>
  <c r="J133" i="12" s="1"/>
  <c r="E145" i="11"/>
  <c r="J145" i="11" s="1"/>
  <c r="E159" i="10"/>
  <c r="J159" i="10" s="1"/>
  <c r="E172" i="7"/>
  <c r="J172" i="7" s="1"/>
  <c r="G132" i="11"/>
  <c r="L132" i="11" s="1"/>
  <c r="G146" i="10"/>
  <c r="L146" i="10" s="1"/>
  <c r="G159" i="7"/>
  <c r="L159" i="7" s="1"/>
  <c r="G132" i="10"/>
  <c r="L132" i="10" s="1"/>
  <c r="G145" i="7"/>
  <c r="L145" i="7" s="1"/>
  <c r="G151" i="12"/>
  <c r="L151" i="12" s="1"/>
  <c r="G163" i="11"/>
  <c r="L163" i="11" s="1"/>
  <c r="G177" i="10"/>
  <c r="L177" i="10" s="1"/>
  <c r="H132" i="10"/>
  <c r="M132" i="10" s="1"/>
  <c r="H145" i="7"/>
  <c r="M145" i="7" s="1"/>
  <c r="H136" i="7"/>
  <c r="M136" i="7" s="1"/>
  <c r="H161" i="12"/>
  <c r="H173" i="11"/>
  <c r="M173" i="11" s="1"/>
  <c r="E139" i="11"/>
  <c r="J139" i="11" s="1"/>
  <c r="E153" i="10"/>
  <c r="J153" i="10" s="1"/>
  <c r="E166" i="7"/>
  <c r="J166" i="7" s="1"/>
  <c r="E172" i="11"/>
  <c r="J172" i="11" s="1"/>
  <c r="E160" i="12"/>
  <c r="J160" i="12" s="1"/>
  <c r="D142" i="12"/>
  <c r="I142" i="12" s="1"/>
  <c r="D168" i="10"/>
  <c r="I168" i="10" s="1"/>
  <c r="D154" i="11"/>
  <c r="H137" i="11"/>
  <c r="M137" i="11" s="1"/>
  <c r="H151" i="10"/>
  <c r="M151" i="10" s="1"/>
  <c r="H164" i="7"/>
  <c r="M164" i="7" s="1"/>
  <c r="D141" i="10"/>
  <c r="I141" i="10" s="1"/>
  <c r="D154" i="7"/>
  <c r="I154" i="7" s="1"/>
  <c r="D134" i="10"/>
  <c r="I134" i="10" s="1"/>
  <c r="D147" i="7"/>
  <c r="I147" i="7" s="1"/>
  <c r="D130" i="12"/>
  <c r="I130" i="12" s="1"/>
  <c r="D142" i="11"/>
  <c r="D156" i="10"/>
  <c r="I156" i="10" s="1"/>
  <c r="D169" i="7"/>
  <c r="I169" i="7" s="1"/>
  <c r="H135" i="12"/>
  <c r="H147" i="11"/>
  <c r="M147" i="11" s="1"/>
  <c r="H161" i="10"/>
  <c r="M161" i="10" s="1"/>
  <c r="H174" i="7"/>
  <c r="M174" i="7" s="1"/>
  <c r="F172" i="11"/>
  <c r="K172" i="11" s="1"/>
  <c r="F160" i="12"/>
  <c r="K160" i="12" s="1"/>
  <c r="G160" i="12"/>
  <c r="L160" i="12" s="1"/>
  <c r="G172" i="11"/>
  <c r="L172" i="11" s="1"/>
  <c r="H135" i="7"/>
  <c r="M135" i="7" s="1"/>
  <c r="D132" i="11"/>
  <c r="D146" i="10"/>
  <c r="I146" i="10" s="1"/>
  <c r="D159" i="7"/>
  <c r="I159" i="7" s="1"/>
  <c r="E131" i="7"/>
  <c r="J131" i="7" s="1"/>
  <c r="H131" i="11"/>
  <c r="M131" i="11" s="1"/>
  <c r="H145" i="10"/>
  <c r="M145" i="10" s="1"/>
  <c r="H158" i="7"/>
  <c r="M158" i="7" s="1"/>
  <c r="F131" i="7"/>
  <c r="K131" i="7" s="1"/>
  <c r="D162" i="12"/>
  <c r="I162" i="12" s="1"/>
  <c r="D174" i="11"/>
  <c r="F134" i="11"/>
  <c r="K134" i="11" s="1"/>
  <c r="F148" i="10"/>
  <c r="K148" i="10" s="1"/>
  <c r="F161" i="7"/>
  <c r="K161" i="7" s="1"/>
  <c r="E150" i="12"/>
  <c r="J150" i="12" s="1"/>
  <c r="E162" i="11"/>
  <c r="J162" i="11" s="1"/>
  <c r="E176" i="10"/>
  <c r="J176" i="10" s="1"/>
  <c r="H168" i="11"/>
  <c r="M168" i="11" s="1"/>
  <c r="H156" i="12"/>
  <c r="D138" i="7"/>
  <c r="I138" i="7" s="1"/>
  <c r="D137" i="10"/>
  <c r="I137" i="10" s="1"/>
  <c r="D150" i="7"/>
  <c r="I150" i="7" s="1"/>
  <c r="F134" i="7"/>
  <c r="K134" i="7" s="1"/>
  <c r="E143" i="12"/>
  <c r="J143" i="12" s="1"/>
  <c r="E155" i="11"/>
  <c r="J155" i="11" s="1"/>
  <c r="E169" i="10"/>
  <c r="J169" i="10" s="1"/>
  <c r="D141" i="7"/>
  <c r="I141" i="7" s="1"/>
  <c r="D160" i="12"/>
  <c r="I160" i="12" s="1"/>
  <c r="D172" i="11"/>
  <c r="G138" i="10"/>
  <c r="G151" i="7"/>
  <c r="L151" i="7" s="1"/>
  <c r="G130" i="11"/>
  <c r="L130" i="11" s="1"/>
  <c r="G144" i="10"/>
  <c r="L144" i="10" s="1"/>
  <c r="G157" i="7"/>
  <c r="L157" i="7" s="1"/>
  <c r="H165" i="12"/>
  <c r="H177" i="11"/>
  <c r="M177" i="11" s="1"/>
  <c r="F147" i="12"/>
  <c r="K147" i="12" s="1"/>
  <c r="F159" i="11"/>
  <c r="K159" i="11" s="1"/>
  <c r="F173" i="10"/>
  <c r="K173" i="10" s="1"/>
  <c r="G129" i="10"/>
  <c r="L129" i="10" s="1"/>
  <c r="G142" i="7"/>
  <c r="L142" i="7" s="1"/>
  <c r="E141" i="7"/>
  <c r="J141" i="7" s="1"/>
  <c r="H138" i="10"/>
  <c r="M138" i="10" s="1"/>
  <c r="H151" i="7"/>
  <c r="M151" i="7" s="1"/>
  <c r="E130" i="7"/>
  <c r="J130" i="7" s="1"/>
  <c r="D154" i="12"/>
  <c r="I154" i="12" s="1"/>
  <c r="D166" i="11"/>
  <c r="D180" i="10"/>
  <c r="I180" i="10" s="1"/>
  <c r="D131" i="11"/>
  <c r="D145" i="10"/>
  <c r="I145" i="10" s="1"/>
  <c r="D158" i="7"/>
  <c r="I158" i="7" s="1"/>
  <c r="G159" i="12"/>
  <c r="L159" i="12" s="1"/>
  <c r="G171" i="11"/>
  <c r="L171" i="11" s="1"/>
  <c r="D53" i="11"/>
  <c r="D59" i="11"/>
  <c r="E138" i="10"/>
  <c r="J138" i="10" s="1"/>
  <c r="E151" i="7"/>
  <c r="J151" i="7" s="1"/>
  <c r="G133" i="11"/>
  <c r="L133" i="11" s="1"/>
  <c r="G147" i="10"/>
  <c r="L147" i="10" s="1"/>
  <c r="G160" i="7"/>
  <c r="L160" i="7" s="1"/>
  <c r="G142" i="12"/>
  <c r="L142" i="12" s="1"/>
  <c r="G154" i="11"/>
  <c r="L154" i="11" s="1"/>
  <c r="G168" i="10"/>
  <c r="L168" i="10" s="1"/>
  <c r="H162" i="12"/>
  <c r="H174" i="11"/>
  <c r="M174" i="11" s="1"/>
  <c r="G143" i="12"/>
  <c r="L143" i="12" s="1"/>
  <c r="G155" i="11"/>
  <c r="L155" i="11" s="1"/>
  <c r="G169" i="10"/>
  <c r="L169" i="10" s="1"/>
  <c r="E137" i="12"/>
  <c r="J137" i="12" s="1"/>
  <c r="E163" i="10"/>
  <c r="J163" i="10" s="1"/>
  <c r="E149" i="11"/>
  <c r="J149" i="11" s="1"/>
  <c r="E176" i="7"/>
  <c r="J176" i="7" s="1"/>
  <c r="G135" i="11"/>
  <c r="L135" i="11" s="1"/>
  <c r="G149" i="10"/>
  <c r="L149" i="10" s="1"/>
  <c r="G162" i="7"/>
  <c r="L162" i="7" s="1"/>
  <c r="F140" i="12"/>
  <c r="K140" i="12" s="1"/>
  <c r="F166" i="10"/>
  <c r="K166" i="10" s="1"/>
  <c r="F152" i="11"/>
  <c r="K152" i="11" s="1"/>
  <c r="F179" i="7"/>
  <c r="K179" i="7" s="1"/>
  <c r="G138" i="12"/>
  <c r="L138" i="12" s="1"/>
  <c r="G150" i="11"/>
  <c r="L150" i="11" s="1"/>
  <c r="G164" i="10"/>
  <c r="L164" i="10" s="1"/>
  <c r="G177" i="7"/>
  <c r="L177" i="7" s="1"/>
  <c r="D132" i="10"/>
  <c r="I132" i="10" s="1"/>
  <c r="D145" i="7"/>
  <c r="I145" i="7" s="1"/>
  <c r="H138" i="7"/>
  <c r="M138" i="7" s="1"/>
  <c r="G132" i="12"/>
  <c r="L132" i="12" s="1"/>
  <c r="G158" i="10"/>
  <c r="L158" i="10" s="1"/>
  <c r="G144" i="11"/>
  <c r="L144" i="11" s="1"/>
  <c r="G171" i="7"/>
  <c r="L171" i="7" s="1"/>
  <c r="H137" i="10"/>
  <c r="M137" i="10" s="1"/>
  <c r="H150" i="7"/>
  <c r="M150" i="7" s="1"/>
  <c r="D143" i="12"/>
  <c r="I143" i="12" s="1"/>
  <c r="D169" i="10"/>
  <c r="I169" i="10" s="1"/>
  <c r="D155" i="11"/>
  <c r="D130" i="11"/>
  <c r="D144" i="10"/>
  <c r="I144" i="10" s="1"/>
  <c r="D157" i="7"/>
  <c r="I157" i="7" s="1"/>
  <c r="D133" i="10"/>
  <c r="I133" i="10" s="1"/>
  <c r="D146" i="7"/>
  <c r="I146" i="7" s="1"/>
  <c r="G137" i="11"/>
  <c r="L137" i="11" s="1"/>
  <c r="G151" i="10"/>
  <c r="L151" i="10" s="1"/>
  <c r="G164" i="7"/>
  <c r="L164" i="7" s="1"/>
  <c r="E164" i="12"/>
  <c r="J164" i="12" s="1"/>
  <c r="E176" i="11"/>
  <c r="J176" i="11" s="1"/>
  <c r="G130" i="7"/>
  <c r="L130" i="7" s="1"/>
  <c r="E139" i="7"/>
  <c r="J139" i="7" s="1"/>
  <c r="H141" i="11"/>
  <c r="M141" i="11" s="1"/>
  <c r="H155" i="10"/>
  <c r="M155" i="10" s="1"/>
  <c r="H168" i="7"/>
  <c r="M168" i="7" s="1"/>
  <c r="F139" i="7"/>
  <c r="K139" i="7" s="1"/>
  <c r="E165" i="12"/>
  <c r="J165" i="12" s="1"/>
  <c r="E177" i="11"/>
  <c r="J177" i="11" s="1"/>
  <c r="D132" i="12"/>
  <c r="I132" i="12" s="1"/>
  <c r="D158" i="10"/>
  <c r="I158" i="10" s="1"/>
  <c r="D144" i="11"/>
  <c r="D171" i="7"/>
  <c r="I171" i="7" s="1"/>
  <c r="E163" i="12"/>
  <c r="J163" i="12" s="1"/>
  <c r="E175" i="11"/>
  <c r="J175" i="11" s="1"/>
  <c r="F163" i="12"/>
  <c r="K163" i="12" s="1"/>
  <c r="F175" i="11"/>
  <c r="K175" i="11" s="1"/>
  <c r="E141" i="11"/>
  <c r="J141" i="11" s="1"/>
  <c r="E155" i="10"/>
  <c r="J155" i="10" s="1"/>
  <c r="E168" i="7"/>
  <c r="J168" i="7" s="1"/>
  <c r="D135" i="11"/>
  <c r="D149" i="10"/>
  <c r="I149" i="10" s="1"/>
  <c r="D162" i="7"/>
  <c r="I162" i="7" s="1"/>
  <c r="D151" i="12"/>
  <c r="I151" i="12" s="1"/>
  <c r="D163" i="11"/>
  <c r="D177" i="10"/>
  <c r="I177" i="10" s="1"/>
  <c r="G135" i="7"/>
  <c r="L135" i="7" s="1"/>
  <c r="H133" i="10"/>
  <c r="M133" i="10" s="1"/>
  <c r="H146" i="7"/>
  <c r="M146" i="7" s="1"/>
  <c r="D134" i="7"/>
  <c r="I134" i="7" s="1"/>
  <c r="F136" i="11"/>
  <c r="K136" i="11" s="1"/>
  <c r="F150" i="10"/>
  <c r="K150" i="10" s="1"/>
  <c r="F163" i="7"/>
  <c r="K163" i="7" s="1"/>
  <c r="E141" i="12"/>
  <c r="J141" i="12" s="1"/>
  <c r="E153" i="11"/>
  <c r="J153" i="11" s="1"/>
  <c r="E167" i="10"/>
  <c r="J167" i="10" s="1"/>
  <c r="E180" i="7"/>
  <c r="J180" i="7" s="1"/>
  <c r="L169" i="12"/>
  <c r="L173" i="12"/>
  <c r="L177" i="12"/>
  <c r="L181" i="12"/>
  <c r="L175" i="12"/>
  <c r="L179" i="12"/>
  <c r="L167" i="12"/>
  <c r="L171" i="12"/>
  <c r="L134" i="12"/>
  <c r="L144" i="12"/>
  <c r="L172" i="12"/>
  <c r="L176" i="12"/>
  <c r="J171" i="11"/>
  <c r="J130" i="11"/>
  <c r="J164" i="11"/>
  <c r="J132" i="11"/>
  <c r="J150" i="11"/>
  <c r="J133" i="11"/>
  <c r="G114" i="12"/>
  <c r="M173" i="12" s="1"/>
  <c r="D180" i="11"/>
  <c r="D168" i="12"/>
  <c r="I168" i="12" s="1"/>
  <c r="H181" i="12"/>
  <c r="H134" i="10"/>
  <c r="M134" i="10" s="1"/>
  <c r="H147" i="7"/>
  <c r="M147" i="7" s="1"/>
  <c r="H151" i="12"/>
  <c r="H163" i="11"/>
  <c r="M163" i="11" s="1"/>
  <c r="H177" i="10"/>
  <c r="M177" i="10" s="1"/>
  <c r="E131" i="10"/>
  <c r="J131" i="10" s="1"/>
  <c r="E144" i="7"/>
  <c r="J144" i="7" s="1"/>
  <c r="H139" i="12"/>
  <c r="H151" i="11"/>
  <c r="M151" i="11" s="1"/>
  <c r="H165" i="10"/>
  <c r="M165" i="10" s="1"/>
  <c r="H178" i="7"/>
  <c r="M178" i="7" s="1"/>
  <c r="F139" i="11"/>
  <c r="K139" i="11" s="1"/>
  <c r="F153" i="10"/>
  <c r="K153" i="10" s="1"/>
  <c r="F166" i="7"/>
  <c r="K166" i="7" s="1"/>
  <c r="G134" i="10"/>
  <c r="L134" i="10" s="1"/>
  <c r="G147" i="7"/>
  <c r="L147" i="7" s="1"/>
  <c r="E131" i="11"/>
  <c r="J131" i="11" s="1"/>
  <c r="E145" i="10"/>
  <c r="J145" i="10" s="1"/>
  <c r="E158" i="7"/>
  <c r="J158" i="7" s="1"/>
  <c r="H157" i="12"/>
  <c r="H169" i="11"/>
  <c r="M169" i="11" s="1"/>
  <c r="G132" i="7"/>
  <c r="L132" i="7" s="1"/>
  <c r="E136" i="11"/>
  <c r="J136" i="11" s="1"/>
  <c r="E150" i="10"/>
  <c r="J150" i="10" s="1"/>
  <c r="E163" i="7"/>
  <c r="J163" i="7" s="1"/>
  <c r="G140" i="12"/>
  <c r="L140" i="12" s="1"/>
  <c r="G152" i="11"/>
  <c r="L152" i="11" s="1"/>
  <c r="G166" i="10"/>
  <c r="L166" i="10" s="1"/>
  <c r="G179" i="7"/>
  <c r="L179" i="7" s="1"/>
  <c r="H136" i="12"/>
  <c r="H162" i="10"/>
  <c r="M162" i="10" s="1"/>
  <c r="H148" i="11"/>
  <c r="M148" i="11" s="1"/>
  <c r="H175" i="7"/>
  <c r="M175" i="7" s="1"/>
  <c r="E129" i="11"/>
  <c r="J129" i="11" s="1"/>
  <c r="E143" i="10"/>
  <c r="J143" i="10" s="1"/>
  <c r="E156" i="7"/>
  <c r="J156" i="7" s="1"/>
  <c r="G137" i="10"/>
  <c r="L137" i="10" s="1"/>
  <c r="G150" i="7"/>
  <c r="L150" i="7" s="1"/>
  <c r="G137" i="12"/>
  <c r="L137" i="12" s="1"/>
  <c r="G149" i="11"/>
  <c r="L149" i="11" s="1"/>
  <c r="G163" i="10"/>
  <c r="L163" i="10" s="1"/>
  <c r="G176" i="7"/>
  <c r="L176" i="7" s="1"/>
  <c r="G165" i="12"/>
  <c r="L165" i="12" s="1"/>
  <c r="G177" i="11"/>
  <c r="L177" i="11" s="1"/>
  <c r="F164" i="12"/>
  <c r="K164" i="12" s="1"/>
  <c r="F176" i="11"/>
  <c r="K176" i="11" s="1"/>
  <c r="D148" i="10"/>
  <c r="I148" i="10" s="1"/>
  <c r="D134" i="11"/>
  <c r="D161" i="7"/>
  <c r="I161" i="7" s="1"/>
  <c r="G148" i="10"/>
  <c r="L148" i="10" s="1"/>
  <c r="G134" i="11"/>
  <c r="L134" i="11" s="1"/>
  <c r="G161" i="7"/>
  <c r="L161" i="7" s="1"/>
  <c r="D131" i="7"/>
  <c r="I131" i="7" s="1"/>
  <c r="H144" i="10"/>
  <c r="M144" i="10" s="1"/>
  <c r="H130" i="11"/>
  <c r="M130" i="11" s="1"/>
  <c r="H157" i="7"/>
  <c r="M157" i="7" s="1"/>
  <c r="E135" i="12"/>
  <c r="J135" i="12" s="1"/>
  <c r="E147" i="11"/>
  <c r="J147" i="11" s="1"/>
  <c r="E161" i="10"/>
  <c r="J161" i="10" s="1"/>
  <c r="E174" i="7"/>
  <c r="J174" i="7" s="1"/>
  <c r="F129" i="10"/>
  <c r="K129" i="10" s="1"/>
  <c r="F142" i="7"/>
  <c r="K142" i="7" s="1"/>
  <c r="E142" i="12"/>
  <c r="J142" i="12" s="1"/>
  <c r="E168" i="10"/>
  <c r="J168" i="10" s="1"/>
  <c r="E154" i="11"/>
  <c r="J154" i="11" s="1"/>
  <c r="F166" i="12"/>
  <c r="K166" i="12" s="1"/>
  <c r="F178" i="11"/>
  <c r="K178" i="11" s="1"/>
  <c r="G150" i="12"/>
  <c r="L150" i="12" s="1"/>
  <c r="G176" i="10"/>
  <c r="L176" i="10" s="1"/>
  <c r="G162" i="11"/>
  <c r="L162" i="11" s="1"/>
  <c r="D141" i="11"/>
  <c r="D155" i="10"/>
  <c r="I155" i="10" s="1"/>
  <c r="D168" i="7"/>
  <c r="I168" i="7" s="1"/>
  <c r="E141" i="10"/>
  <c r="J141" i="10" s="1"/>
  <c r="E154" i="7"/>
  <c r="J154" i="7" s="1"/>
  <c r="G137" i="7"/>
  <c r="L137" i="7" s="1"/>
  <c r="E140" i="10"/>
  <c r="J140" i="10" s="1"/>
  <c r="E153" i="7"/>
  <c r="J153" i="7" s="1"/>
  <c r="E137" i="10"/>
  <c r="J137" i="10" s="1"/>
  <c r="E150" i="7"/>
  <c r="J150" i="7" s="1"/>
  <c r="H134" i="12"/>
  <c r="H160" i="10"/>
  <c r="M160" i="10" s="1"/>
  <c r="H146" i="11"/>
  <c r="M146" i="11" s="1"/>
  <c r="H173" i="7"/>
  <c r="M173" i="7" s="1"/>
  <c r="G133" i="7"/>
  <c r="L133" i="7" s="1"/>
  <c r="G136" i="11"/>
  <c r="L136" i="11" s="1"/>
  <c r="G150" i="10"/>
  <c r="L150" i="10" s="1"/>
  <c r="G163" i="7"/>
  <c r="L163" i="7" s="1"/>
  <c r="H153" i="12"/>
  <c r="H179" i="10"/>
  <c r="M179" i="10" s="1"/>
  <c r="H165" i="11"/>
  <c r="M165" i="11" s="1"/>
  <c r="E133" i="7"/>
  <c r="J133" i="7" s="1"/>
  <c r="G154" i="12"/>
  <c r="L154" i="12" s="1"/>
  <c r="G166" i="11"/>
  <c r="L166" i="11" s="1"/>
  <c r="G180" i="10"/>
  <c r="L180" i="10" s="1"/>
  <c r="K162" i="12"/>
  <c r="L156" i="12"/>
  <c r="E129" i="7"/>
  <c r="J129" i="7" s="1"/>
  <c r="G136" i="10"/>
  <c r="L136" i="10" s="1"/>
  <c r="G149" i="7"/>
  <c r="L149" i="7" s="1"/>
  <c r="E35" i="12"/>
  <c r="E29" i="12"/>
  <c r="E168" i="12"/>
  <c r="J168" i="12" s="1"/>
  <c r="E180" i="11"/>
  <c r="J180" i="11" s="1"/>
  <c r="E53" i="10"/>
  <c r="E59" i="10"/>
  <c r="F139" i="10"/>
  <c r="K139" i="10" s="1"/>
  <c r="F152" i="7"/>
  <c r="K152" i="7" s="1"/>
  <c r="D132" i="7"/>
  <c r="I132" i="7" s="1"/>
  <c r="G139" i="10"/>
  <c r="L139" i="10" s="1"/>
  <c r="G152" i="7"/>
  <c r="L152" i="7" s="1"/>
  <c r="F53" i="12"/>
  <c r="F59" i="12"/>
  <c r="C78" i="11"/>
  <c r="C85" i="11" s="1"/>
  <c r="C114" i="11"/>
  <c r="I168" i="11" s="1"/>
  <c r="L158" i="12"/>
  <c r="E138" i="11"/>
  <c r="J138" i="11" s="1"/>
  <c r="E152" i="10"/>
  <c r="J152" i="10" s="1"/>
  <c r="E165" i="7"/>
  <c r="J165" i="7" s="1"/>
  <c r="E135" i="7"/>
  <c r="J135" i="7" s="1"/>
  <c r="D135" i="12"/>
  <c r="I135" i="12" s="1"/>
  <c r="D147" i="11"/>
  <c r="D161" i="10"/>
  <c r="I161" i="10" s="1"/>
  <c r="D174" i="7"/>
  <c r="I174" i="7" s="1"/>
  <c r="F132" i="7"/>
  <c r="K132" i="7" s="1"/>
  <c r="F146" i="12"/>
  <c r="K146" i="12" s="1"/>
  <c r="F158" i="11"/>
  <c r="K158" i="11" s="1"/>
  <c r="F172" i="10"/>
  <c r="K172" i="10" s="1"/>
  <c r="I179" i="12"/>
  <c r="I177" i="12"/>
  <c r="I159" i="12"/>
  <c r="I181" i="12"/>
  <c r="I171" i="12"/>
  <c r="I169" i="12"/>
  <c r="I173" i="12"/>
  <c r="I175" i="12"/>
  <c r="I147" i="12"/>
  <c r="I131" i="12"/>
  <c r="I134" i="12"/>
  <c r="I140" i="12"/>
  <c r="C116" i="12"/>
  <c r="I173" i="10"/>
  <c r="I138" i="10"/>
  <c r="C116" i="10"/>
  <c r="I166" i="10"/>
  <c r="I160" i="10"/>
  <c r="I157" i="10"/>
  <c r="F130" i="12"/>
  <c r="K130" i="12" s="1"/>
  <c r="F156" i="10"/>
  <c r="K156" i="10" s="1"/>
  <c r="F142" i="11"/>
  <c r="K142" i="11" s="1"/>
  <c r="F169" i="7"/>
  <c r="K169" i="7" s="1"/>
  <c r="D129" i="10"/>
  <c r="D142" i="7"/>
  <c r="I142" i="7" s="1"/>
  <c r="F140" i="7"/>
  <c r="K140" i="7" s="1"/>
  <c r="M164" i="11"/>
  <c r="M152" i="11"/>
  <c r="M142" i="11"/>
  <c r="M132" i="11"/>
  <c r="G140" i="7"/>
  <c r="L140" i="7" s="1"/>
  <c r="K155" i="12"/>
  <c r="K175" i="12"/>
  <c r="K169" i="12"/>
  <c r="K177" i="12"/>
  <c r="K181" i="12"/>
  <c r="K173" i="12"/>
  <c r="K179" i="12"/>
  <c r="K171" i="12"/>
  <c r="K149" i="12"/>
  <c r="K131" i="12"/>
  <c r="F152" i="10"/>
  <c r="K152" i="10" s="1"/>
  <c r="F138" i="11"/>
  <c r="K138" i="11" s="1"/>
  <c r="F165" i="7"/>
  <c r="K165" i="7" s="1"/>
  <c r="H141" i="12"/>
  <c r="H153" i="11"/>
  <c r="M153" i="11" s="1"/>
  <c r="H167" i="10"/>
  <c r="M167" i="10" s="1"/>
  <c r="H180" i="7"/>
  <c r="M180" i="7" s="1"/>
  <c r="H168" i="12"/>
  <c r="H180" i="11"/>
  <c r="M180" i="11" s="1"/>
  <c r="F130" i="10"/>
  <c r="K130" i="10" s="1"/>
  <c r="F143" i="7"/>
  <c r="K143" i="7" s="1"/>
  <c r="I164" i="12"/>
  <c r="D167" i="11"/>
  <c r="D155" i="12"/>
  <c r="I155" i="12" s="1"/>
  <c r="D145" i="12"/>
  <c r="I145" i="12" s="1"/>
  <c r="D157" i="11"/>
  <c r="D171" i="10"/>
  <c r="I171" i="10" s="1"/>
  <c r="H136" i="10"/>
  <c r="M136" i="10" s="1"/>
  <c r="H149" i="7"/>
  <c r="M149" i="7" s="1"/>
  <c r="K170" i="11"/>
  <c r="K167" i="11"/>
  <c r="K146" i="11"/>
  <c r="K161" i="11"/>
  <c r="K130" i="11"/>
  <c r="K133" i="11"/>
  <c r="K143" i="11"/>
  <c r="G164" i="12"/>
  <c r="L164" i="12" s="1"/>
  <c r="G176" i="11"/>
  <c r="L176" i="11" s="1"/>
  <c r="I156" i="12"/>
  <c r="G152" i="10"/>
  <c r="L152" i="10" s="1"/>
  <c r="G138" i="11"/>
  <c r="L138" i="11" s="1"/>
  <c r="G165" i="7"/>
  <c r="L165" i="7" s="1"/>
  <c r="H139" i="10"/>
  <c r="M139" i="10" s="1"/>
  <c r="H152" i="7"/>
  <c r="M152" i="7" s="1"/>
  <c r="F168" i="12"/>
  <c r="K168" i="12" s="1"/>
  <c r="F180" i="11"/>
  <c r="K180" i="11" s="1"/>
  <c r="F141" i="12"/>
  <c r="K141" i="12" s="1"/>
  <c r="F167" i="10"/>
  <c r="K167" i="10" s="1"/>
  <c r="F153" i="11"/>
  <c r="K153" i="11" s="1"/>
  <c r="F180" i="7"/>
  <c r="K180" i="7" s="1"/>
  <c r="E136" i="12"/>
  <c r="J136" i="12" s="1"/>
  <c r="E148" i="11"/>
  <c r="J148" i="11" s="1"/>
  <c r="E162" i="10"/>
  <c r="J162" i="10" s="1"/>
  <c r="E175" i="7"/>
  <c r="J175" i="7" s="1"/>
  <c r="H138" i="12"/>
  <c r="H164" i="10"/>
  <c r="M164" i="10" s="1"/>
  <c r="H150" i="11"/>
  <c r="M150" i="11" s="1"/>
  <c r="H177" i="7"/>
  <c r="M177" i="7" s="1"/>
  <c r="F173" i="11"/>
  <c r="K173" i="11" s="1"/>
  <c r="F161" i="12"/>
  <c r="K161" i="12" s="1"/>
  <c r="E134" i="10"/>
  <c r="J134" i="10" s="1"/>
  <c r="E147" i="7"/>
  <c r="J147" i="7" s="1"/>
  <c r="H142" i="12"/>
  <c r="H154" i="11"/>
  <c r="M154" i="11" s="1"/>
  <c r="H168" i="10"/>
  <c r="M168" i="10" s="1"/>
  <c r="F136" i="7"/>
  <c r="K136" i="7" s="1"/>
  <c r="H141" i="7"/>
  <c r="M141" i="7" s="1"/>
  <c r="F130" i="7"/>
  <c r="K130" i="7" s="1"/>
  <c r="H130" i="7"/>
  <c r="M130" i="7" s="1"/>
  <c r="G130" i="12"/>
  <c r="L130" i="12" s="1"/>
  <c r="G142" i="11"/>
  <c r="L142" i="11" s="1"/>
  <c r="G156" i="10"/>
  <c r="L156" i="10" s="1"/>
  <c r="G169" i="7"/>
  <c r="L169" i="7" s="1"/>
  <c r="H133" i="12"/>
  <c r="H159" i="10"/>
  <c r="M159" i="10" s="1"/>
  <c r="H145" i="11"/>
  <c r="M145" i="11" s="1"/>
  <c r="H172" i="7"/>
  <c r="M172" i="7" s="1"/>
  <c r="G141" i="11"/>
  <c r="L141" i="11" s="1"/>
  <c r="G155" i="10"/>
  <c r="L155" i="10" s="1"/>
  <c r="G168" i="7"/>
  <c r="L168" i="7" s="1"/>
  <c r="G163" i="12"/>
  <c r="L163" i="12" s="1"/>
  <c r="G175" i="11"/>
  <c r="L175" i="11" s="1"/>
  <c r="E134" i="7"/>
  <c r="J134" i="7" s="1"/>
  <c r="E139" i="10"/>
  <c r="J139" i="10" s="1"/>
  <c r="E152" i="7"/>
  <c r="J152" i="7" s="1"/>
  <c r="H146" i="12"/>
  <c r="H172" i="10"/>
  <c r="M172" i="10" s="1"/>
  <c r="H158" i="11"/>
  <c r="M158" i="11" s="1"/>
  <c r="F143" i="12"/>
  <c r="K143" i="12" s="1"/>
  <c r="F155" i="11"/>
  <c r="K155" i="11" s="1"/>
  <c r="F169" i="10"/>
  <c r="K169" i="10" s="1"/>
  <c r="G131" i="11"/>
  <c r="L131" i="11" s="1"/>
  <c r="G145" i="10"/>
  <c r="L145" i="10" s="1"/>
  <c r="G158" i="7"/>
  <c r="L158" i="7" s="1"/>
  <c r="G140" i="10"/>
  <c r="L140" i="10" s="1"/>
  <c r="G153" i="7"/>
  <c r="L153" i="7" s="1"/>
  <c r="E144" i="12"/>
  <c r="J144" i="12" s="1"/>
  <c r="E156" i="11"/>
  <c r="J156" i="11" s="1"/>
  <c r="E170" i="10"/>
  <c r="J170" i="10" s="1"/>
  <c r="D133" i="12"/>
  <c r="I133" i="12" s="1"/>
  <c r="D145" i="11"/>
  <c r="D159" i="10"/>
  <c r="I159" i="10" s="1"/>
  <c r="D172" i="7"/>
  <c r="I172" i="7" s="1"/>
  <c r="E168" i="11"/>
  <c r="J168" i="11" s="1"/>
  <c r="E156" i="12"/>
  <c r="J156" i="12" s="1"/>
  <c r="E151" i="12"/>
  <c r="J151" i="12" s="1"/>
  <c r="E163" i="11"/>
  <c r="J163" i="11" s="1"/>
  <c r="E177" i="10"/>
  <c r="J177" i="10" s="1"/>
  <c r="D139" i="7"/>
  <c r="I139" i="7" s="1"/>
  <c r="H149" i="10"/>
  <c r="M149" i="10" s="1"/>
  <c r="H135" i="11"/>
  <c r="M135" i="11" s="1"/>
  <c r="H162" i="7"/>
  <c r="M162" i="7" s="1"/>
  <c r="F145" i="12"/>
  <c r="K145" i="12" s="1"/>
  <c r="F157" i="11"/>
  <c r="K157" i="11" s="1"/>
  <c r="F171" i="10"/>
  <c r="K171" i="10" s="1"/>
  <c r="H131" i="10"/>
  <c r="M131" i="10" s="1"/>
  <c r="H144" i="7"/>
  <c r="M144" i="7" s="1"/>
  <c r="D150" i="12"/>
  <c r="I150" i="12" s="1"/>
  <c r="D162" i="11"/>
  <c r="D176" i="10"/>
  <c r="I176" i="10" s="1"/>
  <c r="G129" i="7"/>
  <c r="L129" i="7" s="1"/>
  <c r="H129" i="7"/>
  <c r="M129" i="7" s="1"/>
  <c r="I174" i="12"/>
  <c r="F142" i="12"/>
  <c r="K142" i="12" s="1"/>
  <c r="F154" i="11"/>
  <c r="K154" i="11" s="1"/>
  <c r="F168" i="10"/>
  <c r="K168" i="10" s="1"/>
  <c r="D140" i="11"/>
  <c r="D154" i="10"/>
  <c r="I154" i="10" s="1"/>
  <c r="D167" i="7"/>
  <c r="I167" i="7" s="1"/>
  <c r="G133" i="10"/>
  <c r="L133" i="10" s="1"/>
  <c r="G146" i="7"/>
  <c r="L146" i="7" s="1"/>
  <c r="E137" i="11"/>
  <c r="J137" i="11" s="1"/>
  <c r="E151" i="10"/>
  <c r="J151" i="10" s="1"/>
  <c r="E164" i="7"/>
  <c r="J164" i="7" s="1"/>
  <c r="H145" i="12"/>
  <c r="H171" i="10"/>
  <c r="M171" i="10" s="1"/>
  <c r="H157" i="11"/>
  <c r="M157" i="11" s="1"/>
  <c r="F152" i="12"/>
  <c r="K152" i="12" s="1"/>
  <c r="F164" i="11"/>
  <c r="K164" i="11" s="1"/>
  <c r="F178" i="10"/>
  <c r="K178" i="10" s="1"/>
  <c r="D135" i="10"/>
  <c r="I135" i="10" s="1"/>
  <c r="D148" i="7"/>
  <c r="I148" i="7" s="1"/>
  <c r="G131" i="12"/>
  <c r="L131" i="12" s="1"/>
  <c r="G157" i="10"/>
  <c r="L157" i="10" s="1"/>
  <c r="G143" i="11"/>
  <c r="L143" i="11" s="1"/>
  <c r="G170" i="7"/>
  <c r="L170" i="7" s="1"/>
  <c r="I176" i="12"/>
  <c r="D133" i="11"/>
  <c r="D147" i="10"/>
  <c r="I147" i="10" s="1"/>
  <c r="D160" i="7"/>
  <c r="I160" i="7" s="1"/>
  <c r="E29" i="10"/>
  <c r="E35" i="10"/>
  <c r="L160" i="10"/>
  <c r="L138" i="10"/>
  <c r="L170" i="10"/>
  <c r="L159" i="10"/>
  <c r="L143" i="10"/>
  <c r="L141" i="10"/>
  <c r="L135" i="10"/>
  <c r="E140" i="11"/>
  <c r="J140" i="11" s="1"/>
  <c r="E154" i="10"/>
  <c r="J154" i="10" s="1"/>
  <c r="E167" i="7"/>
  <c r="J167" i="7" s="1"/>
  <c r="D153" i="12"/>
  <c r="I153" i="12" s="1"/>
  <c r="D165" i="11"/>
  <c r="D179" i="10"/>
  <c r="I179" i="10" s="1"/>
  <c r="B176" i="12"/>
  <c r="P176" i="12" s="1"/>
  <c r="C116" i="7"/>
  <c r="I137" i="7"/>
  <c r="I173" i="7"/>
  <c r="F14" i="7"/>
  <c r="F72" i="7"/>
  <c r="I144" i="7"/>
  <c r="I140" i="7"/>
  <c r="D72" i="7"/>
  <c r="D14" i="7"/>
  <c r="E72" i="7"/>
  <c r="E14" i="7"/>
  <c r="I170" i="7"/>
  <c r="G78" i="12"/>
  <c r="G85" i="12" s="1"/>
  <c r="D85" i="12"/>
  <c r="D116" i="12"/>
  <c r="E61" i="11"/>
  <c r="B160" i="11"/>
  <c r="P160" i="11" s="1"/>
  <c r="B176" i="10"/>
  <c r="G84" i="7"/>
  <c r="I179" i="7"/>
  <c r="F53" i="7"/>
  <c r="D35" i="7"/>
  <c r="C35" i="7"/>
  <c r="F35" i="7"/>
  <c r="G28" i="7"/>
  <c r="B177" i="7"/>
  <c r="P177" i="7" s="1"/>
  <c r="G112" i="7"/>
  <c r="C72" i="7"/>
  <c r="C71" i="7" s="1"/>
  <c r="C75" i="7" s="1"/>
  <c r="E59" i="7"/>
  <c r="D113" i="10" l="1"/>
  <c r="D116" i="10" s="1"/>
  <c r="D78" i="10"/>
  <c r="E38" i="11"/>
  <c r="E41" i="11" s="1"/>
  <c r="E37" i="7"/>
  <c r="E40" i="7" s="1"/>
  <c r="F40" i="11"/>
  <c r="F38" i="11"/>
  <c r="F41" i="11" s="1"/>
  <c r="I172" i="11"/>
  <c r="I174" i="11"/>
  <c r="I180" i="11"/>
  <c r="C62" i="10"/>
  <c r="C67" i="10" s="1"/>
  <c r="E71" i="7"/>
  <c r="E75" i="7" s="1"/>
  <c r="G35" i="7"/>
  <c r="G29" i="7"/>
  <c r="F71" i="7"/>
  <c r="F75" i="7" s="1"/>
  <c r="D71" i="7"/>
  <c r="D75" i="7" s="1"/>
  <c r="E37" i="10"/>
  <c r="E40" i="10" s="1"/>
  <c r="G113" i="12"/>
  <c r="E37" i="12"/>
  <c r="E40" i="12" s="1"/>
  <c r="M157" i="12"/>
  <c r="F64" i="12"/>
  <c r="E73" i="12" s="1"/>
  <c r="G116" i="12"/>
  <c r="M177" i="12"/>
  <c r="M179" i="12"/>
  <c r="I176" i="11"/>
  <c r="I177" i="11"/>
  <c r="I175" i="11"/>
  <c r="I179" i="11"/>
  <c r="I167" i="11"/>
  <c r="I178" i="11"/>
  <c r="I160" i="11"/>
  <c r="I142" i="11"/>
  <c r="I139" i="11"/>
  <c r="I130" i="11"/>
  <c r="I147" i="11"/>
  <c r="I158" i="11"/>
  <c r="I156" i="11"/>
  <c r="I132" i="11"/>
  <c r="I165" i="11"/>
  <c r="I145" i="11"/>
  <c r="I149" i="11"/>
  <c r="I151" i="11"/>
  <c r="I137" i="11"/>
  <c r="I152" i="11"/>
  <c r="I163" i="11"/>
  <c r="I164" i="11"/>
  <c r="I148" i="11"/>
  <c r="C116" i="11"/>
  <c r="I161" i="11"/>
  <c r="I134" i="11"/>
  <c r="I150" i="11"/>
  <c r="I162" i="11"/>
  <c r="I146" i="11"/>
  <c r="I129" i="11"/>
  <c r="I140" i="11"/>
  <c r="I131" i="11"/>
  <c r="I144" i="11"/>
  <c r="I136" i="11"/>
  <c r="I141" i="11"/>
  <c r="I166" i="11"/>
  <c r="I138" i="11"/>
  <c r="I133" i="11"/>
  <c r="I143" i="11"/>
  <c r="I155" i="11"/>
  <c r="I159" i="11"/>
  <c r="I135" i="11"/>
  <c r="I153" i="11"/>
  <c r="I157" i="11"/>
  <c r="I154" i="11"/>
  <c r="I171" i="11"/>
  <c r="I170" i="11"/>
  <c r="M181" i="12"/>
  <c r="M169" i="12"/>
  <c r="M167" i="12"/>
  <c r="F112" i="7"/>
  <c r="E61" i="10"/>
  <c r="M168" i="12"/>
  <c r="M158" i="12"/>
  <c r="M172" i="12"/>
  <c r="M162" i="12"/>
  <c r="M156" i="12"/>
  <c r="M164" i="12"/>
  <c r="M166" i="12"/>
  <c r="M170" i="12"/>
  <c r="M174" i="12"/>
  <c r="M176" i="12"/>
  <c r="M180" i="12"/>
  <c r="M178" i="12"/>
  <c r="M160" i="12"/>
  <c r="M135" i="12"/>
  <c r="M149" i="12"/>
  <c r="M130" i="12"/>
  <c r="M154" i="12"/>
  <c r="M142" i="12"/>
  <c r="M152" i="12"/>
  <c r="M139" i="12"/>
  <c r="M144" i="12"/>
  <c r="M133" i="12"/>
  <c r="M148" i="12"/>
  <c r="M136" i="12"/>
  <c r="M138" i="12"/>
  <c r="M143" i="12"/>
  <c r="M134" i="12"/>
  <c r="M131" i="12"/>
  <c r="M150" i="12"/>
  <c r="M145" i="12"/>
  <c r="M140" i="12"/>
  <c r="M137" i="12"/>
  <c r="M147" i="12"/>
  <c r="M146" i="12"/>
  <c r="M151" i="12"/>
  <c r="M132" i="12"/>
  <c r="M141" i="12"/>
  <c r="M153" i="12"/>
  <c r="M159" i="12"/>
  <c r="I173" i="11"/>
  <c r="I169" i="11"/>
  <c r="M171" i="12"/>
  <c r="M161" i="12"/>
  <c r="M163" i="12"/>
  <c r="M165" i="12"/>
  <c r="M175" i="12"/>
  <c r="M155" i="12"/>
  <c r="B175" i="12"/>
  <c r="P175" i="12" s="1"/>
  <c r="D112" i="7"/>
  <c r="E112" i="7"/>
  <c r="F84" i="7"/>
  <c r="D84" i="7"/>
  <c r="E84" i="7"/>
  <c r="E64" i="11"/>
  <c r="D40" i="11"/>
  <c r="D38" i="11"/>
  <c r="D41" i="11" s="1"/>
  <c r="E62" i="11"/>
  <c r="E65" i="11" s="1"/>
  <c r="G38" i="11"/>
  <c r="B159" i="11"/>
  <c r="P159" i="11" s="1"/>
  <c r="B175" i="10"/>
  <c r="G40" i="10"/>
  <c r="G38" i="10"/>
  <c r="G41" i="10" s="1"/>
  <c r="G73" i="10" s="1"/>
  <c r="G113" i="10" s="1"/>
  <c r="G116" i="10" s="1"/>
  <c r="C84" i="7"/>
  <c r="F59" i="7"/>
  <c r="F61" i="7" s="1"/>
  <c r="D61" i="7"/>
  <c r="D64" i="7" s="1"/>
  <c r="C37" i="7"/>
  <c r="C40" i="7" s="1"/>
  <c r="D73" i="7" s="1"/>
  <c r="F29" i="7"/>
  <c r="F37" i="7" s="1"/>
  <c r="F40" i="7" s="1"/>
  <c r="D37" i="7"/>
  <c r="D40" i="7" s="1"/>
  <c r="B176" i="7"/>
  <c r="P176" i="7" s="1"/>
  <c r="C112" i="7"/>
  <c r="E53" i="7"/>
  <c r="E61" i="7" s="1"/>
  <c r="E64" i="7" s="1"/>
  <c r="E43" i="11" l="1"/>
  <c r="E38" i="7"/>
  <c r="G37" i="7"/>
  <c r="G40" i="7" s="1"/>
  <c r="C65" i="10"/>
  <c r="F73" i="11"/>
  <c r="F113" i="11" s="1"/>
  <c r="F116" i="11" s="1"/>
  <c r="F65" i="12"/>
  <c r="F73" i="12" s="1"/>
  <c r="E38" i="10"/>
  <c r="E41" i="10" s="1"/>
  <c r="E38" i="12"/>
  <c r="E41" i="12" s="1"/>
  <c r="D62" i="11"/>
  <c r="D64" i="11"/>
  <c r="D73" i="11" s="1"/>
  <c r="E64" i="10"/>
  <c r="E62" i="10"/>
  <c r="E65" i="10" s="1"/>
  <c r="B174" i="12"/>
  <c r="P174" i="12" s="1"/>
  <c r="E67" i="11"/>
  <c r="G41" i="11"/>
  <c r="G43" i="11"/>
  <c r="B158" i="11"/>
  <c r="P158" i="11" s="1"/>
  <c r="G78" i="10"/>
  <c r="G85" i="10" s="1"/>
  <c r="B174" i="10"/>
  <c r="G43" i="10"/>
  <c r="F62" i="7"/>
  <c r="F65" i="7" s="1"/>
  <c r="F64" i="7"/>
  <c r="E43" i="7"/>
  <c r="E41" i="7"/>
  <c r="D85" i="10"/>
  <c r="C38" i="7"/>
  <c r="C41" i="7" s="1"/>
  <c r="E73" i="7" s="1"/>
  <c r="E78" i="7" s="1"/>
  <c r="B175" i="7"/>
  <c r="P175" i="7" s="1"/>
  <c r="F38" i="7"/>
  <c r="E113" i="10" l="1"/>
  <c r="E116" i="10" s="1"/>
  <c r="G38" i="7"/>
  <c r="G41" i="7" s="1"/>
  <c r="E43" i="12"/>
  <c r="F78" i="11"/>
  <c r="F85" i="11" s="1"/>
  <c r="F113" i="12"/>
  <c r="D78" i="11"/>
  <c r="D85" i="11" s="1"/>
  <c r="D116" i="11"/>
  <c r="F73" i="10"/>
  <c r="F113" i="10" s="1"/>
  <c r="E43" i="10"/>
  <c r="G73" i="11"/>
  <c r="G113" i="11" s="1"/>
  <c r="G116" i="11" s="1"/>
  <c r="D65" i="11"/>
  <c r="E67" i="10"/>
  <c r="B173" i="12"/>
  <c r="P173" i="12" s="1"/>
  <c r="F67" i="7"/>
  <c r="E113" i="12"/>
  <c r="E78" i="12"/>
  <c r="B157" i="11"/>
  <c r="P157" i="11" s="1"/>
  <c r="B173" i="10"/>
  <c r="F43" i="7"/>
  <c r="F41" i="7"/>
  <c r="G73" i="7" s="1"/>
  <c r="E78" i="10"/>
  <c r="E85" i="10" s="1"/>
  <c r="D41" i="7"/>
  <c r="D43" i="7"/>
  <c r="B174" i="7"/>
  <c r="P174" i="7" s="1"/>
  <c r="G43" i="7" l="1"/>
  <c r="F116" i="12"/>
  <c r="F78" i="12"/>
  <c r="F85" i="12" s="1"/>
  <c r="E73" i="11"/>
  <c r="E113" i="11" s="1"/>
  <c r="E116" i="11" s="1"/>
  <c r="G117" i="11" s="1"/>
  <c r="G78" i="11"/>
  <c r="G85" i="11" s="1"/>
  <c r="F78" i="10"/>
  <c r="F85" i="10" s="1"/>
  <c r="N157" i="10"/>
  <c r="N139" i="10"/>
  <c r="N144" i="10"/>
  <c r="N165" i="10"/>
  <c r="N155" i="10"/>
  <c r="N177" i="10"/>
  <c r="N137" i="10"/>
  <c r="N140" i="10"/>
  <c r="N160" i="10"/>
  <c r="N145" i="10"/>
  <c r="N147" i="10"/>
  <c r="N176" i="10"/>
  <c r="N149" i="10"/>
  <c r="N142" i="10"/>
  <c r="N175" i="10"/>
  <c r="N130" i="10"/>
  <c r="N141" i="10"/>
  <c r="N159" i="10"/>
  <c r="N129" i="10"/>
  <c r="N170" i="10"/>
  <c r="N172" i="10"/>
  <c r="N135" i="10"/>
  <c r="F116" i="10"/>
  <c r="G117" i="10" s="1"/>
  <c r="N158" i="10"/>
  <c r="N148" i="10"/>
  <c r="N154" i="10"/>
  <c r="N174" i="10"/>
  <c r="N168" i="10"/>
  <c r="N161" i="10"/>
  <c r="N131" i="10"/>
  <c r="N134" i="10"/>
  <c r="N150" i="10"/>
  <c r="N153" i="10"/>
  <c r="N169" i="10"/>
  <c r="N133" i="10"/>
  <c r="N152" i="10"/>
  <c r="N180" i="10"/>
  <c r="N164" i="10"/>
  <c r="N179" i="10"/>
  <c r="N163" i="10"/>
  <c r="N171" i="10"/>
  <c r="N143" i="10"/>
  <c r="N167" i="10"/>
  <c r="N136" i="10"/>
  <c r="N178" i="10"/>
  <c r="N166" i="10"/>
  <c r="N132" i="10"/>
  <c r="N138" i="10"/>
  <c r="N151" i="10"/>
  <c r="N146" i="10"/>
  <c r="N162" i="10"/>
  <c r="N173" i="10"/>
  <c r="N156" i="10"/>
  <c r="N141" i="12"/>
  <c r="N130" i="12"/>
  <c r="N138" i="12"/>
  <c r="N154" i="12"/>
  <c r="N132" i="12"/>
  <c r="N157" i="12"/>
  <c r="N167" i="12"/>
  <c r="N165" i="12"/>
  <c r="N164" i="12"/>
  <c r="N142" i="12"/>
  <c r="N169" i="12"/>
  <c r="N177" i="12"/>
  <c r="N144" i="12"/>
  <c r="N133" i="12"/>
  <c r="N145" i="12"/>
  <c r="N161" i="12"/>
  <c r="N179" i="12"/>
  <c r="N146" i="12"/>
  <c r="N170" i="12"/>
  <c r="N171" i="12"/>
  <c r="N173" i="12"/>
  <c r="N160" i="12"/>
  <c r="N150" i="12"/>
  <c r="N136" i="12"/>
  <c r="N176" i="12"/>
  <c r="N139" i="12"/>
  <c r="N147" i="12"/>
  <c r="N137" i="12"/>
  <c r="N175" i="12"/>
  <c r="N162" i="12"/>
  <c r="N152" i="12"/>
  <c r="N148" i="12"/>
  <c r="N168" i="12"/>
  <c r="N159" i="12"/>
  <c r="N151" i="12"/>
  <c r="N143" i="12"/>
  <c r="N178" i="12"/>
  <c r="N155" i="12"/>
  <c r="N174" i="12"/>
  <c r="N131" i="12"/>
  <c r="N153" i="12"/>
  <c r="N149" i="12"/>
  <c r="N181" i="12"/>
  <c r="N158" i="12"/>
  <c r="N135" i="12"/>
  <c r="N134" i="12"/>
  <c r="N163" i="12"/>
  <c r="N172" i="12"/>
  <c r="N156" i="12"/>
  <c r="N180" i="12"/>
  <c r="N140" i="12"/>
  <c r="N166" i="12"/>
  <c r="B172" i="12"/>
  <c r="P172" i="12" s="1"/>
  <c r="E85" i="12"/>
  <c r="E116" i="12"/>
  <c r="B156" i="11"/>
  <c r="P156" i="11" s="1"/>
  <c r="B172" i="10"/>
  <c r="D113" i="7"/>
  <c r="B173" i="7"/>
  <c r="P173" i="7" s="1"/>
  <c r="C43" i="7"/>
  <c r="D62" i="7"/>
  <c r="D65" i="7" s="1"/>
  <c r="E62" i="7"/>
  <c r="E65" i="7" s="1"/>
  <c r="N145" i="11" l="1"/>
  <c r="O145" i="11" s="1"/>
  <c r="N142" i="11"/>
  <c r="O142" i="11" s="1"/>
  <c r="N143" i="11"/>
  <c r="O143" i="11" s="1"/>
  <c r="N140" i="11"/>
  <c r="O140" i="11" s="1"/>
  <c r="C87" i="12" a="1"/>
  <c r="C87" i="10" a="1"/>
  <c r="G80" i="10"/>
  <c r="J80" i="10" s="1"/>
  <c r="N169" i="11"/>
  <c r="O169" i="11" s="1"/>
  <c r="N176" i="11"/>
  <c r="O176" i="11" s="1"/>
  <c r="N133" i="11"/>
  <c r="O133" i="11" s="1"/>
  <c r="N165" i="11"/>
  <c r="O165" i="11" s="1"/>
  <c r="N155" i="11"/>
  <c r="O155" i="11" s="1"/>
  <c r="N146" i="11"/>
  <c r="O146" i="11" s="1"/>
  <c r="N177" i="11"/>
  <c r="O177" i="11" s="1"/>
  <c r="N148" i="11"/>
  <c r="O148" i="11" s="1"/>
  <c r="N180" i="11"/>
  <c r="O180" i="11" s="1"/>
  <c r="N150" i="11"/>
  <c r="O150" i="11" s="1"/>
  <c r="N174" i="11"/>
  <c r="O174" i="11" s="1"/>
  <c r="N147" i="11"/>
  <c r="O147" i="11" s="1"/>
  <c r="N161" i="11"/>
  <c r="O161" i="11" s="1"/>
  <c r="N178" i="11"/>
  <c r="O178" i="11" s="1"/>
  <c r="N134" i="11"/>
  <c r="O134" i="11" s="1"/>
  <c r="N149" i="11"/>
  <c r="O149" i="11" s="1"/>
  <c r="N138" i="11"/>
  <c r="O138" i="11" s="1"/>
  <c r="N154" i="11"/>
  <c r="O154" i="11" s="1"/>
  <c r="N144" i="11"/>
  <c r="O144" i="11" s="1"/>
  <c r="N173" i="11"/>
  <c r="O173" i="11" s="1"/>
  <c r="N130" i="11"/>
  <c r="O130" i="11" s="1"/>
  <c r="N131" i="11"/>
  <c r="O131" i="11" s="1"/>
  <c r="N139" i="11"/>
  <c r="O139" i="11" s="1"/>
  <c r="N160" i="11"/>
  <c r="O160" i="11" s="1"/>
  <c r="N166" i="11"/>
  <c r="O166" i="11" s="1"/>
  <c r="N136" i="11"/>
  <c r="O136" i="11" s="1"/>
  <c r="N168" i="11"/>
  <c r="O168" i="11" s="1"/>
  <c r="N129" i="11"/>
  <c r="O129" i="11" s="1"/>
  <c r="N135" i="11"/>
  <c r="O135" i="11" s="1"/>
  <c r="N137" i="11"/>
  <c r="O137" i="11" s="1"/>
  <c r="N153" i="11"/>
  <c r="O153" i="11" s="1"/>
  <c r="N151" i="11"/>
  <c r="O151" i="11" s="1"/>
  <c r="N163" i="11"/>
  <c r="O163" i="11" s="1"/>
  <c r="N164" i="11"/>
  <c r="O164" i="11" s="1"/>
  <c r="N158" i="11"/>
  <c r="O158" i="11" s="1"/>
  <c r="N157" i="11"/>
  <c r="O157" i="11" s="1"/>
  <c r="N132" i="11"/>
  <c r="O132" i="11" s="1"/>
  <c r="N167" i="11"/>
  <c r="O167" i="11" s="1"/>
  <c r="N159" i="11"/>
  <c r="O159" i="11" s="1"/>
  <c r="N156" i="11"/>
  <c r="O156" i="11" s="1"/>
  <c r="N170" i="11"/>
  <c r="O170" i="11" s="1"/>
  <c r="N175" i="11"/>
  <c r="O175" i="11" s="1"/>
  <c r="N152" i="11"/>
  <c r="O152" i="11" s="1"/>
  <c r="N179" i="11"/>
  <c r="O179" i="11" s="1"/>
  <c r="N171" i="11"/>
  <c r="O171" i="11" s="1"/>
  <c r="N162" i="11"/>
  <c r="O162" i="11" s="1"/>
  <c r="N141" i="11"/>
  <c r="O141" i="11" s="1"/>
  <c r="N172" i="11"/>
  <c r="O172" i="11" s="1"/>
  <c r="G80" i="12"/>
  <c r="E78" i="11"/>
  <c r="O177" i="10"/>
  <c r="O168" i="10"/>
  <c r="O174" i="10"/>
  <c r="O142" i="10"/>
  <c r="O179" i="10"/>
  <c r="O133" i="10"/>
  <c r="O139" i="10"/>
  <c r="O156" i="10"/>
  <c r="O135" i="10"/>
  <c r="O146" i="10"/>
  <c r="O164" i="10"/>
  <c r="O131" i="10"/>
  <c r="O129" i="10"/>
  <c r="O137" i="10"/>
  <c r="O178" i="10"/>
  <c r="O171" i="10"/>
  <c r="O153" i="10"/>
  <c r="O165" i="10"/>
  <c r="O147" i="10"/>
  <c r="O130" i="10"/>
  <c r="O140" i="10"/>
  <c r="O148" i="10"/>
  <c r="O157" i="10"/>
  <c r="O166" i="10"/>
  <c r="O159" i="10"/>
  <c r="O134" i="10"/>
  <c r="O149" i="10"/>
  <c r="O138" i="10"/>
  <c r="O172" i="10"/>
  <c r="O162" i="10"/>
  <c r="O144" i="10"/>
  <c r="O141" i="10"/>
  <c r="O143" i="10"/>
  <c r="O132" i="10"/>
  <c r="O170" i="10"/>
  <c r="O175" i="10"/>
  <c r="O161" i="10"/>
  <c r="O151" i="10"/>
  <c r="O136" i="10"/>
  <c r="O160" i="10"/>
  <c r="O167" i="10"/>
  <c r="O152" i="10"/>
  <c r="O180" i="10"/>
  <c r="O176" i="10"/>
  <c r="O173" i="10"/>
  <c r="O145" i="10"/>
  <c r="O155" i="10"/>
  <c r="O163" i="10"/>
  <c r="O150" i="10"/>
  <c r="O169" i="10"/>
  <c r="O154" i="10"/>
  <c r="O158" i="10"/>
  <c r="G118" i="12"/>
  <c r="D116" i="7"/>
  <c r="B171" i="12"/>
  <c r="P171" i="12" s="1"/>
  <c r="B155" i="11"/>
  <c r="P155" i="11" s="1"/>
  <c r="B171" i="10"/>
  <c r="F73" i="7"/>
  <c r="B172" i="7"/>
  <c r="P172" i="7" s="1"/>
  <c r="E113" i="7"/>
  <c r="D78" i="7"/>
  <c r="D85" i="7" s="1"/>
  <c r="D67" i="7"/>
  <c r="E67" i="7"/>
  <c r="G113" i="7"/>
  <c r="C87" i="12" l="1"/>
  <c r="C103" i="12" s="1" a="1"/>
  <c r="C103" i="12" s="1"/>
  <c r="D106" i="12" s="1"/>
  <c r="C87" i="10"/>
  <c r="L103" i="10" s="1" a="1"/>
  <c r="L103" i="10" s="1"/>
  <c r="V129" i="11" a="1"/>
  <c r="V129" i="10" a="1"/>
  <c r="O176" i="12"/>
  <c r="O156" i="12"/>
  <c r="O153" i="12"/>
  <c r="O131" i="12"/>
  <c r="O160" i="12"/>
  <c r="O175" i="12"/>
  <c r="O169" i="12"/>
  <c r="O132" i="12"/>
  <c r="O165" i="12"/>
  <c r="O159" i="12"/>
  <c r="O170" i="12"/>
  <c r="O180" i="12"/>
  <c r="O151" i="12"/>
  <c r="O154" i="12"/>
  <c r="O164" i="12"/>
  <c r="O157" i="12"/>
  <c r="E85" i="11"/>
  <c r="G80" i="11"/>
  <c r="J80" i="11" s="1"/>
  <c r="O137" i="12"/>
  <c r="O134" i="12"/>
  <c r="O149" i="12"/>
  <c r="O163" i="12"/>
  <c r="O158" i="12"/>
  <c r="O152" i="12"/>
  <c r="O179" i="12"/>
  <c r="O162" i="12"/>
  <c r="O136" i="12"/>
  <c r="O147" i="12"/>
  <c r="O139" i="12"/>
  <c r="O133" i="12"/>
  <c r="O167" i="12"/>
  <c r="O172" i="12"/>
  <c r="O143" i="12"/>
  <c r="O171" i="12"/>
  <c r="O150" i="12"/>
  <c r="O166" i="12"/>
  <c r="O146" i="12"/>
  <c r="O135" i="12"/>
  <c r="O138" i="12"/>
  <c r="O130" i="12"/>
  <c r="O178" i="12"/>
  <c r="O142" i="12"/>
  <c r="O148" i="12"/>
  <c r="O145" i="12"/>
  <c r="O141" i="12"/>
  <c r="O140" i="12"/>
  <c r="O177" i="12"/>
  <c r="O168" i="12"/>
  <c r="O174" i="12"/>
  <c r="O173" i="12"/>
  <c r="O144" i="12"/>
  <c r="O161" i="12"/>
  <c r="O181" i="12"/>
  <c r="O155" i="12"/>
  <c r="B170" i="12"/>
  <c r="P170" i="12" s="1"/>
  <c r="B154" i="11"/>
  <c r="P154" i="11" s="1"/>
  <c r="B170" i="10"/>
  <c r="E85" i="7"/>
  <c r="B171" i="7"/>
  <c r="P171" i="7" s="1"/>
  <c r="E116" i="7"/>
  <c r="G116" i="7"/>
  <c r="F113" i="7"/>
  <c r="F116" i="7" s="1"/>
  <c r="G78" i="7"/>
  <c r="W137" i="10" l="1"/>
  <c r="W130" i="10"/>
  <c r="W138" i="10"/>
  <c r="W146" i="10"/>
  <c r="W154" i="10"/>
  <c r="W162" i="10"/>
  <c r="W170" i="10"/>
  <c r="W178" i="10"/>
  <c r="W141" i="10"/>
  <c r="W157" i="10"/>
  <c r="W173" i="10"/>
  <c r="W131" i="10"/>
  <c r="W139" i="10"/>
  <c r="W147" i="10"/>
  <c r="W155" i="10"/>
  <c r="W163" i="10"/>
  <c r="W171" i="10"/>
  <c r="W179" i="10"/>
  <c r="W180" i="10"/>
  <c r="W133" i="10"/>
  <c r="W149" i="10"/>
  <c r="W165" i="10"/>
  <c r="W132" i="10"/>
  <c r="W140" i="10"/>
  <c r="W148" i="10"/>
  <c r="W156" i="10"/>
  <c r="W164" i="10"/>
  <c r="W172" i="10"/>
  <c r="W134" i="10"/>
  <c r="W142" i="10"/>
  <c r="W150" i="10"/>
  <c r="W158" i="10"/>
  <c r="W166" i="10"/>
  <c r="W174" i="10"/>
  <c r="W153" i="10"/>
  <c r="W161" i="10"/>
  <c r="W177" i="10"/>
  <c r="W135" i="10"/>
  <c r="W143" i="10"/>
  <c r="W151" i="10"/>
  <c r="W159" i="10"/>
  <c r="W167" i="10"/>
  <c r="W175" i="10"/>
  <c r="W145" i="10"/>
  <c r="W169" i="10"/>
  <c r="W136" i="10"/>
  <c r="W144" i="10"/>
  <c r="W152" i="10"/>
  <c r="W160" i="10"/>
  <c r="W168" i="10"/>
  <c r="W176" i="10"/>
  <c r="L103" i="12" a="1"/>
  <c r="L103" i="12" s="1"/>
  <c r="W133" i="11"/>
  <c r="W141" i="11"/>
  <c r="W149" i="11"/>
  <c r="W157" i="11"/>
  <c r="W165" i="11"/>
  <c r="W173" i="11"/>
  <c r="W138" i="11"/>
  <c r="W154" i="11"/>
  <c r="W170" i="11"/>
  <c r="W139" i="11"/>
  <c r="W147" i="11"/>
  <c r="W163" i="11"/>
  <c r="W179" i="11"/>
  <c r="W140" i="11"/>
  <c r="W156" i="11"/>
  <c r="W172" i="11"/>
  <c r="W134" i="11"/>
  <c r="W142" i="11"/>
  <c r="W150" i="11"/>
  <c r="W158" i="11"/>
  <c r="W166" i="11"/>
  <c r="W174" i="11"/>
  <c r="W135" i="11"/>
  <c r="W143" i="11"/>
  <c r="W151" i="11"/>
  <c r="W159" i="11"/>
  <c r="W167" i="11"/>
  <c r="W175" i="11"/>
  <c r="W136" i="11"/>
  <c r="W144" i="11"/>
  <c r="W152" i="11"/>
  <c r="W160" i="11"/>
  <c r="W168" i="11"/>
  <c r="W176" i="11"/>
  <c r="W130" i="11"/>
  <c r="W146" i="11"/>
  <c r="W162" i="11"/>
  <c r="W178" i="11"/>
  <c r="W131" i="11"/>
  <c r="W155" i="11"/>
  <c r="W171" i="11"/>
  <c r="W132" i="11"/>
  <c r="W148" i="11"/>
  <c r="W164" i="11"/>
  <c r="W180" i="11"/>
  <c r="W137" i="11"/>
  <c r="W145" i="11"/>
  <c r="W153" i="11"/>
  <c r="W161" i="11"/>
  <c r="W169" i="11"/>
  <c r="W177" i="11"/>
  <c r="N129" i="7"/>
  <c r="N130" i="7"/>
  <c r="C103" i="10" a="1"/>
  <c r="C103" i="10" s="1"/>
  <c r="C106" i="10" s="1"/>
  <c r="C15" i="17" s="1"/>
  <c r="M106" i="10"/>
  <c r="L106" i="10"/>
  <c r="C106" i="12"/>
  <c r="C17" i="17" s="1"/>
  <c r="Z142" i="12"/>
  <c r="Z141" i="12" s="1"/>
  <c r="V130" i="12" a="1"/>
  <c r="V129" i="11"/>
  <c r="W129" i="11" s="1"/>
  <c r="V129" i="10"/>
  <c r="W129" i="10" s="1"/>
  <c r="C87" i="11" a="1"/>
  <c r="D17" i="17"/>
  <c r="B169" i="12"/>
  <c r="P169" i="12" s="1"/>
  <c r="B153" i="11"/>
  <c r="P153" i="11" s="1"/>
  <c r="B169" i="10"/>
  <c r="N165" i="7"/>
  <c r="N166" i="7"/>
  <c r="N177" i="7"/>
  <c r="N158" i="7"/>
  <c r="N133" i="7"/>
  <c r="N167" i="7"/>
  <c r="N155" i="7"/>
  <c r="N139" i="7"/>
  <c r="N147" i="7"/>
  <c r="N152" i="7"/>
  <c r="N136" i="7"/>
  <c r="N144" i="7"/>
  <c r="N163" i="7"/>
  <c r="N160" i="7"/>
  <c r="N142" i="7"/>
  <c r="N175" i="7"/>
  <c r="N164" i="7"/>
  <c r="N149" i="7"/>
  <c r="N154" i="7"/>
  <c r="N161" i="7"/>
  <c r="N137" i="7"/>
  <c r="N171" i="7"/>
  <c r="N180" i="7"/>
  <c r="N146" i="7"/>
  <c r="G117" i="7"/>
  <c r="N148" i="7"/>
  <c r="N134" i="7"/>
  <c r="N172" i="7"/>
  <c r="N176" i="7"/>
  <c r="N179" i="7"/>
  <c r="N141" i="7"/>
  <c r="N168" i="7"/>
  <c r="N170" i="7"/>
  <c r="N150" i="7"/>
  <c r="N157" i="7"/>
  <c r="N173" i="7"/>
  <c r="N174" i="7"/>
  <c r="N138" i="7"/>
  <c r="N178" i="7"/>
  <c r="N135" i="7"/>
  <c r="B170" i="7"/>
  <c r="P170" i="7" s="1"/>
  <c r="N153" i="7"/>
  <c r="N151" i="7"/>
  <c r="N145" i="7"/>
  <c r="N140" i="7"/>
  <c r="N162" i="7"/>
  <c r="N156" i="7"/>
  <c r="N143" i="7"/>
  <c r="N159" i="7"/>
  <c r="N169" i="7"/>
  <c r="N131" i="7"/>
  <c r="N132" i="7"/>
  <c r="F78" i="7"/>
  <c r="G80" i="7" s="1"/>
  <c r="G85" i="7"/>
  <c r="M106" i="12" l="1"/>
  <c r="L106" i="12"/>
  <c r="D106" i="10"/>
  <c r="D15" i="17" s="1"/>
  <c r="Z141" i="10"/>
  <c r="AW141" i="10" s="1"/>
  <c r="Z143" i="12"/>
  <c r="Z144" i="12" s="1"/>
  <c r="Z142" i="10"/>
  <c r="Z140" i="10"/>
  <c r="AU141" i="10"/>
  <c r="AW141" i="12"/>
  <c r="AU141" i="12"/>
  <c r="AU142" i="12"/>
  <c r="AW142" i="12"/>
  <c r="V130" i="12"/>
  <c r="C87" i="11"/>
  <c r="C103" i="11" s="1" a="1"/>
  <c r="C103" i="11" s="1"/>
  <c r="AA142" i="12"/>
  <c r="Z140" i="12"/>
  <c r="B168" i="12"/>
  <c r="P168" i="12" s="1"/>
  <c r="B152" i="11"/>
  <c r="P152" i="11" s="1"/>
  <c r="B168" i="10"/>
  <c r="O156" i="7"/>
  <c r="O165" i="7"/>
  <c r="F85" i="7"/>
  <c r="C87" i="7" s="1" a="1"/>
  <c r="C87" i="7" s="1"/>
  <c r="O153" i="7"/>
  <c r="O159" i="7"/>
  <c r="O166" i="7"/>
  <c r="O173" i="7"/>
  <c r="O170" i="7"/>
  <c r="O135" i="7"/>
  <c r="O130" i="7"/>
  <c r="O162" i="7"/>
  <c r="O172" i="7"/>
  <c r="O176" i="7"/>
  <c r="O134" i="7"/>
  <c r="O150" i="7"/>
  <c r="O152" i="7"/>
  <c r="O158" i="7"/>
  <c r="O147" i="7"/>
  <c r="O149" i="7"/>
  <c r="O167" i="7"/>
  <c r="O139" i="7"/>
  <c r="O155" i="7"/>
  <c r="O154" i="7"/>
  <c r="O132" i="7"/>
  <c r="O140" i="7"/>
  <c r="O168" i="7"/>
  <c r="O179" i="7"/>
  <c r="O129" i="7"/>
  <c r="O160" i="7"/>
  <c r="O180" i="7"/>
  <c r="O164" i="7"/>
  <c r="O144" i="7"/>
  <c r="O177" i="7"/>
  <c r="O171" i="7"/>
  <c r="O169" i="7"/>
  <c r="O163" i="7"/>
  <c r="O136" i="7"/>
  <c r="O131" i="7"/>
  <c r="O178" i="7"/>
  <c r="O141" i="7"/>
  <c r="O148" i="7"/>
  <c r="O138" i="7"/>
  <c r="O157" i="7"/>
  <c r="O146" i="7"/>
  <c r="O137" i="7"/>
  <c r="O175" i="7"/>
  <c r="O133" i="7"/>
  <c r="O145" i="7"/>
  <c r="O151" i="7"/>
  <c r="B169" i="7"/>
  <c r="P169" i="7" s="1"/>
  <c r="O174" i="7"/>
  <c r="O161" i="7"/>
  <c r="O142" i="7"/>
  <c r="L103" i="11" l="1" a="1"/>
  <c r="L103" i="11" s="1"/>
  <c r="AU143" i="12"/>
  <c r="Z139" i="10"/>
  <c r="AW140" i="10"/>
  <c r="Z143" i="10"/>
  <c r="AW142" i="10"/>
  <c r="AA142" i="10"/>
  <c r="AA141" i="10"/>
  <c r="AA143" i="12"/>
  <c r="AW143" i="12"/>
  <c r="AX143" i="12" s="1"/>
  <c r="AA140" i="10"/>
  <c r="Z138" i="10"/>
  <c r="AU140" i="10"/>
  <c r="AU142" i="10"/>
  <c r="AV142" i="10" s="1"/>
  <c r="AX142" i="10"/>
  <c r="AV142" i="12"/>
  <c r="AX142" i="12"/>
  <c r="AV143" i="12"/>
  <c r="C106" i="11"/>
  <c r="C16" i="17" s="1"/>
  <c r="D106" i="11"/>
  <c r="D16" i="17" s="1"/>
  <c r="Z144" i="10"/>
  <c r="AX141" i="10"/>
  <c r="AW144" i="12"/>
  <c r="AU144" i="12"/>
  <c r="AW140" i="12"/>
  <c r="AX141" i="12" s="1"/>
  <c r="AU140" i="12"/>
  <c r="AV141" i="12" s="1"/>
  <c r="V129" i="7" a="1"/>
  <c r="AA144" i="12"/>
  <c r="Z141" i="11"/>
  <c r="Z145" i="12"/>
  <c r="AA141" i="12"/>
  <c r="Z139" i="12"/>
  <c r="B167" i="12"/>
  <c r="P167" i="12" s="1"/>
  <c r="B151" i="11"/>
  <c r="P151" i="11" s="1"/>
  <c r="B167" i="10"/>
  <c r="L103" i="7" a="1"/>
  <c r="L103" i="7" s="1"/>
  <c r="B168" i="7"/>
  <c r="P168" i="7" s="1"/>
  <c r="W138" i="7" l="1"/>
  <c r="W152" i="7"/>
  <c r="W166" i="7"/>
  <c r="W180" i="7"/>
  <c r="W139" i="7"/>
  <c r="W153" i="7"/>
  <c r="W167" i="7"/>
  <c r="W140" i="7"/>
  <c r="W154" i="7"/>
  <c r="W168" i="7"/>
  <c r="W141" i="7"/>
  <c r="W155" i="7"/>
  <c r="W169" i="7"/>
  <c r="W179" i="7"/>
  <c r="W142" i="7"/>
  <c r="W156" i="7"/>
  <c r="W170" i="7"/>
  <c r="W143" i="7"/>
  <c r="W157" i="7"/>
  <c r="W171" i="7"/>
  <c r="W130" i="7"/>
  <c r="W144" i="7"/>
  <c r="W158" i="7"/>
  <c r="W172" i="7"/>
  <c r="W131" i="7"/>
  <c r="W145" i="7"/>
  <c r="W159" i="7"/>
  <c r="W173" i="7"/>
  <c r="W132" i="7"/>
  <c r="W146" i="7"/>
  <c r="W160" i="7"/>
  <c r="W174" i="7"/>
  <c r="W137" i="7"/>
  <c r="W165" i="7"/>
  <c r="W133" i="7"/>
  <c r="W147" i="7"/>
  <c r="W161" i="7"/>
  <c r="W175" i="7"/>
  <c r="W134" i="7"/>
  <c r="W148" i="7"/>
  <c r="W162" i="7"/>
  <c r="W176" i="7"/>
  <c r="W135" i="7"/>
  <c r="W149" i="7"/>
  <c r="W163" i="7"/>
  <c r="W177" i="7"/>
  <c r="W136" i="7"/>
  <c r="W150" i="7"/>
  <c r="W164" i="7"/>
  <c r="W178" i="7"/>
  <c r="W151" i="7"/>
  <c r="AV144" i="12"/>
  <c r="AA143" i="10"/>
  <c r="AW143" i="10"/>
  <c r="AX143" i="10" s="1"/>
  <c r="AX144" i="12"/>
  <c r="AA144" i="10"/>
  <c r="AW144" i="10"/>
  <c r="AX144" i="10" s="1"/>
  <c r="AU143" i="10"/>
  <c r="AV143" i="10" s="1"/>
  <c r="AA139" i="10"/>
  <c r="AW138" i="10"/>
  <c r="AU139" i="10"/>
  <c r="AV140" i="10" s="1"/>
  <c r="AW139" i="10"/>
  <c r="AX140" i="10" s="1"/>
  <c r="M106" i="7"/>
  <c r="L106" i="7"/>
  <c r="AU138" i="10"/>
  <c r="AV139" i="10" s="1"/>
  <c r="Z137" i="10"/>
  <c r="AV141" i="10"/>
  <c r="M106" i="11"/>
  <c r="L106" i="11"/>
  <c r="Z145" i="10"/>
  <c r="AU144" i="10"/>
  <c r="V129" i="7"/>
  <c r="W129" i="7" s="1"/>
  <c r="AA145" i="12"/>
  <c r="AW145" i="12"/>
  <c r="AX145" i="12" s="1"/>
  <c r="AU145" i="12"/>
  <c r="AV145" i="12" s="1"/>
  <c r="AU139" i="12"/>
  <c r="AW139" i="12"/>
  <c r="AW141" i="11"/>
  <c r="AU141" i="11"/>
  <c r="AA145" i="10"/>
  <c r="D106" i="7"/>
  <c r="Z140" i="11"/>
  <c r="Z142" i="11"/>
  <c r="Z138" i="12"/>
  <c r="AA140" i="12"/>
  <c r="Z146" i="12"/>
  <c r="B166" i="12"/>
  <c r="P166" i="12" s="1"/>
  <c r="B150" i="11"/>
  <c r="P150" i="11" s="1"/>
  <c r="B166" i="10"/>
  <c r="B167" i="7"/>
  <c r="P167" i="7" s="1"/>
  <c r="AX139" i="10" l="1"/>
  <c r="AV144" i="10"/>
  <c r="AU137" i="10"/>
  <c r="AV138" i="10" s="1"/>
  <c r="AW137" i="10"/>
  <c r="Z146" i="10"/>
  <c r="AW146" i="10" s="1"/>
  <c r="AW145" i="10"/>
  <c r="AX145" i="10" s="1"/>
  <c r="Z136" i="10"/>
  <c r="AW136" i="10" s="1"/>
  <c r="AX137" i="10" s="1"/>
  <c r="AA138" i="10"/>
  <c r="AU145" i="10"/>
  <c r="AV145" i="10" s="1"/>
  <c r="AA141" i="7"/>
  <c r="AA142" i="7" s="1"/>
  <c r="D14" i="17"/>
  <c r="AW146" i="12"/>
  <c r="AX146" i="12" s="1"/>
  <c r="AU146" i="12"/>
  <c r="AV146" i="12" s="1"/>
  <c r="AU138" i="12"/>
  <c r="AW138" i="12"/>
  <c r="AX139" i="12" s="1"/>
  <c r="AX140" i="12"/>
  <c r="AW140" i="11"/>
  <c r="AX141" i="11" s="1"/>
  <c r="AU140" i="11"/>
  <c r="AA142" i="11"/>
  <c r="AW142" i="11"/>
  <c r="AX142" i="11" s="1"/>
  <c r="AU142" i="11"/>
  <c r="AV142" i="11" s="1"/>
  <c r="AX138" i="10"/>
  <c r="C106" i="7"/>
  <c r="C14" i="17" s="1"/>
  <c r="Z143" i="11"/>
  <c r="Z139" i="11"/>
  <c r="AA141" i="11"/>
  <c r="AV140" i="12"/>
  <c r="Z147" i="12"/>
  <c r="AA146" i="12"/>
  <c r="Z137" i="12"/>
  <c r="AA139" i="12"/>
  <c r="B165" i="12"/>
  <c r="P165" i="12" s="1"/>
  <c r="B149" i="11"/>
  <c r="P149" i="11" s="1"/>
  <c r="B165" i="10"/>
  <c r="B166" i="7"/>
  <c r="P166" i="7" s="1"/>
  <c r="AU136" i="10" l="1"/>
  <c r="AA137" i="10"/>
  <c r="AU146" i="10"/>
  <c r="AV146" i="10" s="1"/>
  <c r="AA146" i="10"/>
  <c r="Z135" i="10"/>
  <c r="AW135" i="10" s="1"/>
  <c r="AX136" i="10" s="1"/>
  <c r="Z147" i="10"/>
  <c r="AW147" i="10" s="1"/>
  <c r="AX147" i="10" s="1"/>
  <c r="AX146" i="10"/>
  <c r="AU141" i="7"/>
  <c r="AW141" i="7"/>
  <c r="AA140" i="7"/>
  <c r="AU140" i="7" s="1"/>
  <c r="AU137" i="12"/>
  <c r="AV138" i="12" s="1"/>
  <c r="AW137" i="12"/>
  <c r="AX138" i="12" s="1"/>
  <c r="AW147" i="12"/>
  <c r="AX147" i="12" s="1"/>
  <c r="AU147" i="12"/>
  <c r="AV147" i="12" s="1"/>
  <c r="AU139" i="11"/>
  <c r="AW139" i="11"/>
  <c r="AU143" i="11"/>
  <c r="AV143" i="11" s="1"/>
  <c r="AW143" i="11"/>
  <c r="AX143" i="11" s="1"/>
  <c r="AW142" i="7"/>
  <c r="AU142" i="7"/>
  <c r="AA147" i="12"/>
  <c r="AB147" i="12"/>
  <c r="AA143" i="7"/>
  <c r="AV141" i="11"/>
  <c r="Z138" i="11"/>
  <c r="AA140" i="11"/>
  <c r="AA143" i="11"/>
  <c r="Z144" i="11"/>
  <c r="AA138" i="12"/>
  <c r="Z136" i="12"/>
  <c r="Z148" i="12"/>
  <c r="AV137" i="10"/>
  <c r="AV139" i="12"/>
  <c r="B164" i="12"/>
  <c r="P164" i="12" s="1"/>
  <c r="B148" i="11"/>
  <c r="P148" i="11" s="1"/>
  <c r="B164" i="10"/>
  <c r="B165" i="7"/>
  <c r="P165" i="7" s="1"/>
  <c r="AA136" i="10" l="1"/>
  <c r="Z148" i="10"/>
  <c r="AW148" i="10" s="1"/>
  <c r="AX148" i="10" s="1"/>
  <c r="Z134" i="10"/>
  <c r="AW134" i="10" s="1"/>
  <c r="AU135" i="10"/>
  <c r="AV136" i="10" s="1"/>
  <c r="AU147" i="10"/>
  <c r="AV147" i="10" s="1"/>
  <c r="AA147" i="10"/>
  <c r="AA139" i="7"/>
  <c r="AA138" i="7" s="1"/>
  <c r="AA137" i="7" s="1"/>
  <c r="AW140" i="7"/>
  <c r="AX141" i="7" s="1"/>
  <c r="AX142" i="7"/>
  <c r="AV141" i="7"/>
  <c r="AV142" i="7"/>
  <c r="AW148" i="12"/>
  <c r="AX148" i="12" s="1"/>
  <c r="AU148" i="12"/>
  <c r="AV148" i="12" s="1"/>
  <c r="AW136" i="12"/>
  <c r="AX137" i="12" s="1"/>
  <c r="AU136" i="12"/>
  <c r="AV137" i="12" s="1"/>
  <c r="AU138" i="11"/>
  <c r="AV139" i="11" s="1"/>
  <c r="AW138" i="11"/>
  <c r="AX139" i="11" s="1"/>
  <c r="AA144" i="11"/>
  <c r="AU144" i="11"/>
  <c r="AV144" i="11" s="1"/>
  <c r="AW144" i="11"/>
  <c r="AX144" i="11" s="1"/>
  <c r="AX140" i="11"/>
  <c r="AU134" i="10"/>
  <c r="AV135" i="10" s="1"/>
  <c r="AX135" i="10"/>
  <c r="AU148" i="10"/>
  <c r="AV148" i="10" s="1"/>
  <c r="AA144" i="7"/>
  <c r="AA145" i="7" s="1"/>
  <c r="AW143" i="7"/>
  <c r="AX143" i="7" s="1"/>
  <c r="AU143" i="7"/>
  <c r="AV143" i="7" s="1"/>
  <c r="AB148" i="12"/>
  <c r="AA139" i="11"/>
  <c r="Z137" i="11"/>
  <c r="Z145" i="11"/>
  <c r="AV140" i="11"/>
  <c r="AA148" i="10"/>
  <c r="AA148" i="12"/>
  <c r="Z149" i="12"/>
  <c r="AA137" i="12"/>
  <c r="Z135" i="12"/>
  <c r="Z133" i="10"/>
  <c r="AW133" i="10" s="1"/>
  <c r="AA135" i="10"/>
  <c r="B163" i="12"/>
  <c r="P163" i="12" s="1"/>
  <c r="B147" i="11"/>
  <c r="P147" i="11" s="1"/>
  <c r="B163" i="10"/>
  <c r="B164" i="7"/>
  <c r="P164" i="7" s="1"/>
  <c r="AW139" i="7" l="1"/>
  <c r="AU139" i="7"/>
  <c r="AX140" i="7"/>
  <c r="AU149" i="12"/>
  <c r="AW149" i="12"/>
  <c r="AX149" i="12" s="1"/>
  <c r="AB136" i="12"/>
  <c r="AU135" i="12"/>
  <c r="AV136" i="12" s="1"/>
  <c r="AW135" i="12"/>
  <c r="AA145" i="11"/>
  <c r="AW145" i="11"/>
  <c r="AX145" i="11" s="1"/>
  <c r="AU145" i="11"/>
  <c r="AV145" i="11" s="1"/>
  <c r="AU137" i="11"/>
  <c r="AW137" i="11"/>
  <c r="AU133" i="10"/>
  <c r="AV134" i="10" s="1"/>
  <c r="AX134" i="10"/>
  <c r="AU145" i="7"/>
  <c r="AW145" i="7"/>
  <c r="AU137" i="7"/>
  <c r="AW137" i="7"/>
  <c r="AU138" i="7"/>
  <c r="AV139" i="7" s="1"/>
  <c r="AW138" i="7"/>
  <c r="AU144" i="7"/>
  <c r="AV144" i="7" s="1"/>
  <c r="AW144" i="7"/>
  <c r="AX144" i="7" s="1"/>
  <c r="AB149" i="12"/>
  <c r="AA138" i="11"/>
  <c r="Z136" i="11"/>
  <c r="Z146" i="11"/>
  <c r="AV140" i="7"/>
  <c r="AA149" i="12"/>
  <c r="AV149" i="12"/>
  <c r="AA136" i="12"/>
  <c r="Z134" i="12"/>
  <c r="Z132" i="10"/>
  <c r="AW132" i="10" s="1"/>
  <c r="AA134" i="10"/>
  <c r="AA146" i="7"/>
  <c r="AA136" i="7"/>
  <c r="B162" i="12"/>
  <c r="P162" i="12" s="1"/>
  <c r="B146" i="11"/>
  <c r="P146" i="11" s="1"/>
  <c r="B162" i="10"/>
  <c r="B163" i="7"/>
  <c r="P163" i="7" s="1"/>
  <c r="AX138" i="7" l="1"/>
  <c r="AU134" i="12"/>
  <c r="AW134" i="12"/>
  <c r="AX136" i="12"/>
  <c r="AW136" i="11"/>
  <c r="AU136" i="11"/>
  <c r="AV137" i="11" s="1"/>
  <c r="AX138" i="11"/>
  <c r="AU146" i="11"/>
  <c r="AV146" i="11" s="1"/>
  <c r="AW146" i="11"/>
  <c r="AX146" i="11" s="1"/>
  <c r="AX133" i="10"/>
  <c r="AU132" i="10"/>
  <c r="AV145" i="7"/>
  <c r="AU136" i="7"/>
  <c r="AW136" i="7"/>
  <c r="AX137" i="7" s="1"/>
  <c r="AU146" i="7"/>
  <c r="AV146" i="7" s="1"/>
  <c r="AW146" i="7"/>
  <c r="AX146" i="7" s="1"/>
  <c r="AX139" i="7"/>
  <c r="AX145" i="7"/>
  <c r="AA146" i="11"/>
  <c r="Z147" i="11"/>
  <c r="AV138" i="11"/>
  <c r="AA137" i="11"/>
  <c r="Z135" i="11"/>
  <c r="AV138" i="7"/>
  <c r="Z133" i="12"/>
  <c r="AA135" i="12"/>
  <c r="Z131" i="10"/>
  <c r="AW131" i="10" s="1"/>
  <c r="AX132" i="10" s="1"/>
  <c r="AA133" i="10"/>
  <c r="AA135" i="7"/>
  <c r="AA147" i="7"/>
  <c r="B161" i="12"/>
  <c r="P161" i="12" s="1"/>
  <c r="B145" i="11"/>
  <c r="P145" i="11" s="1"/>
  <c r="B161" i="10"/>
  <c r="B162" i="7"/>
  <c r="P162" i="7" s="1"/>
  <c r="AB134" i="12" l="1"/>
  <c r="AU133" i="12"/>
  <c r="AW133" i="12"/>
  <c r="AX135" i="12"/>
  <c r="AW147" i="11"/>
  <c r="AX147" i="11" s="1"/>
  <c r="AU147" i="11"/>
  <c r="AV147" i="11" s="1"/>
  <c r="AW135" i="11"/>
  <c r="AX136" i="11" s="1"/>
  <c r="AU135" i="11"/>
  <c r="AV136" i="11" s="1"/>
  <c r="AX137" i="11"/>
  <c r="AU131" i="10"/>
  <c r="AV132" i="10" s="1"/>
  <c r="AU147" i="7"/>
  <c r="AV147" i="7" s="1"/>
  <c r="AW147" i="7"/>
  <c r="AX147" i="7" s="1"/>
  <c r="AU135" i="7"/>
  <c r="AW135" i="7"/>
  <c r="Z134" i="11"/>
  <c r="AA136" i="11"/>
  <c r="AA147" i="11"/>
  <c r="Z148" i="11"/>
  <c r="Z132" i="12"/>
  <c r="AA134" i="12"/>
  <c r="AV133" i="10"/>
  <c r="AV137" i="7"/>
  <c r="AV135" i="12"/>
  <c r="Z130" i="10"/>
  <c r="AW130" i="10" s="1"/>
  <c r="AA132" i="10"/>
  <c r="AA148" i="7"/>
  <c r="AA134" i="7"/>
  <c r="B160" i="12"/>
  <c r="P160" i="12" s="1"/>
  <c r="B144" i="11"/>
  <c r="P144" i="11" s="1"/>
  <c r="B160" i="10"/>
  <c r="B161" i="7"/>
  <c r="P161" i="7" s="1"/>
  <c r="AB133" i="12" l="1"/>
  <c r="AU132" i="12"/>
  <c r="AW132" i="12"/>
  <c r="AX134" i="12"/>
  <c r="AW148" i="11"/>
  <c r="AX148" i="11" s="1"/>
  <c r="AU148" i="11"/>
  <c r="AV148" i="11" s="1"/>
  <c r="AW134" i="11"/>
  <c r="AX135" i="11" s="1"/>
  <c r="AU134" i="11"/>
  <c r="AV135" i="11" s="1"/>
  <c r="Z129" i="10"/>
  <c r="AU130" i="10"/>
  <c r="AX131" i="10"/>
  <c r="AU134" i="7"/>
  <c r="AV135" i="7" s="1"/>
  <c r="AW134" i="7"/>
  <c r="AW148" i="7"/>
  <c r="AX148" i="7" s="1"/>
  <c r="AU148" i="7"/>
  <c r="AV148" i="7" s="1"/>
  <c r="AX136" i="7"/>
  <c r="AA148" i="11"/>
  <c r="AB148" i="11"/>
  <c r="AA135" i="11"/>
  <c r="Z133" i="11"/>
  <c r="AA133" i="12"/>
  <c r="Z131" i="12"/>
  <c r="AV134" i="12"/>
  <c r="AV136" i="7"/>
  <c r="AA131" i="10"/>
  <c r="AA133" i="7"/>
  <c r="B159" i="12"/>
  <c r="P159" i="12" s="1"/>
  <c r="B143" i="11"/>
  <c r="P143" i="11" s="1"/>
  <c r="B159" i="10"/>
  <c r="B160" i="7"/>
  <c r="P160" i="7" s="1"/>
  <c r="AB132" i="12" l="1"/>
  <c r="AW131" i="12"/>
  <c r="AX132" i="12" s="1"/>
  <c r="AU131" i="12"/>
  <c r="AV132" i="12" s="1"/>
  <c r="AX133" i="12"/>
  <c r="AW133" i="11"/>
  <c r="AU133" i="11"/>
  <c r="AA130" i="10"/>
  <c r="AU129" i="10"/>
  <c r="AV130" i="10" s="1"/>
  <c r="AW129" i="10"/>
  <c r="AX130" i="10" s="1"/>
  <c r="AW133" i="7"/>
  <c r="AU133" i="7"/>
  <c r="AX135" i="7"/>
  <c r="AA134" i="11"/>
  <c r="Z132" i="11"/>
  <c r="AA132" i="12"/>
  <c r="Z130" i="12"/>
  <c r="AV133" i="12"/>
  <c r="AV131" i="10"/>
  <c r="AA132" i="7"/>
  <c r="B158" i="12"/>
  <c r="P158" i="12" s="1"/>
  <c r="B142" i="11"/>
  <c r="P142" i="11" s="1"/>
  <c r="B158" i="10"/>
  <c r="B159" i="7"/>
  <c r="P159" i="7" s="1"/>
  <c r="AW130" i="12" l="1"/>
  <c r="AX131" i="12" s="1"/>
  <c r="AU130" i="12"/>
  <c r="AV131" i="12" s="1"/>
  <c r="AW132" i="11"/>
  <c r="AX133" i="11" s="1"/>
  <c r="AU132" i="11"/>
  <c r="AV133" i="11" s="1"/>
  <c r="AX134" i="11"/>
  <c r="AA131" i="7"/>
  <c r="AU132" i="7"/>
  <c r="AV133" i="7" s="1"/>
  <c r="AW132" i="7"/>
  <c r="AX133" i="7" s="1"/>
  <c r="AX134" i="7"/>
  <c r="AB131" i="12"/>
  <c r="AA133" i="11"/>
  <c r="Z131" i="11"/>
  <c r="AV134" i="11"/>
  <c r="AV134" i="7"/>
  <c r="AA131" i="12"/>
  <c r="B157" i="12"/>
  <c r="P157" i="12" s="1"/>
  <c r="B141" i="11"/>
  <c r="P141" i="11" s="1"/>
  <c r="B157" i="10"/>
  <c r="B158" i="7"/>
  <c r="P158" i="7" s="1"/>
  <c r="AA130" i="7" l="1"/>
  <c r="AW130" i="7" s="1"/>
  <c r="AW131" i="7"/>
  <c r="AW131" i="11"/>
  <c r="AX132" i="11" s="1"/>
  <c r="AU131" i="11"/>
  <c r="AV132" i="11" s="1"/>
  <c r="AU131" i="7"/>
  <c r="AV132" i="7" s="1"/>
  <c r="AA129" i="7"/>
  <c r="AA132" i="11"/>
  <c r="Z130" i="11"/>
  <c r="B156" i="12"/>
  <c r="P156" i="12" s="1"/>
  <c r="B140" i="11"/>
  <c r="P140" i="11" s="1"/>
  <c r="B156" i="10"/>
  <c r="B157" i="7"/>
  <c r="P157" i="7" s="1"/>
  <c r="AU130" i="7" l="1"/>
  <c r="AV131" i="7" s="1"/>
  <c r="AX131" i="7"/>
  <c r="AW130" i="11"/>
  <c r="AX131" i="11" s="1"/>
  <c r="AU130" i="11"/>
  <c r="AV131" i="11" s="1"/>
  <c r="AU129" i="7"/>
  <c r="AW129" i="7"/>
  <c r="AX130" i="7" s="1"/>
  <c r="AX132" i="7"/>
  <c r="AA131" i="11"/>
  <c r="Z129" i="11"/>
  <c r="AB131" i="7"/>
  <c r="B155" i="12"/>
  <c r="P155" i="12" s="1"/>
  <c r="B139" i="11"/>
  <c r="P139" i="11" s="1"/>
  <c r="B155" i="10"/>
  <c r="B156" i="7"/>
  <c r="P156" i="7" s="1"/>
  <c r="AU129" i="11" l="1"/>
  <c r="AV130" i="11" s="1"/>
  <c r="AW129" i="11"/>
  <c r="AX130" i="11" s="1"/>
  <c r="AA130" i="11"/>
  <c r="B154" i="12"/>
  <c r="P154" i="12" s="1"/>
  <c r="B138" i="11"/>
  <c r="P138" i="11" s="1"/>
  <c r="B154" i="10"/>
  <c r="B155" i="7"/>
  <c r="P155" i="7" s="1"/>
  <c r="B153" i="12" l="1"/>
  <c r="P153" i="12" s="1"/>
  <c r="B137" i="11"/>
  <c r="P137" i="11" s="1"/>
  <c r="B153" i="10"/>
  <c r="B154" i="7"/>
  <c r="P154" i="7" s="1"/>
  <c r="B152" i="12" l="1"/>
  <c r="P152" i="12" s="1"/>
  <c r="B136" i="11"/>
  <c r="P136" i="11" s="1"/>
  <c r="B152" i="10"/>
  <c r="B153" i="7"/>
  <c r="P153" i="7" s="1"/>
  <c r="B151" i="12" l="1"/>
  <c r="P151" i="12" s="1"/>
  <c r="B135" i="11"/>
  <c r="P135" i="11" s="1"/>
  <c r="B151" i="10"/>
  <c r="B152" i="7"/>
  <c r="P152" i="7" s="1"/>
  <c r="B150" i="12" l="1"/>
  <c r="P150" i="12" s="1"/>
  <c r="B134" i="11"/>
  <c r="P134" i="11" s="1"/>
  <c r="B150" i="10"/>
  <c r="B151" i="7"/>
  <c r="P151" i="7" s="1"/>
  <c r="B149" i="12" l="1"/>
  <c r="P149" i="12" s="1"/>
  <c r="B133" i="11"/>
  <c r="P133" i="11" s="1"/>
  <c r="B149" i="10"/>
  <c r="B150" i="7"/>
  <c r="P150" i="7" s="1"/>
  <c r="B148" i="12" l="1"/>
  <c r="P148" i="12" s="1"/>
  <c r="B132" i="11"/>
  <c r="P132" i="11" s="1"/>
  <c r="B148" i="10"/>
  <c r="B149" i="7"/>
  <c r="P149" i="7" s="1"/>
  <c r="B147" i="12" l="1"/>
  <c r="P147" i="12" s="1"/>
  <c r="B131" i="11"/>
  <c r="P131" i="11" s="1"/>
  <c r="B147" i="10"/>
  <c r="B148" i="7"/>
  <c r="P148" i="7" s="1"/>
  <c r="B146" i="12" l="1"/>
  <c r="P146" i="12" s="1"/>
  <c r="B130" i="11"/>
  <c r="P130" i="11" s="1"/>
  <c r="B146" i="10"/>
  <c r="B147" i="7"/>
  <c r="P147" i="7" s="1"/>
  <c r="B145" i="12" l="1"/>
  <c r="P145" i="12" s="1"/>
  <c r="B129" i="11"/>
  <c r="P129" i="11" s="1"/>
  <c r="B145" i="10"/>
  <c r="B146" i="7"/>
  <c r="P146" i="7" s="1"/>
  <c r="B144" i="12" l="1"/>
  <c r="P144" i="12" s="1"/>
  <c r="B144" i="10"/>
  <c r="B145" i="7"/>
  <c r="P145" i="7" s="1"/>
  <c r="B143" i="12" l="1"/>
  <c r="P143" i="12" s="1"/>
  <c r="B143" i="10"/>
  <c r="B144" i="7"/>
  <c r="P144" i="7" s="1"/>
  <c r="B142" i="12" l="1"/>
  <c r="P142" i="12" s="1"/>
  <c r="B142" i="10"/>
  <c r="B143" i="7"/>
  <c r="P143" i="7" s="1"/>
  <c r="B141" i="12" l="1"/>
  <c r="P141" i="12" s="1"/>
  <c r="B141" i="10"/>
  <c r="P184" i="10"/>
  <c r="B142" i="7"/>
  <c r="P142" i="7" s="1"/>
  <c r="B140" i="12" l="1"/>
  <c r="P140" i="12" s="1"/>
  <c r="B140" i="10"/>
  <c r="B141" i="7"/>
  <c r="P141" i="7" s="1"/>
  <c r="B139" i="12" l="1"/>
  <c r="P139" i="12" s="1"/>
  <c r="B139" i="10"/>
  <c r="B140" i="7"/>
  <c r="P140" i="7" s="1"/>
  <c r="B138" i="12" l="1"/>
  <c r="P138" i="12" s="1"/>
  <c r="B138" i="10"/>
  <c r="B139" i="7"/>
  <c r="P139" i="7" s="1"/>
  <c r="B137" i="12" l="1"/>
  <c r="P137" i="12" s="1"/>
  <c r="B137" i="10"/>
  <c r="B138" i="7"/>
  <c r="P138" i="7" s="1"/>
  <c r="B136" i="12" l="1"/>
  <c r="P136" i="12" s="1"/>
  <c r="B136" i="10"/>
  <c r="B137" i="7"/>
  <c r="P137" i="7" s="1"/>
  <c r="B135" i="12" l="1"/>
  <c r="P135" i="12" s="1"/>
  <c r="B135" i="10"/>
  <c r="B136" i="7"/>
  <c r="P136" i="7" s="1"/>
  <c r="B134" i="12" l="1"/>
  <c r="P134" i="12" s="1"/>
  <c r="B134" i="10"/>
  <c r="B135" i="7"/>
  <c r="P135" i="7" s="1"/>
  <c r="B133" i="12" l="1"/>
  <c r="P133" i="12" s="1"/>
  <c r="B133" i="10"/>
  <c r="B134" i="7"/>
  <c r="P134" i="7" s="1"/>
  <c r="B132" i="12" l="1"/>
  <c r="P132" i="12" s="1"/>
  <c r="B132" i="10"/>
  <c r="B133" i="7"/>
  <c r="P133" i="7" s="1"/>
  <c r="B131" i="12" l="1"/>
  <c r="P131" i="12" s="1"/>
  <c r="B131" i="10"/>
  <c r="B132" i="7"/>
  <c r="P132" i="7" s="1"/>
  <c r="B130" i="12" l="1"/>
  <c r="P130" i="12" s="1"/>
  <c r="P183" i="12" s="1"/>
  <c r="B130" i="10"/>
  <c r="B131" i="7"/>
  <c r="P131" i="7" s="1"/>
  <c r="B129" i="10" l="1"/>
  <c r="B130" i="7"/>
  <c r="P130" i="7" s="1"/>
  <c r="B129" i="7" l="1"/>
  <c r="P129" i="7" s="1"/>
  <c r="P182" i="7" l="1"/>
  <c r="Q129" i="7" s="1"/>
  <c r="Q173" i="7" l="1"/>
  <c r="AC147" i="7" l="1"/>
  <c r="AC148" i="7"/>
  <c r="Q180" i="7"/>
  <c r="Q179" i="7"/>
  <c r="Q178" i="7"/>
  <c r="Q177" i="7"/>
  <c r="Q176" i="7"/>
  <c r="Q175" i="7"/>
  <c r="Q174" i="7"/>
  <c r="Q172" i="7"/>
  <c r="Q171" i="7"/>
  <c r="Q170" i="7"/>
  <c r="Q169" i="7"/>
  <c r="Q168" i="7"/>
  <c r="Q167" i="7"/>
  <c r="Q166" i="7"/>
  <c r="Q165" i="7"/>
  <c r="Q164" i="7"/>
  <c r="Q163" i="7"/>
  <c r="Q162" i="7"/>
  <c r="Q161" i="7"/>
  <c r="Q160" i="7"/>
  <c r="Q159" i="7"/>
  <c r="Q158" i="7"/>
  <c r="Q157" i="7"/>
  <c r="Q156" i="7"/>
  <c r="Q155" i="7"/>
  <c r="Q154" i="7"/>
  <c r="Q153" i="7"/>
  <c r="Q152" i="7"/>
  <c r="Q151" i="7"/>
  <c r="Q150" i="7"/>
  <c r="Q149" i="7"/>
  <c r="Q148" i="7"/>
  <c r="Q147" i="7"/>
  <c r="Q146" i="7"/>
  <c r="Q145" i="7"/>
  <c r="Q144" i="7"/>
  <c r="Q143" i="7"/>
  <c r="Q142" i="7"/>
  <c r="AC131" i="7" s="1"/>
  <c r="Q141" i="7"/>
  <c r="Q140" i="7"/>
  <c r="Q139" i="7"/>
  <c r="Q138" i="7"/>
  <c r="Q137" i="7"/>
  <c r="Q136" i="7"/>
  <c r="Q135" i="7"/>
  <c r="Q134" i="7"/>
  <c r="Q133" i="7"/>
  <c r="Q132" i="7"/>
  <c r="Q131" i="7"/>
  <c r="Q130" i="7"/>
  <c r="C123" i="7" l="1"/>
  <c r="Q119" i="7"/>
  <c r="AC132" i="7"/>
  <c r="AC146" i="7"/>
  <c r="AC134" i="7"/>
  <c r="AC133" i="7"/>
  <c r="AB130" i="10"/>
  <c r="X130" i="7"/>
  <c r="AC144" i="7"/>
  <c r="AB148" i="10"/>
  <c r="X129" i="7"/>
  <c r="C121" i="7" l="1"/>
  <c r="T129" i="7"/>
  <c r="R129" i="7"/>
  <c r="S129" i="7"/>
  <c r="AC145" i="7"/>
  <c r="X134" i="7"/>
  <c r="AC141" i="7"/>
  <c r="W119" i="7"/>
  <c r="X131" i="7"/>
  <c r="D120" i="7" s="1" a="1"/>
  <c r="D120" i="7" s="1"/>
  <c r="X135" i="7"/>
  <c r="X136" i="7"/>
  <c r="X144" i="7"/>
  <c r="X147" i="7"/>
  <c r="R162" i="7"/>
  <c r="T154" i="7"/>
  <c r="S157" i="7"/>
  <c r="R150" i="7"/>
  <c r="T136" i="7"/>
  <c r="R135" i="7"/>
  <c r="T134" i="7"/>
  <c r="S175" i="7"/>
  <c r="S148" i="7"/>
  <c r="R180" i="7"/>
  <c r="R139" i="7"/>
  <c r="T135" i="7"/>
  <c r="T175" i="7"/>
  <c r="T148" i="7"/>
  <c r="T139" i="7"/>
  <c r="T173" i="7"/>
  <c r="T160" i="7"/>
  <c r="R130" i="7"/>
  <c r="S169" i="7"/>
  <c r="T180" i="7"/>
  <c r="S153" i="7"/>
  <c r="R131" i="7"/>
  <c r="T163" i="7"/>
  <c r="S141" i="7"/>
  <c r="R173" i="7"/>
  <c r="R154" i="7"/>
  <c r="S168" i="7"/>
  <c r="R157" i="7"/>
  <c r="T166" i="7"/>
  <c r="R160" i="7"/>
  <c r="T150" i="7"/>
  <c r="S151" i="7"/>
  <c r="R136" i="7"/>
  <c r="R134" i="7"/>
  <c r="S180" i="7"/>
  <c r="S152" i="7"/>
  <c r="R168" i="7"/>
  <c r="R165" i="7"/>
  <c r="R151" i="7"/>
  <c r="R153" i="7"/>
  <c r="S164" i="7"/>
  <c r="R137" i="7"/>
  <c r="S171" i="7"/>
  <c r="S140" i="7"/>
  <c r="R177" i="7"/>
  <c r="T179" i="7"/>
  <c r="T140" i="7"/>
  <c r="S163" i="7"/>
  <c r="R172" i="7"/>
  <c r="T145" i="7"/>
  <c r="S146" i="7"/>
  <c r="S135" i="7"/>
  <c r="S134" i="7"/>
  <c r="R175" i="7"/>
  <c r="R148" i="7"/>
  <c r="S166" i="7"/>
  <c r="T159" i="7"/>
  <c r="R141" i="7"/>
  <c r="S174" i="7"/>
  <c r="R138" i="7"/>
  <c r="S155" i="7"/>
  <c r="S179" i="7"/>
  <c r="R142" i="7"/>
  <c r="R170" i="7"/>
  <c r="R133" i="7"/>
  <c r="S147" i="7"/>
  <c r="T146" i="7"/>
  <c r="S142" i="7"/>
  <c r="T170" i="7"/>
  <c r="R176" i="7"/>
  <c r="S173" i="7"/>
  <c r="S144" i="7"/>
  <c r="R152" i="7"/>
  <c r="T168" i="7"/>
  <c r="S156" i="7"/>
  <c r="R166" i="7"/>
  <c r="S165" i="7"/>
  <c r="S160" i="7"/>
  <c r="R159" i="7"/>
  <c r="T151" i="7"/>
  <c r="T130" i="7"/>
  <c r="T131" i="7"/>
  <c r="R169" i="7"/>
  <c r="R156" i="7"/>
  <c r="R161" i="7"/>
  <c r="S158" i="7"/>
  <c r="R171" i="7"/>
  <c r="S150" i="7"/>
  <c r="S133" i="7"/>
  <c r="S136" i="7"/>
  <c r="R147" i="7"/>
  <c r="S139" i="7"/>
  <c r="S170" i="7"/>
  <c r="S176" i="7"/>
  <c r="T144" i="7"/>
  <c r="T152" i="7"/>
  <c r="T156" i="7"/>
  <c r="T161" i="7"/>
  <c r="T165" i="7"/>
  <c r="S159" i="7"/>
  <c r="R149" i="7"/>
  <c r="S130" i="7"/>
  <c r="S131" i="7"/>
  <c r="R158" i="7"/>
  <c r="T153" i="7"/>
  <c r="T169" i="7"/>
  <c r="S149" i="7"/>
  <c r="S177" i="7"/>
  <c r="T133" i="7"/>
  <c r="T147" i="7"/>
  <c r="R146" i="7"/>
  <c r="T172" i="7"/>
  <c r="R145" i="7"/>
  <c r="T137" i="7"/>
  <c r="T143" i="7"/>
  <c r="T176" i="7"/>
  <c r="R144" i="7"/>
  <c r="S143" i="7"/>
  <c r="T132" i="7"/>
  <c r="R164" i="7"/>
  <c r="S161" i="7"/>
  <c r="T155" i="7"/>
  <c r="S137" i="7"/>
  <c r="R179" i="7"/>
  <c r="T149" i="7"/>
  <c r="R140" i="7"/>
  <c r="R163" i="7"/>
  <c r="T158" i="7"/>
  <c r="S172" i="7"/>
  <c r="T177" i="7"/>
  <c r="S145" i="7"/>
  <c r="T141" i="7"/>
  <c r="R143" i="7"/>
  <c r="T167" i="7"/>
  <c r="S178" i="7"/>
  <c r="R132" i="7"/>
  <c r="S167" i="7"/>
  <c r="T178" i="7"/>
  <c r="S132" i="7"/>
  <c r="S162" i="7"/>
  <c r="R174" i="7"/>
  <c r="T164" i="7"/>
  <c r="T138" i="7"/>
  <c r="R155" i="7"/>
  <c r="T171" i="7"/>
  <c r="R167" i="7"/>
  <c r="R178" i="7"/>
  <c r="T162" i="7"/>
  <c r="T174" i="7"/>
  <c r="S154" i="7"/>
  <c r="T157" i="7"/>
  <c r="S138" i="7"/>
  <c r="T142" i="7"/>
  <c r="AB132" i="10"/>
  <c r="X157" i="7"/>
  <c r="X159" i="7"/>
  <c r="X163" i="7"/>
  <c r="X151" i="7"/>
  <c r="X133" i="7"/>
  <c r="AC142" i="7"/>
  <c r="X177" i="7"/>
  <c r="X174" i="7"/>
  <c r="X168" i="7"/>
  <c r="X148" i="7"/>
  <c r="X171" i="7"/>
  <c r="X138" i="7"/>
  <c r="X155" i="7"/>
  <c r="X143" i="7"/>
  <c r="X173" i="7"/>
  <c r="X146" i="7"/>
  <c r="X139" i="7"/>
  <c r="X161" i="7"/>
  <c r="X145" i="7"/>
  <c r="X165" i="7"/>
  <c r="X178" i="7"/>
  <c r="X170" i="7"/>
  <c r="X142" i="7"/>
  <c r="X172" i="7"/>
  <c r="AC143" i="7"/>
  <c r="AC137" i="7"/>
  <c r="X166" i="7"/>
  <c r="X167" i="7"/>
  <c r="X175" i="7"/>
  <c r="AC136" i="7"/>
  <c r="AC135" i="7"/>
  <c r="X152" i="7"/>
  <c r="X158" i="7"/>
  <c r="X140" i="7"/>
  <c r="X164" i="7"/>
  <c r="X137" i="7"/>
  <c r="X141" i="7"/>
  <c r="X156" i="7"/>
  <c r="X154" i="7"/>
  <c r="X149" i="7"/>
  <c r="X180" i="7"/>
  <c r="X132" i="7"/>
  <c r="X153" i="7"/>
  <c r="X179" i="7"/>
  <c r="X160" i="7"/>
  <c r="X176" i="7"/>
  <c r="X169" i="7"/>
  <c r="X162" i="7"/>
  <c r="X150" i="7"/>
  <c r="AC140" i="7"/>
  <c r="AC139" i="7"/>
  <c r="AC138" i="7"/>
  <c r="C120" i="7" l="1" a="1"/>
  <c r="C120" i="7" s="1"/>
  <c r="E14" i="17" s="1"/>
  <c r="C124" i="7"/>
  <c r="C126" i="7" s="1"/>
  <c r="F14" i="17"/>
  <c r="C125" i="7" l="1"/>
  <c r="P378" i="11" l="1"/>
  <c r="Q171" i="11" l="1"/>
  <c r="Q173" i="11"/>
  <c r="Q174" i="11"/>
  <c r="Q175" i="11"/>
  <c r="Q180" i="11"/>
  <c r="Q167" i="11"/>
  <c r="Q168" i="11"/>
  <c r="Q170" i="11"/>
  <c r="Q176" i="11"/>
  <c r="Q179" i="11"/>
  <c r="Q169" i="11"/>
  <c r="Q165" i="11"/>
  <c r="Q172" i="11"/>
  <c r="Q166" i="11"/>
  <c r="Q177" i="11"/>
  <c r="Q178" i="11"/>
  <c r="Q162" i="11"/>
  <c r="Q164" i="11"/>
  <c r="Q163" i="11"/>
  <c r="Q161" i="11"/>
  <c r="Q160" i="11"/>
  <c r="Q159" i="11"/>
  <c r="Q158" i="11"/>
  <c r="Q157" i="11"/>
  <c r="Q156" i="11"/>
  <c r="Q155" i="11"/>
  <c r="Q154" i="11"/>
  <c r="Q153" i="11"/>
  <c r="Q152" i="11"/>
  <c r="Q151" i="11"/>
  <c r="Q150" i="11"/>
  <c r="Q149" i="11"/>
  <c r="Q148" i="11"/>
  <c r="Q147" i="11"/>
  <c r="Q146" i="11"/>
  <c r="Q145" i="11"/>
  <c r="Q144" i="11"/>
  <c r="Q143" i="11"/>
  <c r="Q142" i="11"/>
  <c r="Q141" i="11"/>
  <c r="Q140" i="11"/>
  <c r="Q139" i="11"/>
  <c r="Q138" i="11"/>
  <c r="Q137" i="11"/>
  <c r="Q136" i="11"/>
  <c r="Q135" i="11"/>
  <c r="Q134" i="11"/>
  <c r="Q133" i="11"/>
  <c r="Q132" i="11"/>
  <c r="Q131" i="11"/>
  <c r="Q130" i="11"/>
  <c r="Q129" i="11"/>
  <c r="AB130" i="11"/>
  <c r="AB147" i="11"/>
  <c r="C123" i="11" l="1"/>
  <c r="R129" i="11" s="1"/>
  <c r="AB135" i="11"/>
  <c r="AB132" i="11"/>
  <c r="AB134" i="11"/>
  <c r="AB131" i="11"/>
  <c r="Q119" i="11"/>
  <c r="AB140" i="11" l="1"/>
  <c r="AB145" i="11"/>
  <c r="AB143" i="11"/>
  <c r="AB142" i="11"/>
  <c r="X132" i="11"/>
  <c r="AB141" i="11"/>
  <c r="AB144" i="11"/>
  <c r="AB146" i="11"/>
  <c r="X146" i="11"/>
  <c r="X137" i="11"/>
  <c r="AB133" i="11"/>
  <c r="X129" i="11"/>
  <c r="AB137" i="11"/>
  <c r="X139" i="11"/>
  <c r="X175" i="11"/>
  <c r="X143" i="11"/>
  <c r="X130" i="11"/>
  <c r="X157" i="11"/>
  <c r="X149" i="11"/>
  <c r="X171" i="11"/>
  <c r="X135" i="11"/>
  <c r="C121" i="11" s="1"/>
  <c r="X131" i="11"/>
  <c r="X141" i="11"/>
  <c r="AB136" i="11"/>
  <c r="X158" i="11"/>
  <c r="X160" i="11"/>
  <c r="X169" i="11"/>
  <c r="X134" i="11"/>
  <c r="X133" i="11"/>
  <c r="X156" i="11"/>
  <c r="X167" i="11"/>
  <c r="X147" i="11"/>
  <c r="X176" i="11"/>
  <c r="X148" i="11"/>
  <c r="X144" i="11"/>
  <c r="X150" i="11"/>
  <c r="X178" i="11"/>
  <c r="X142" i="11"/>
  <c r="X174" i="11"/>
  <c r="X140" i="11"/>
  <c r="X164" i="11"/>
  <c r="X170" i="11"/>
  <c r="AB138" i="11"/>
  <c r="X145" i="11"/>
  <c r="X180" i="11"/>
  <c r="X166" i="11"/>
  <c r="X152" i="11"/>
  <c r="X136" i="11"/>
  <c r="X154" i="11"/>
  <c r="X177" i="11"/>
  <c r="X151" i="11"/>
  <c r="X163" i="11"/>
  <c r="X179" i="11"/>
  <c r="X165" i="11"/>
  <c r="X172" i="11"/>
  <c r="X161" i="11"/>
  <c r="X155" i="11"/>
  <c r="X168" i="11"/>
  <c r="X162" i="11"/>
  <c r="X173" i="11"/>
  <c r="X153" i="11"/>
  <c r="X138" i="11"/>
  <c r="X159" i="11"/>
  <c r="R134" i="11"/>
  <c r="S168" i="11"/>
  <c r="R177" i="11"/>
  <c r="R144" i="11"/>
  <c r="R175" i="11"/>
  <c r="T136" i="11"/>
  <c r="S172" i="11"/>
  <c r="S167" i="11"/>
  <c r="S137" i="11"/>
  <c r="R147" i="11"/>
  <c r="S180" i="11"/>
  <c r="R170" i="11"/>
  <c r="T173" i="11"/>
  <c r="S130" i="11"/>
  <c r="S170" i="11"/>
  <c r="R136" i="11"/>
  <c r="T169" i="11"/>
  <c r="T171" i="11"/>
  <c r="T160" i="11"/>
  <c r="S134" i="11"/>
  <c r="S165" i="11"/>
  <c r="T141" i="11"/>
  <c r="T157" i="11"/>
  <c r="T168" i="11"/>
  <c r="S136" i="11"/>
  <c r="S169" i="11"/>
  <c r="R171" i="11"/>
  <c r="R167" i="11"/>
  <c r="S147" i="11"/>
  <c r="R180" i="11"/>
  <c r="R140" i="11"/>
  <c r="T163" i="11"/>
  <c r="S160" i="11"/>
  <c r="T134" i="11"/>
  <c r="T165" i="11"/>
  <c r="S155" i="11"/>
  <c r="S141" i="11"/>
  <c r="R133" i="11"/>
  <c r="S157" i="11"/>
  <c r="R168" i="11"/>
  <c r="R163" i="11"/>
  <c r="R160" i="11"/>
  <c r="S178" i="11"/>
  <c r="R165" i="11"/>
  <c r="T155" i="11"/>
  <c r="R141" i="11"/>
  <c r="T174" i="11"/>
  <c r="S133" i="11"/>
  <c r="R157" i="11"/>
  <c r="R169" i="11"/>
  <c r="S171" i="11"/>
  <c r="R162" i="11"/>
  <c r="S163" i="11"/>
  <c r="T178" i="11"/>
  <c r="S129" i="11"/>
  <c r="R155" i="11"/>
  <c r="R174" i="11"/>
  <c r="T133" i="11"/>
  <c r="T161" i="11"/>
  <c r="S153" i="11"/>
  <c r="T162" i="11"/>
  <c r="T148" i="11"/>
  <c r="S166" i="11"/>
  <c r="R138" i="11"/>
  <c r="T159" i="11"/>
  <c r="S176" i="11"/>
  <c r="S149" i="11"/>
  <c r="R178" i="11"/>
  <c r="S132" i="11"/>
  <c r="T129" i="11"/>
  <c r="S174" i="11"/>
  <c r="T152" i="11"/>
  <c r="S161" i="11"/>
  <c r="R153" i="11"/>
  <c r="T146" i="11"/>
  <c r="S162" i="11"/>
  <c r="R131" i="11"/>
  <c r="R148" i="11"/>
  <c r="T158" i="11"/>
  <c r="T166" i="11"/>
  <c r="S138" i="11"/>
  <c r="R159" i="11"/>
  <c r="S143" i="11"/>
  <c r="T176" i="11"/>
  <c r="T149" i="11"/>
  <c r="R142" i="11"/>
  <c r="S156" i="11"/>
  <c r="R132" i="11"/>
  <c r="S150" i="11"/>
  <c r="R152" i="11"/>
  <c r="S142" i="11"/>
  <c r="T156" i="11"/>
  <c r="T132" i="11"/>
  <c r="R150" i="11"/>
  <c r="S152" i="11"/>
  <c r="S139" i="11"/>
  <c r="T135" i="11"/>
  <c r="R154" i="11"/>
  <c r="R146" i="11"/>
  <c r="R179" i="11"/>
  <c r="S131" i="11"/>
  <c r="T145" i="11"/>
  <c r="S158" i="11"/>
  <c r="R151" i="11"/>
  <c r="R143" i="11"/>
  <c r="S164" i="11"/>
  <c r="T142" i="11"/>
  <c r="R156" i="11"/>
  <c r="T175" i="11"/>
  <c r="T172" i="11"/>
  <c r="S148" i="11"/>
  <c r="S151" i="11"/>
  <c r="T164" i="11"/>
  <c r="R145" i="11"/>
  <c r="T144" i="11"/>
  <c r="S175" i="11"/>
  <c r="S145" i="11"/>
  <c r="T180" i="11"/>
  <c r="T170" i="11"/>
  <c r="S177" i="11"/>
  <c r="R135" i="11"/>
  <c r="T137" i="11"/>
  <c r="R130" i="11"/>
  <c r="T177" i="11"/>
  <c r="S144" i="11"/>
  <c r="T153" i="11"/>
  <c r="T147" i="11"/>
  <c r="R161" i="11"/>
  <c r="T138" i="11"/>
  <c r="T179" i="11"/>
  <c r="R173" i="11"/>
  <c r="S135" i="11"/>
  <c r="S179" i="11"/>
  <c r="R158" i="11"/>
  <c r="T143" i="11"/>
  <c r="R137" i="11"/>
  <c r="S154" i="11"/>
  <c r="R139" i="11"/>
  <c r="T154" i="11"/>
  <c r="T167" i="11"/>
  <c r="T150" i="11"/>
  <c r="T139" i="11"/>
  <c r="T131" i="11"/>
  <c r="T140" i="11"/>
  <c r="S159" i="11"/>
  <c r="S140" i="11"/>
  <c r="S146" i="11"/>
  <c r="R172" i="11"/>
  <c r="R166" i="11"/>
  <c r="T151" i="11"/>
  <c r="R176" i="11"/>
  <c r="R164" i="11"/>
  <c r="R149" i="11"/>
  <c r="S173" i="11"/>
  <c r="T130" i="11"/>
  <c r="W119" i="11"/>
  <c r="AB139" i="11"/>
  <c r="C124" i="11" l="1"/>
  <c r="D121" i="11"/>
  <c r="C120" i="11" a="1"/>
  <c r="C120" i="11" s="1"/>
  <c r="E16" i="17" s="1"/>
  <c r="D120" i="11" a="1"/>
  <c r="D120" i="11" s="1"/>
  <c r="F16" i="17" s="1"/>
  <c r="C126" i="11"/>
  <c r="C128" i="11"/>
  <c r="C125" i="11" l="1"/>
  <c r="AB135" i="7"/>
  <c r="AB134" i="7"/>
  <c r="AB141" i="7"/>
  <c r="AB140" i="7"/>
  <c r="AB139" i="7"/>
  <c r="AB133" i="7"/>
  <c r="AB138" i="7"/>
  <c r="AB137" i="7"/>
  <c r="AB136" i="7"/>
  <c r="AB142" i="7"/>
  <c r="AB132" i="7"/>
  <c r="AV130" i="7" l="1"/>
  <c r="AC130" i="7"/>
  <c r="AB130" i="7"/>
  <c r="AB145" i="7"/>
  <c r="AB143" i="7"/>
  <c r="AB144" i="7"/>
  <c r="AB147" i="7" l="1"/>
  <c r="AB146" i="7"/>
  <c r="AB148" i="7" l="1"/>
  <c r="Q137" i="12" l="1"/>
  <c r="W135" i="12" s="1"/>
  <c r="Q165" i="12"/>
  <c r="W179" i="12" s="1"/>
  <c r="Q170" i="12"/>
  <c r="W168" i="12" s="1"/>
  <c r="Q134" i="12"/>
  <c r="W131" i="12" s="1"/>
  <c r="Q162" i="12"/>
  <c r="W156" i="12" s="1"/>
  <c r="Q147" i="12"/>
  <c r="W164" i="12" s="1"/>
  <c r="Q132" i="12"/>
  <c r="W150" i="12" s="1"/>
  <c r="Q171" i="12"/>
  <c r="W167" i="12" s="1"/>
  <c r="Q154" i="12"/>
  <c r="W159" i="12" s="1"/>
  <c r="Q168" i="12"/>
  <c r="W170" i="12" s="1"/>
  <c r="Q131" i="12"/>
  <c r="W144" i="12" s="1"/>
  <c r="Q149" i="12"/>
  <c r="W137" i="12" s="1"/>
  <c r="Q143" i="12"/>
  <c r="W143" i="12" s="1"/>
  <c r="Q152" i="12"/>
  <c r="W153" i="12" s="1"/>
  <c r="Q181" i="12"/>
  <c r="W145" i="12" s="1"/>
  <c r="Q178" i="12"/>
  <c r="W154" i="12" s="1"/>
  <c r="Q167" i="12"/>
  <c r="W178" i="12" s="1"/>
  <c r="Q153" i="12"/>
  <c r="W169" i="12" s="1"/>
  <c r="Q136" i="12"/>
  <c r="W141" i="12" s="1"/>
  <c r="Q155" i="12"/>
  <c r="W140" i="12" s="1"/>
  <c r="Q173" i="12"/>
  <c r="W138" i="12" s="1"/>
  <c r="Q135" i="12"/>
  <c r="W132" i="12" s="1"/>
  <c r="Q172" i="12"/>
  <c r="W133" i="12" s="1"/>
  <c r="Q179" i="12"/>
  <c r="W136" i="12" s="1"/>
  <c r="Q138" i="12"/>
  <c r="W172" i="12" s="1"/>
  <c r="Q150" i="12"/>
  <c r="W146" i="12" s="1"/>
  <c r="Q144" i="12"/>
  <c r="W142" i="12" s="1"/>
  <c r="Q177" i="12"/>
  <c r="W171" i="12" s="1"/>
  <c r="Q146" i="12"/>
  <c r="W155" i="12" s="1"/>
  <c r="Q145" i="12"/>
  <c r="W139" i="12" s="1"/>
  <c r="Q166" i="12"/>
  <c r="W157" i="12" s="1"/>
  <c r="Q175" i="12"/>
  <c r="W163" i="12" s="1"/>
  <c r="Q158" i="12"/>
  <c r="W161" i="12" s="1"/>
  <c r="Q176" i="12"/>
  <c r="W177" i="12" s="1"/>
  <c r="Q164" i="12"/>
  <c r="W165" i="12" s="1"/>
  <c r="Q156" i="12"/>
  <c r="W173" i="12" s="1"/>
  <c r="Q141" i="12"/>
  <c r="W166" i="12" s="1"/>
  <c r="Q163" i="12"/>
  <c r="W160" i="12" s="1"/>
  <c r="Q133" i="12"/>
  <c r="W175" i="12" s="1"/>
  <c r="Q161" i="12"/>
  <c r="W149" i="12" s="1"/>
  <c r="Q160" i="12"/>
  <c r="Q148" i="12"/>
  <c r="W151" i="12" s="1"/>
  <c r="Q142" i="12"/>
  <c r="W148" i="12" s="1"/>
  <c r="Q174" i="12"/>
  <c r="W176" i="12" s="1"/>
  <c r="Q157" i="12"/>
  <c r="W174" i="12" s="1"/>
  <c r="Q140" i="12"/>
  <c r="W147" i="12" s="1"/>
  <c r="Q159" i="12"/>
  <c r="W180" i="12" s="1"/>
  <c r="Q139" i="12"/>
  <c r="W158" i="12" s="1"/>
  <c r="Q180" i="12"/>
  <c r="W152" i="12" s="1"/>
  <c r="Q151" i="12"/>
  <c r="W162" i="12" s="1"/>
  <c r="Q130" i="12"/>
  <c r="Q169" i="12"/>
  <c r="W134" i="12" l="1"/>
  <c r="W181" i="12"/>
  <c r="AB146" i="12" s="1"/>
  <c r="W130" i="12"/>
  <c r="X138" i="12" s="1"/>
  <c r="AB144" i="12"/>
  <c r="AB143" i="12"/>
  <c r="AB141" i="12"/>
  <c r="AB142" i="12"/>
  <c r="C124" i="12"/>
  <c r="T152" i="12" s="1"/>
  <c r="AB139" i="12"/>
  <c r="AB140" i="12"/>
  <c r="AB145" i="12"/>
  <c r="Q120" i="12"/>
  <c r="AB138" i="12"/>
  <c r="AB135" i="12" l="1"/>
  <c r="X133" i="12"/>
  <c r="X130" i="12"/>
  <c r="X132" i="12"/>
  <c r="X131" i="12"/>
  <c r="C122" i="12"/>
  <c r="D121" i="12" a="1"/>
  <c r="D121" i="12" s="1"/>
  <c r="F17" i="17" s="1"/>
  <c r="S137" i="12"/>
  <c r="T173" i="12"/>
  <c r="X180" i="12"/>
  <c r="S133" i="12"/>
  <c r="T141" i="12"/>
  <c r="T155" i="12"/>
  <c r="X176" i="12"/>
  <c r="X155" i="12"/>
  <c r="X164" i="12"/>
  <c r="X135" i="12"/>
  <c r="X167" i="12"/>
  <c r="X172" i="12"/>
  <c r="R153" i="12"/>
  <c r="W120" i="12"/>
  <c r="X156" i="12"/>
  <c r="T179" i="12"/>
  <c r="T149" i="12"/>
  <c r="R155" i="12"/>
  <c r="T137" i="12"/>
  <c r="T180" i="12"/>
  <c r="S130" i="12"/>
  <c r="R140" i="12"/>
  <c r="S180" i="12"/>
  <c r="X170" i="12"/>
  <c r="X146" i="12"/>
  <c r="R175" i="12"/>
  <c r="T162" i="12"/>
  <c r="X142" i="12"/>
  <c r="T143" i="12"/>
  <c r="S179" i="12"/>
  <c r="R137" i="12"/>
  <c r="S132" i="12"/>
  <c r="T174" i="12"/>
  <c r="R163" i="12"/>
  <c r="R168" i="12"/>
  <c r="S153" i="12"/>
  <c r="S138" i="12"/>
  <c r="X139" i="12"/>
  <c r="R148" i="12"/>
  <c r="T160" i="12"/>
  <c r="R136" i="12"/>
  <c r="T176" i="12"/>
  <c r="S158" i="12"/>
  <c r="R161" i="12"/>
  <c r="S162" i="12"/>
  <c r="R179" i="12"/>
  <c r="T140" i="12"/>
  <c r="R174" i="12"/>
  <c r="T163" i="12"/>
  <c r="X141" i="12"/>
  <c r="S176" i="12"/>
  <c r="T154" i="12"/>
  <c r="T145" i="12"/>
  <c r="R138" i="12"/>
  <c r="X178" i="12"/>
  <c r="R156" i="12"/>
  <c r="S168" i="12"/>
  <c r="X134" i="12"/>
  <c r="R160" i="12"/>
  <c r="R144" i="12"/>
  <c r="T157" i="12"/>
  <c r="X171" i="12"/>
  <c r="S155" i="12"/>
  <c r="T177" i="12"/>
  <c r="R173" i="12"/>
  <c r="T178" i="12"/>
  <c r="S150" i="12"/>
  <c r="S145" i="12"/>
  <c r="T159" i="12"/>
  <c r="X148" i="12"/>
  <c r="R131" i="12"/>
  <c r="S160" i="12"/>
  <c r="X174" i="12"/>
  <c r="S147" i="12"/>
  <c r="R169" i="12"/>
  <c r="S167" i="12"/>
  <c r="R159" i="12"/>
  <c r="S177" i="12"/>
  <c r="R146" i="12"/>
  <c r="R172" i="12"/>
  <c r="R150" i="12"/>
  <c r="T138" i="12"/>
  <c r="R162" i="12"/>
  <c r="S174" i="12"/>
  <c r="R181" i="12"/>
  <c r="R135" i="12"/>
  <c r="R151" i="12"/>
  <c r="R171" i="12"/>
  <c r="R177" i="12"/>
  <c r="R157" i="12"/>
  <c r="S149" i="12"/>
  <c r="S151" i="12"/>
  <c r="T139" i="12"/>
  <c r="T165" i="12"/>
  <c r="C121" i="12" a="1"/>
  <c r="C121" i="12" s="1"/>
  <c r="E17" i="17" s="1"/>
  <c r="T164" i="12"/>
  <c r="T153" i="12"/>
  <c r="R152" i="12"/>
  <c r="S144" i="12"/>
  <c r="S140" i="12"/>
  <c r="S170" i="12"/>
  <c r="S163" i="12"/>
  <c r="S161" i="12"/>
  <c r="S157" i="12"/>
  <c r="T148" i="12"/>
  <c r="T167" i="12"/>
  <c r="R147" i="12"/>
  <c r="R142" i="12"/>
  <c r="T146" i="12"/>
  <c r="T135" i="12"/>
  <c r="R133" i="12"/>
  <c r="R141" i="12"/>
  <c r="T156" i="12"/>
  <c r="S135" i="12"/>
  <c r="S173" i="12"/>
  <c r="S152" i="12"/>
  <c r="S134" i="12"/>
  <c r="S154" i="12"/>
  <c r="R170" i="12"/>
  <c r="S169" i="12"/>
  <c r="T147" i="12"/>
  <c r="S143" i="12"/>
  <c r="R167" i="12"/>
  <c r="S148" i="12"/>
  <c r="S165" i="12"/>
  <c r="S181" i="12"/>
  <c r="S131" i="12"/>
  <c r="T150" i="12"/>
  <c r="T161" i="12"/>
  <c r="R176" i="12"/>
  <c r="R166" i="12"/>
  <c r="S156" i="12"/>
  <c r="T133" i="12"/>
  <c r="T131" i="12"/>
  <c r="S136" i="12"/>
  <c r="R180" i="12"/>
  <c r="R178" i="12"/>
  <c r="T168" i="12"/>
  <c r="R145" i="12"/>
  <c r="T134" i="12"/>
  <c r="T166" i="12"/>
  <c r="T169" i="12"/>
  <c r="T151" i="12"/>
  <c r="S178" i="12"/>
  <c r="R132" i="12"/>
  <c r="T132" i="12"/>
  <c r="R154" i="12"/>
  <c r="T142" i="12"/>
  <c r="T172" i="12"/>
  <c r="T144" i="12"/>
  <c r="S159" i="12"/>
  <c r="S142" i="12"/>
  <c r="S164" i="12"/>
  <c r="R143" i="12"/>
  <c r="S141" i="12"/>
  <c r="R164" i="12"/>
  <c r="S146" i="12"/>
  <c r="T136" i="12"/>
  <c r="S139" i="12"/>
  <c r="R139" i="12"/>
  <c r="T170" i="12"/>
  <c r="R149" i="12"/>
  <c r="R134" i="12"/>
  <c r="S175" i="12"/>
  <c r="T130" i="12"/>
  <c r="T158" i="12"/>
  <c r="R165" i="12"/>
  <c r="T181" i="12"/>
  <c r="S166" i="12"/>
  <c r="T171" i="12"/>
  <c r="R158" i="12"/>
  <c r="T175" i="12"/>
  <c r="X140" i="12"/>
  <c r="X149" i="12"/>
  <c r="X157" i="12"/>
  <c r="X154" i="12"/>
  <c r="X159" i="12"/>
  <c r="X162" i="12"/>
  <c r="X169" i="12"/>
  <c r="X168" i="12"/>
  <c r="X150" i="12"/>
  <c r="X145" i="12"/>
  <c r="X144" i="12"/>
  <c r="X143" i="12"/>
  <c r="X147" i="12"/>
  <c r="X152" i="12"/>
  <c r="X158" i="12"/>
  <c r="X160" i="12"/>
  <c r="X161" i="12"/>
  <c r="AB137" i="12"/>
  <c r="AB120" i="12" s="1"/>
  <c r="X173" i="12"/>
  <c r="X165" i="12"/>
  <c r="X181" i="12"/>
  <c r="X166" i="12"/>
  <c r="X136" i="12"/>
  <c r="X177" i="12"/>
  <c r="X137" i="12"/>
  <c r="X163" i="12"/>
  <c r="X179" i="12"/>
  <c r="X151" i="12"/>
  <c r="X175" i="12"/>
  <c r="X153" i="12"/>
  <c r="S172" i="12"/>
  <c r="S171" i="12"/>
  <c r="C125" i="12" l="1"/>
  <c r="C126" i="12" s="1"/>
  <c r="C127" i="12" l="1"/>
  <c r="AB131" i="10"/>
  <c r="Q155" i="10"/>
  <c r="Q173" i="10"/>
  <c r="Q129" i="10"/>
  <c r="Q147" i="10"/>
  <c r="Q175" i="10"/>
  <c r="Q160" i="10"/>
  <c r="Q166" i="10"/>
  <c r="Q179" i="10"/>
  <c r="Q146" i="10"/>
  <c r="Q168" i="10"/>
  <c r="Q159" i="10"/>
  <c r="Q154" i="10"/>
  <c r="Q142" i="10"/>
  <c r="Q148" i="10"/>
  <c r="Q140" i="10"/>
  <c r="Q153" i="10"/>
  <c r="AB146" i="10" s="1"/>
  <c r="Q176" i="10"/>
  <c r="Q157" i="10"/>
  <c r="Q165" i="10"/>
  <c r="Q158" i="10"/>
  <c r="Q169" i="10"/>
  <c r="Q136" i="10"/>
  <c r="Q143" i="10"/>
  <c r="Q177" i="10"/>
  <c r="Q170" i="10"/>
  <c r="Q150" i="10"/>
  <c r="AB145" i="10" s="1"/>
  <c r="Q161" i="10"/>
  <c r="Q163" i="10"/>
  <c r="Q171" i="10"/>
  <c r="Q141" i="10"/>
  <c r="Q149" i="10"/>
  <c r="Q133" i="10"/>
  <c r="Q138" i="10"/>
  <c r="Q162" i="10"/>
  <c r="Q134" i="10"/>
  <c r="Q145" i="10"/>
  <c r="Q174" i="10"/>
  <c r="Q167" i="10"/>
  <c r="Q130" i="10"/>
  <c r="Q156" i="10"/>
  <c r="Q131" i="10"/>
  <c r="Q144" i="10"/>
  <c r="Q152" i="10"/>
  <c r="Q135" i="10"/>
  <c r="Q139" i="10"/>
  <c r="Q132" i="10"/>
  <c r="Q164" i="10"/>
  <c r="Q137" i="10"/>
  <c r="Q178" i="10"/>
  <c r="Q172" i="10"/>
  <c r="Q151" i="10"/>
  <c r="AB147" i="10" s="1"/>
  <c r="AB143" i="10" l="1"/>
  <c r="AB144" i="10"/>
  <c r="AB142" i="10"/>
  <c r="C123" i="10"/>
  <c r="Q119" i="10"/>
  <c r="AB134" i="10"/>
  <c r="AB135" i="10"/>
  <c r="AB136" i="10"/>
  <c r="X129" i="10"/>
  <c r="X130" i="10"/>
  <c r="AB133" i="10"/>
  <c r="AB138" i="10"/>
  <c r="AB137" i="10"/>
  <c r="AB139" i="10"/>
  <c r="AB140" i="10"/>
  <c r="AB141" i="10"/>
  <c r="T142" i="10" l="1"/>
  <c r="R129" i="10"/>
  <c r="T149" i="10"/>
  <c r="T156" i="10"/>
  <c r="R134" i="10"/>
  <c r="T174" i="10"/>
  <c r="R153" i="10"/>
  <c r="R162" i="10"/>
  <c r="T179" i="10"/>
  <c r="R167" i="10"/>
  <c r="T166" i="10"/>
  <c r="T140" i="10"/>
  <c r="T155" i="10"/>
  <c r="T163" i="10"/>
  <c r="T134" i="10"/>
  <c r="S142" i="10"/>
  <c r="T146" i="10"/>
  <c r="T175" i="10"/>
  <c r="R173" i="10"/>
  <c r="T164" i="10"/>
  <c r="T150" i="10"/>
  <c r="R168" i="10"/>
  <c r="R177" i="10"/>
  <c r="R130" i="10"/>
  <c r="R164" i="10"/>
  <c r="S147" i="10"/>
  <c r="R169" i="10"/>
  <c r="R172" i="10"/>
  <c r="T168" i="10"/>
  <c r="S175" i="10"/>
  <c r="S151" i="10"/>
  <c r="S167" i="10"/>
  <c r="S138" i="10"/>
  <c r="T147" i="10"/>
  <c r="R139" i="10"/>
  <c r="S130" i="10"/>
  <c r="R144" i="10"/>
  <c r="X177" i="10"/>
  <c r="X135" i="10"/>
  <c r="R142" i="10"/>
  <c r="R132" i="10"/>
  <c r="T159" i="10"/>
  <c r="S149" i="10"/>
  <c r="T162" i="10"/>
  <c r="T176" i="10"/>
  <c r="R179" i="10"/>
  <c r="S133" i="10"/>
  <c r="T137" i="10"/>
  <c r="S166" i="10"/>
  <c r="S180" i="10"/>
  <c r="S155" i="10"/>
  <c r="T170" i="10"/>
  <c r="R140" i="10"/>
  <c r="R147" i="10"/>
  <c r="S172" i="10"/>
  <c r="R143" i="10"/>
  <c r="S174" i="10"/>
  <c r="S146" i="10"/>
  <c r="S165" i="10"/>
  <c r="T138" i="10"/>
  <c r="S156" i="10"/>
  <c r="T129" i="10"/>
  <c r="R163" i="10"/>
  <c r="R165" i="10"/>
  <c r="X153" i="10"/>
  <c r="R152" i="10"/>
  <c r="X139" i="10"/>
  <c r="R137" i="10"/>
  <c r="S176" i="10"/>
  <c r="R150" i="10"/>
  <c r="R136" i="10"/>
  <c r="S178" i="10"/>
  <c r="T180" i="10"/>
  <c r="T148" i="10"/>
  <c r="T133" i="10"/>
  <c r="T160" i="10"/>
  <c r="X151" i="10"/>
  <c r="X133" i="10"/>
  <c r="X148" i="10"/>
  <c r="X140" i="10"/>
  <c r="X168" i="10"/>
  <c r="X157" i="10"/>
  <c r="X164" i="10"/>
  <c r="X152" i="10"/>
  <c r="X142" i="10"/>
  <c r="X166" i="10"/>
  <c r="X150" i="10"/>
  <c r="X149" i="10"/>
  <c r="T172" i="10"/>
  <c r="T177" i="10"/>
  <c r="X131" i="10"/>
  <c r="X146" i="10"/>
  <c r="X175" i="10"/>
  <c r="X156" i="10"/>
  <c r="X132" i="10"/>
  <c r="S162" i="10"/>
  <c r="T151" i="10"/>
  <c r="T154" i="10"/>
  <c r="X172" i="10"/>
  <c r="S164" i="10"/>
  <c r="T143" i="10"/>
  <c r="T158" i="10"/>
  <c r="R149" i="10"/>
  <c r="R176" i="10"/>
  <c r="T152" i="10"/>
  <c r="S132" i="10"/>
  <c r="R171" i="10"/>
  <c r="S144" i="10"/>
  <c r="X145" i="10"/>
  <c r="W119" i="10"/>
  <c r="X134" i="10"/>
  <c r="C121" i="10" s="1"/>
  <c r="X178" i="10"/>
  <c r="X154" i="10"/>
  <c r="S152" i="10"/>
  <c r="X167" i="10"/>
  <c r="X144" i="10"/>
  <c r="S161" i="10"/>
  <c r="S143" i="10"/>
  <c r="T169" i="10"/>
  <c r="S157" i="10"/>
  <c r="R154" i="10"/>
  <c r="T145" i="10"/>
  <c r="T136" i="10"/>
  <c r="R156" i="10"/>
  <c r="R138" i="10"/>
  <c r="R135" i="10"/>
  <c r="S160" i="10"/>
  <c r="S177" i="10"/>
  <c r="T161" i="10"/>
  <c r="X136" i="10"/>
  <c r="X159" i="10"/>
  <c r="X137" i="10"/>
  <c r="X162" i="10"/>
  <c r="S168" i="10"/>
  <c r="S154" i="10"/>
  <c r="T130" i="10"/>
  <c r="R131" i="10"/>
  <c r="R175" i="10"/>
  <c r="S131" i="10"/>
  <c r="S139" i="10"/>
  <c r="S170" i="10"/>
  <c r="R159" i="10"/>
  <c r="R157" i="10"/>
  <c r="R161" i="10"/>
  <c r="T132" i="10"/>
  <c r="T131" i="10"/>
  <c r="S145" i="10"/>
  <c r="S135" i="10"/>
  <c r="R148" i="10"/>
  <c r="D120" i="10" a="1"/>
  <c r="D120" i="10" s="1"/>
  <c r="F15" i="17" s="1"/>
  <c r="X158" i="10"/>
  <c r="X155" i="10"/>
  <c r="T153" i="10"/>
  <c r="R141" i="10"/>
  <c r="S136" i="10"/>
  <c r="T178" i="10"/>
  <c r="T157" i="10"/>
  <c r="X147" i="10"/>
  <c r="X169" i="10"/>
  <c r="X141" i="10"/>
  <c r="S171" i="10"/>
  <c r="X165" i="10"/>
  <c r="X173" i="10"/>
  <c r="X160" i="10"/>
  <c r="X163" i="10"/>
  <c r="X179" i="10"/>
  <c r="S137" i="10"/>
  <c r="S129" i="10"/>
  <c r="R158" i="10"/>
  <c r="R155" i="10"/>
  <c r="R146" i="10"/>
  <c r="T139" i="10"/>
  <c r="S134" i="10"/>
  <c r="T165" i="10"/>
  <c r="R151" i="10"/>
  <c r="S140" i="10"/>
  <c r="T167" i="10"/>
  <c r="T144" i="10"/>
  <c r="T173" i="10"/>
  <c r="R180" i="10"/>
  <c r="S148" i="10"/>
  <c r="T141" i="10"/>
  <c r="X180" i="10"/>
  <c r="X171" i="10"/>
  <c r="X138" i="10"/>
  <c r="S141" i="10"/>
  <c r="S169" i="10"/>
  <c r="R174" i="10"/>
  <c r="X161" i="10"/>
  <c r="X143" i="10"/>
  <c r="X170" i="10"/>
  <c r="X176" i="10"/>
  <c r="X174" i="10"/>
  <c r="T171" i="10"/>
  <c r="S153" i="10"/>
  <c r="S173" i="10"/>
  <c r="S163" i="10"/>
  <c r="S159" i="10"/>
  <c r="R166" i="10"/>
  <c r="R160" i="10"/>
  <c r="R133" i="10"/>
  <c r="R145" i="10"/>
  <c r="S158" i="10"/>
  <c r="S150" i="10"/>
  <c r="R170" i="10"/>
  <c r="R178" i="10"/>
  <c r="T135" i="10"/>
  <c r="S179" i="10"/>
  <c r="C120" i="10" l="1" a="1"/>
  <c r="C120" i="10" s="1"/>
  <c r="E15" i="17" s="1"/>
  <c r="C124" i="10"/>
  <c r="C126" i="10" s="1"/>
  <c r="C125"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Lorenzo Passioni</author>
  </authors>
  <commentList>
    <comment ref="AA141" authorId="0" shapeId="0" xr:uid="{997E2A14-A5B6-427D-8DB9-B4BCECF1C0B5}">
      <text>
        <r>
          <rPr>
            <b/>
            <sz val="9"/>
            <color rgb="FF000000"/>
            <rFont val="Tahoma"/>
            <family val="2"/>
          </rPr>
          <t>Lorenzo Passioni:</t>
        </r>
        <r>
          <rPr>
            <sz val="9"/>
            <color rgb="FF000000"/>
            <rFont val="Tahoma"/>
            <family val="2"/>
          </rPr>
          <t xml:space="preserve">
</t>
        </r>
        <r>
          <rPr>
            <sz val="9"/>
            <color rgb="FF000000"/>
            <rFont val="Tahoma"/>
            <family val="2"/>
          </rPr>
          <t>Std obtained using Parametric approach</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<sst xmlns="http://schemas.openxmlformats.org/spreadsheetml/2006/main" count="468" uniqueCount="118">
  <si>
    <t>MSc in Finance - 2025/2026</t>
  </si>
  <si>
    <t>Lorenzo Passioni, Christian Moresco, Raffaele Perillo, Chiara Sacconaghi, Ludovico Raspanti</t>
  </si>
  <si>
    <t>Summary table</t>
  </si>
  <si>
    <t>Select the desired inputs to below obtain the VaR in cell C9</t>
  </si>
  <si>
    <t>Date</t>
  </si>
  <si>
    <t>CI</t>
  </si>
  <si>
    <t>Method</t>
  </si>
  <si>
    <t>Hybrid approach</t>
  </si>
  <si>
    <t>Var Value</t>
  </si>
  <si>
    <t>Confidence interval</t>
  </si>
  <si>
    <t>Evaluation date</t>
  </si>
  <si>
    <t xml:space="preserve"> </t>
  </si>
  <si>
    <t>To be selected</t>
  </si>
  <si>
    <t>Inputs</t>
  </si>
  <si>
    <t>Assumptions</t>
  </si>
  <si>
    <t>Cash flows of the two securities</t>
  </si>
  <si>
    <t>Security 7</t>
  </si>
  <si>
    <t>Dates</t>
  </si>
  <si>
    <t>Cash flows</t>
  </si>
  <si>
    <t>Security 10</t>
  </si>
  <si>
    <t>Days in a year</t>
  </si>
  <si>
    <t>Months in a year</t>
  </si>
  <si>
    <t>Lambda</t>
  </si>
  <si>
    <t>Zero coupon rates (continuously compounded)</t>
  </si>
  <si>
    <t>ZCB Prices</t>
  </si>
  <si>
    <t>Log returns (weekly)</t>
  </si>
  <si>
    <t>ZCB rates (annually compounded rates)</t>
  </si>
  <si>
    <t>Computations</t>
  </si>
  <si>
    <t>Legend</t>
  </si>
  <si>
    <t>Cashflows to be clumped</t>
  </si>
  <si>
    <t>Cashflows already at the correct nodes</t>
  </si>
  <si>
    <t>Date at which cashflows must be computed</t>
  </si>
  <si>
    <t>VaR comp. date</t>
  </si>
  <si>
    <t>Nodes</t>
  </si>
  <si>
    <t>Diff from today</t>
  </si>
  <si>
    <t>Term structure of int rates</t>
  </si>
  <si>
    <t>t from today (duration)</t>
  </si>
  <si>
    <t>Interpolated rate</t>
  </si>
  <si>
    <t>Modified Duration</t>
  </si>
  <si>
    <t>Goal nodes</t>
  </si>
  <si>
    <t>6m &amp; 12m</t>
  </si>
  <si>
    <t>12m &amp; 24m</t>
  </si>
  <si>
    <t>24m &amp; 60m</t>
  </si>
  <si>
    <t>MD 1</t>
  </si>
  <si>
    <t>MD 2</t>
  </si>
  <si>
    <t>Market value real cashflow</t>
  </si>
  <si>
    <t>Mkt value virtual cashflow</t>
  </si>
  <si>
    <t>Mkt value Virtual cashflow</t>
  </si>
  <si>
    <t>Face value 1</t>
  </si>
  <si>
    <t>Face value 2</t>
  </si>
  <si>
    <t>Check</t>
  </si>
  <si>
    <t>New Portfolio</t>
  </si>
  <si>
    <t>Cashflows</t>
  </si>
  <si>
    <t>Disc factor</t>
  </si>
  <si>
    <t>PV of cashflow</t>
  </si>
  <si>
    <t>Sum of PV</t>
  </si>
  <si>
    <t>Var computation - parametric approach</t>
  </si>
  <si>
    <t>δ'</t>
  </si>
  <si>
    <t>δ</t>
  </si>
  <si>
    <t>Σ</t>
  </si>
  <si>
    <r>
      <t>σ</t>
    </r>
    <r>
      <rPr>
        <b/>
        <vertAlign val="superscript"/>
        <sz val="11"/>
        <color theme="1"/>
        <rFont val="Arial"/>
        <family val="2"/>
      </rPr>
      <t>2</t>
    </r>
    <r>
      <rPr>
        <b/>
        <vertAlign val="subscript"/>
        <sz val="11"/>
        <color theme="1"/>
        <rFont val="Arial"/>
        <family val="2"/>
      </rPr>
      <t>ΔV</t>
    </r>
  </si>
  <si>
    <t>Var</t>
  </si>
  <si>
    <t>Var computation - hybrid approach</t>
  </si>
  <si>
    <t>Discount factor</t>
  </si>
  <si>
    <t>PV of Cashflows</t>
  </si>
  <si>
    <t>Plain vanilla Var</t>
  </si>
  <si>
    <t>Interpolated Var</t>
  </si>
  <si>
    <t>Mean</t>
  </si>
  <si>
    <t>Variance</t>
  </si>
  <si>
    <t>Skewness</t>
  </si>
  <si>
    <t>Excess Kurtosis</t>
  </si>
  <si>
    <t>Hybrid</t>
  </si>
  <si>
    <t>Parametric</t>
  </si>
  <si>
    <t>Ordering factor</t>
  </si>
  <si>
    <t>r 3m</t>
  </si>
  <si>
    <t>r 6m</t>
  </si>
  <si>
    <t>r 12m</t>
  </si>
  <si>
    <t>r 24m</t>
  </si>
  <si>
    <t>r 60m</t>
  </si>
  <si>
    <r>
      <t>P</t>
    </r>
    <r>
      <rPr>
        <b/>
        <vertAlign val="subscript"/>
        <sz val="11"/>
        <color theme="0"/>
        <rFont val="Arial"/>
        <family val="2"/>
      </rPr>
      <t>ZCB3M</t>
    </r>
  </si>
  <si>
    <r>
      <t>P</t>
    </r>
    <r>
      <rPr>
        <b/>
        <vertAlign val="subscript"/>
        <sz val="11"/>
        <color theme="0"/>
        <rFont val="Arial"/>
        <family val="2"/>
      </rPr>
      <t>ZCB6M</t>
    </r>
  </si>
  <si>
    <r>
      <t>P</t>
    </r>
    <r>
      <rPr>
        <b/>
        <vertAlign val="subscript"/>
        <sz val="11"/>
        <color theme="0"/>
        <rFont val="Arial"/>
        <family val="2"/>
      </rPr>
      <t>ZCB12M</t>
    </r>
  </si>
  <si>
    <r>
      <t>P</t>
    </r>
    <r>
      <rPr>
        <b/>
        <vertAlign val="subscript"/>
        <sz val="11"/>
        <color theme="0"/>
        <rFont val="Arial"/>
        <family val="2"/>
      </rPr>
      <t>ZCB24M</t>
    </r>
  </si>
  <si>
    <r>
      <t>P</t>
    </r>
    <r>
      <rPr>
        <b/>
        <vertAlign val="subscript"/>
        <sz val="11"/>
        <color theme="0"/>
        <rFont val="Arial"/>
        <family val="2"/>
      </rPr>
      <t>ZCB60M</t>
    </r>
  </si>
  <si>
    <t>V</t>
  </si>
  <si>
    <r>
      <rPr>
        <b/>
        <sz val="11"/>
        <color theme="0"/>
        <rFont val="Aptos Narrow"/>
        <family val="2"/>
      </rPr>
      <t>Δ</t>
    </r>
    <r>
      <rPr>
        <b/>
        <sz val="11"/>
        <color theme="0"/>
        <rFont val="Arial"/>
        <family val="2"/>
      </rPr>
      <t>V</t>
    </r>
  </si>
  <si>
    <r>
      <t>λ</t>
    </r>
    <r>
      <rPr>
        <b/>
        <vertAlign val="superscript"/>
        <sz val="11"/>
        <color theme="0"/>
        <rFont val="Aptos Narrow"/>
        <family val="2"/>
      </rPr>
      <t>i</t>
    </r>
  </si>
  <si>
    <t>Frequency</t>
  </si>
  <si>
    <r>
      <t>(ΔV-μ)</t>
    </r>
    <r>
      <rPr>
        <b/>
        <vertAlign val="superscript"/>
        <sz val="11"/>
        <color theme="0"/>
        <rFont val="Aptos Narrow"/>
        <family val="2"/>
      </rPr>
      <t>2</t>
    </r>
  </si>
  <si>
    <r>
      <t>(ΔV-μ)</t>
    </r>
    <r>
      <rPr>
        <b/>
        <vertAlign val="superscript"/>
        <sz val="11"/>
        <color theme="0"/>
        <rFont val="Aptos Narrow"/>
        <family val="2"/>
      </rPr>
      <t>3</t>
    </r>
  </si>
  <si>
    <r>
      <t>(ΔV-μ)</t>
    </r>
    <r>
      <rPr>
        <b/>
        <vertAlign val="superscript"/>
        <sz val="11"/>
        <color theme="0"/>
        <rFont val="Aptos Narrow"/>
        <family val="2"/>
      </rPr>
      <t>4</t>
    </r>
  </si>
  <si>
    <t>Sorted ΔV</t>
  </si>
  <si>
    <t>Cum. Frequency</t>
  </si>
  <si>
    <t>Bands</t>
  </si>
  <si>
    <t>Band average</t>
  </si>
  <si>
    <t>Changes in the portfolio's value: frequency distribution</t>
  </si>
  <si>
    <t>Cum. Freq.</t>
  </si>
  <si>
    <t>PseudoN</t>
  </si>
  <si>
    <t>frequency</t>
  </si>
  <si>
    <t>Cum Frequency</t>
  </si>
  <si>
    <t>Sum</t>
  </si>
  <si>
    <t>Cash</t>
  </si>
  <si>
    <t>EWMA</t>
  </si>
  <si>
    <t>Simple moving average</t>
  </si>
  <si>
    <t>3m</t>
  </si>
  <si>
    <t>6m</t>
  </si>
  <si>
    <t>12m</t>
  </si>
  <si>
    <t>24m</t>
  </si>
  <si>
    <t>SMA</t>
  </si>
  <si>
    <t>Diff from today (days)</t>
  </si>
  <si>
    <t>Mkt value virtual cashflow 1</t>
  </si>
  <si>
    <t>Mkt value Virtual cashflow 2</t>
  </si>
  <si>
    <t>Mkt value Virtual cashflow 1</t>
  </si>
  <si>
    <t>Plain vanilla VaR</t>
  </si>
  <si>
    <t>n.m.</t>
  </si>
  <si>
    <t>Group 15 - Risk Management and Value in Banking and Insurance</t>
  </si>
  <si>
    <t>Parametric approach (EWMA)</t>
  </si>
  <si>
    <t>Evaluating market risk for 
fixed income securities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</si>
</sst>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_(* \(#,##0.00\);_(* &quot;-&quot;??_);_(@_)"/>
    <numFmt numFmtId="164" formatCode="_-* #,##0.00_-;\-* #,##0.00_-;_-* &quot;-&quot;??_-;_-@_-"/>
    <numFmt numFmtId="165" formatCode="0.0000"/>
    <numFmt numFmtId="166" formatCode="0.0000%"/>
    <numFmt numFmtId="167" formatCode="0&quot;m&quot;"/>
    <numFmt numFmtId="168" formatCode="0.000%"/>
    <numFmt numFmtId="169" formatCode="0.000"/>
    <numFmt numFmtId="170" formatCode="#,##0_);\(#,##0\);&quot;-&quot;"/>
    <numFmt numFmtId="171" formatCode="#,##0.00_);\(#,##0.00\);&quot;-&quot;"/>
    <numFmt numFmtId="172" formatCode="0.000000%"/>
    <numFmt numFmtId="173" formatCode="_(* #,##0_);_(* \(#,##0\);_(* &quot; - &quot;_);_(* @_)"/>
    <numFmt numFmtId="174" formatCode="_(* #,##0.00_);_(* \(#,##0.00\);_(* &quot; - &quot;_);_(* @_)"/>
    <numFmt numFmtId="175" formatCode="0.000000"/>
    <numFmt numFmtId="176" formatCode="0.00_);\(0.00\)"/>
    <numFmt numFmtId="177" formatCode="dd\ mmm\ yyyy"/>
    <numFmt numFmtId="178" formatCode="0.0%"/>
    <numFmt numFmtId="179" formatCode="0.0E+00"/>
    <numFmt numFmtId="180" formatCode="0.000000000%"/>
    <numFmt numFmtId="181" formatCode="#,##0.00000000000000_ ;\-#,##0.00000000000000\ "/>
    <numFmt numFmtId="182" formatCode="0.00000%"/>
    <numFmt numFmtId="183" formatCode="#,##0.0"/>
    <numFmt numFmtId="184" formatCode="#,##0.000_);\(#,##0.000\);&quot;-&quot;"/>
    <numFmt numFmtId="185" formatCode="#,##0.0000000000000000000"/>
  </numFmts>
  <fonts count="48"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rial"/>
      <family val="2"/>
    </font>
    <font>
      <sz val="11"/>
      <color theme="1"/>
      <name val="Arial"/>
      <family val="2"/>
    </font>
    <font>
      <b/>
      <sz val="11"/>
      <color theme="0"/>
      <name val="Arial"/>
      <family val="2"/>
    </font>
    <font>
      <b/>
      <u/>
      <sz val="11"/>
      <color theme="1"/>
      <name val="Arial"/>
      <family val="2"/>
    </font>
    <font>
      <b/>
      <sz val="12"/>
      <color theme="0"/>
      <name val="Arial"/>
      <family val="2"/>
    </font>
    <font>
      <sz val="11"/>
      <color theme="1"/>
      <name val="Aptos Narrow"/>
      <family val="2"/>
    </font>
    <font>
      <b/>
      <vertAlign val="subscript"/>
      <sz val="11"/>
      <color theme="1"/>
      <name val="Arial"/>
      <family val="2"/>
    </font>
    <font>
      <sz val="11"/>
      <color theme="1"/>
      <name val="Calibri"/>
      <family val="2"/>
      <charset val="1"/>
    </font>
    <font>
      <sz val="10"/>
      <name val="Arial"/>
      <family val="2"/>
    </font>
    <font>
      <sz val="12"/>
      <color rgb="FF3F3F76"/>
      <name val="Aptos Narrow"/>
      <family val="2"/>
      <scheme val="minor"/>
    </font>
    <font>
      <b/>
      <vertAlign val="superscript"/>
      <sz val="11"/>
      <color theme="1"/>
      <name val="Arial"/>
      <family val="2"/>
    </font>
    <font>
      <b/>
      <sz val="10"/>
      <color theme="1"/>
      <name val="Arial"/>
      <family val="2"/>
    </font>
    <font>
      <sz val="10"/>
      <color theme="1"/>
      <name val="Arial"/>
      <family val="2"/>
    </font>
    <font>
      <sz val="11"/>
      <color theme="0"/>
      <name val="Arial"/>
      <family val="2"/>
    </font>
    <font>
      <b/>
      <sz val="14"/>
      <color rgb="FF002060"/>
      <name val="Arial"/>
      <family val="2"/>
    </font>
    <font>
      <b/>
      <sz val="16"/>
      <color rgb="FF002060"/>
      <name val="Arial"/>
      <family val="2"/>
    </font>
    <font>
      <sz val="20"/>
      <color theme="0"/>
      <name val="Arial"/>
      <family val="2"/>
    </font>
    <font>
      <b/>
      <u/>
      <sz val="20"/>
      <color rgb="FF002060"/>
      <name val="Arial"/>
      <family val="2"/>
    </font>
    <font>
      <sz val="14"/>
      <color rgb="FFC00000"/>
      <name val="Arial"/>
      <family val="2"/>
    </font>
    <font>
      <b/>
      <sz val="14"/>
      <color rgb="FFC00000"/>
      <name val="Arial"/>
      <family val="2"/>
    </font>
    <font>
      <b/>
      <vertAlign val="subscript"/>
      <sz val="11"/>
      <color theme="0"/>
      <name val="Arial"/>
      <family val="2"/>
    </font>
    <font>
      <b/>
      <sz val="11"/>
      <color theme="0"/>
      <name val="Aptos Narrow"/>
      <family val="2"/>
    </font>
    <font>
      <b/>
      <vertAlign val="superscript"/>
      <sz val="11"/>
      <color theme="0"/>
      <name val="Aptos Narrow"/>
      <family val="2"/>
    </font>
    <font>
      <b/>
      <sz val="14"/>
      <name val="Arial"/>
      <family val="2"/>
    </font>
    <font>
      <sz val="8"/>
      <color theme="1"/>
      <name val="Arial"/>
      <family val="2"/>
    </font>
    <font>
      <b/>
      <sz val="18"/>
      <color rgb="FF3333CC"/>
      <name val="Arial"/>
      <family val="2"/>
    </font>
    <font>
      <sz val="18"/>
      <color theme="1"/>
      <name val="Arial"/>
      <family val="2"/>
    </font>
    <font>
      <b/>
      <sz val="22"/>
      <name val="Arial"/>
      <family val="2"/>
    </font>
    <font>
      <sz val="11"/>
      <color theme="1"/>
      <name val="Trebuchet MS"/>
      <family val="2"/>
    </font>
    <font>
      <sz val="10"/>
      <color indexed="8"/>
      <name val="MS Sans Serif"/>
      <family val="2"/>
    </font>
    <font>
      <sz val="7"/>
      <color indexed="16"/>
      <name val="Arial"/>
      <family val="2"/>
    </font>
    <font>
      <b/>
      <sz val="20"/>
      <name val="Arial"/>
      <family val="2"/>
    </font>
    <font>
      <b/>
      <sz val="12"/>
      <name val="Arial"/>
      <family val="2"/>
    </font>
    <font>
      <sz val="11"/>
      <color rgb="FF0070C0"/>
      <name val="Arial"/>
      <family val="2"/>
    </font>
    <font>
      <b/>
      <u/>
      <sz val="16"/>
      <color rgb="FF002060"/>
      <name val="Arial"/>
      <family val="2"/>
    </font>
    <font>
      <i/>
      <sz val="11"/>
      <color theme="1"/>
      <name val="Aptos Narrow"/>
      <family val="2"/>
      <scheme val="minor"/>
    </font>
    <font>
      <i/>
      <sz val="11"/>
      <color theme="1"/>
      <name val="Arial"/>
      <family val="2"/>
    </font>
    <font>
      <i/>
      <sz val="8"/>
      <color theme="1"/>
      <name val="Arial"/>
      <family val="2"/>
    </font>
    <font>
      <b/>
      <sz val="9"/>
      <color rgb="FF000000"/>
      <name val="Tahoma"/>
      <family val="2"/>
    </font>
    <font>
      <sz val="9"/>
      <color rgb="FF000000"/>
      <name val="Tahoma"/>
      <family val="2"/>
    </font>
    <font>
      <b/>
      <sz val="11"/>
      <name val="Arial"/>
      <family val="2"/>
    </font>
    <font>
      <b/>
      <sz val="11"/>
      <color theme="0"/>
      <name val="Aptos Narrow"/>
      <family val="2"/>
    </font>
    <font>
      <u/>
      <sz val="11"/>
      <color theme="10"/>
      <name val="Aptos Narrow"/>
      <family val="2"/>
      <scheme val="minor"/>
    </font>
    <font>
      <sz val="11"/>
      <color rgb="FF000000"/>
      <name val="Aptos Narrow"/>
      <family val="2"/>
      <scheme val="minor"/>
    </font>
    <font>
      <sz val="11"/>
      <color theme="10"/>
      <name val="Aptos Narrow"/>
      <family val="2"/>
      <scheme val="minor"/>
    </font>
  </fonts>
  <fills count="13">
    <fill>
      <patternFill patternType="none"/>
    </fill>
    <fill>
      <patternFill patternType="gray125"/>
    </fill>
    <fill>
      <patternFill patternType="solid">
        <fgColor rgb="FFFFFFCC"/>
        <bgColor indexed="64"/>
      </patternFill>
    </fill>
    <fill>
      <patternFill patternType="solid">
        <fgColor rgb="FF002060"/>
        <bgColor indexed="64"/>
      </patternFill>
    </fill>
    <fill>
      <patternFill patternType="solid">
        <fgColor rgb="FFFFCC99"/>
      </patternFill>
    </fill>
    <fill>
      <patternFill patternType="solid">
        <fgColor theme="9" tint="0.79998168889431442"/>
        <bgColor indexed="64"/>
      </patternFill>
    </fill>
    <fill>
      <patternFill patternType="solid">
        <fgColor rgb="FFFA8283"/>
        <bgColor indexed="64"/>
      </patternFill>
    </fill>
    <fill>
      <patternFill patternType="solid">
        <fgColor rgb="FF044689"/>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216BFF"/>
        <bgColor indexed="64"/>
      </patternFill>
    </fill>
    <fill>
      <patternFill patternType="solid">
        <fgColor rgb="FF89B0FF"/>
        <bgColor indexed="64"/>
      </patternFill>
    </fill>
    <fill>
      <patternFill patternType="solid">
        <fgColor theme="1"/>
        <bgColor indexed="64"/>
      </patternFill>
    </fill>
  </fills>
  <borders count="39">
    <border>
      <left/>
      <right/>
      <top/>
      <bottom/>
      <diagonal/>
    </border>
    <border>
      <left/>
      <right/>
      <top style="thin">
        <color indexed="64"/>
      </top>
      <bottom/>
      <diagonal/>
    </border>
    <border>
      <left style="dotted">
        <color auto="1"/>
      </left>
      <right style="dotted">
        <color auto="1"/>
      </right>
      <top style="dotted">
        <color auto="1"/>
      </top>
      <bottom style="dotted">
        <color auto="1"/>
      </bottom>
      <diagonal/>
    </border>
    <border>
      <left style="thin">
        <color rgb="FF7F7F7F"/>
      </left>
      <right style="thin">
        <color rgb="FF7F7F7F"/>
      </right>
      <top style="thin">
        <color rgb="FF7F7F7F"/>
      </top>
      <bottom style="thin">
        <color rgb="FF7F7F7F"/>
      </bottom>
      <diagonal/>
    </border>
    <border>
      <left style="dotted">
        <color rgb="FF7F7F7F"/>
      </left>
      <right style="dotted">
        <color rgb="FF7F7F7F"/>
      </right>
      <top style="dotted">
        <color rgb="FF7F7F7F"/>
      </top>
      <bottom style="dotted">
        <color rgb="FF7F7F7F"/>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dotted">
        <color auto="1"/>
      </left>
      <right style="dotted">
        <color auto="1"/>
      </right>
      <top style="dotted">
        <color auto="1"/>
      </top>
      <bottom/>
      <diagonal/>
    </border>
    <border>
      <left style="dotted">
        <color auto="1"/>
      </left>
      <right style="dotted">
        <color auto="1"/>
      </right>
      <top/>
      <bottom/>
      <diagonal/>
    </border>
    <border>
      <left style="dotted">
        <color auto="1"/>
      </left>
      <right style="dotted">
        <color auto="1"/>
      </right>
      <top/>
      <bottom style="dotted">
        <color auto="1"/>
      </bottom>
      <diagonal/>
    </border>
    <border>
      <left style="dotted">
        <color auto="1"/>
      </left>
      <right/>
      <top style="dotted">
        <color auto="1"/>
      </top>
      <bottom style="dotted">
        <color auto="1"/>
      </bottom>
      <diagonal/>
    </border>
    <border>
      <left/>
      <right/>
      <top style="dotted">
        <color auto="1"/>
      </top>
      <bottom style="dotted">
        <color auto="1"/>
      </bottom>
      <diagonal/>
    </border>
    <border>
      <left/>
      <right style="dotted">
        <color auto="1"/>
      </right>
      <top style="dotted">
        <color auto="1"/>
      </top>
      <bottom style="dotted">
        <color auto="1"/>
      </bottom>
      <diagonal/>
    </border>
    <border>
      <left style="dotted">
        <color auto="1"/>
      </left>
      <right/>
      <top/>
      <bottom/>
      <diagonal/>
    </border>
    <border>
      <left/>
      <right style="dotted">
        <color auto="1"/>
      </right>
      <top/>
      <bottom/>
      <diagonal/>
    </border>
    <border>
      <left style="dotted">
        <color rgb="FFC00000"/>
      </left>
      <right/>
      <top style="dotted">
        <color rgb="FFC00000"/>
      </top>
      <bottom/>
      <diagonal/>
    </border>
    <border>
      <left/>
      <right style="dotted">
        <color rgb="FFC00000"/>
      </right>
      <top style="dotted">
        <color rgb="FFC00000"/>
      </top>
      <bottom/>
      <diagonal/>
    </border>
    <border>
      <left style="dotted">
        <color rgb="FFC00000"/>
      </left>
      <right/>
      <top/>
      <bottom style="dotted">
        <color rgb="FFC00000"/>
      </bottom>
      <diagonal/>
    </border>
    <border>
      <left/>
      <right style="dotted">
        <color rgb="FFC00000"/>
      </right>
      <top/>
      <bottom style="dotted">
        <color rgb="FFC00000"/>
      </bottom>
      <diagonal/>
    </border>
    <border>
      <left/>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thin">
        <color indexed="64"/>
      </left>
      <right style="hair">
        <color indexed="64"/>
      </right>
      <top/>
      <bottom/>
      <diagonal/>
    </border>
    <border>
      <left/>
      <right style="thin">
        <color theme="0"/>
      </right>
      <top/>
      <bottom/>
      <diagonal/>
    </border>
    <border>
      <left/>
      <right/>
      <top style="thin">
        <color rgb="FF002060"/>
      </top>
      <bottom/>
      <diagonal/>
    </border>
    <border>
      <left style="dotted">
        <color rgb="FFC00000"/>
      </left>
      <right/>
      <top/>
      <bottom/>
      <diagonal/>
    </border>
    <border>
      <left/>
      <right style="dotted">
        <color rgb="FFC00000"/>
      </right>
      <top/>
      <bottom/>
      <diagonal/>
    </border>
  </borders>
  <cellStyleXfs count="19">
    <xf numFmtId="0" fontId="0" fillId="0" borderId="0"/>
    <xf numFmtId="9" fontId="1" fillId="0" borderId="0" applyFont="0" applyFill="0" applyBorder="0" applyAlignment="0" applyProtection="0"/>
    <xf numFmtId="0" fontId="10" fillId="0" borderId="0"/>
    <xf numFmtId="0" fontId="12" fillId="4" borderId="3" applyNumberFormat="0" applyAlignment="0" applyProtection="0"/>
    <xf numFmtId="0" fontId="27" fillId="0" borderId="0"/>
    <xf numFmtId="0" fontId="11" fillId="0" borderId="0"/>
    <xf numFmtId="0" fontId="11" fillId="0" borderId="0"/>
    <xf numFmtId="9" fontId="27" fillId="0" borderId="0" applyFont="0" applyFill="0" applyBorder="0" applyAlignment="0" applyProtection="0"/>
    <xf numFmtId="0" fontId="1" fillId="0" borderId="0"/>
    <xf numFmtId="0" fontId="31" fillId="0" borderId="0"/>
    <xf numFmtId="0" fontId="32" fillId="0" borderId="0" applyNumberFormat="0" applyFont="0" applyFill="0" applyBorder="0" applyAlignment="0" applyProtection="0"/>
    <xf numFmtId="9" fontId="11" fillId="0" borderId="0" applyFont="0" applyFill="0" applyBorder="0" applyAlignment="0" applyProtection="0"/>
    <xf numFmtId="0" fontId="33" fillId="0" borderId="0" applyNumberFormat="0">
      <alignment horizontal="left"/>
    </xf>
    <xf numFmtId="43" fontId="11" fillId="0" borderId="0" applyFont="0" applyFill="0" applyBorder="0" applyAlignment="0" applyProtection="0"/>
    <xf numFmtId="0" fontId="1" fillId="0" borderId="0"/>
    <xf numFmtId="0" fontId="1" fillId="0" borderId="0"/>
    <xf numFmtId="0" fontId="1" fillId="0" borderId="0"/>
    <xf numFmtId="164" fontId="27" fillId="0" borderId="0" applyFont="0" applyFill="0" applyBorder="0" applyAlignment="0" applyProtection="0"/>
    <xf numFmtId="0" fontId="45" fillId="0" borderId="0" applyNumberFormat="0" applyFill="0" applyBorder="0" applyAlignment="0" applyProtection="0"/>
  </cellStyleXfs>
  <cellXfs count="216">
    <xf numFmtId="0" fontId="0" fillId="0" borderId="0" xfId="0"/>
    <xf numFmtId="14" fontId="0" fillId="0" borderId="0" xfId="0" applyNumberFormat="1"/>
    <xf numFmtId="165" fontId="0" fillId="0" borderId="0" xfId="0" applyNumberFormat="1"/>
    <xf numFmtId="0" fontId="4" fillId="0" borderId="0" xfId="0" applyFont="1"/>
    <xf numFmtId="0" fontId="3" fillId="0" borderId="0" xfId="0" applyFont="1"/>
    <xf numFmtId="14" fontId="4" fillId="0" borderId="0" xfId="0" applyNumberFormat="1" applyFont="1"/>
    <xf numFmtId="14" fontId="5" fillId="3" borderId="0" xfId="0" applyNumberFormat="1" applyFont="1" applyFill="1"/>
    <xf numFmtId="168" fontId="0" fillId="0" borderId="0" xfId="1" applyNumberFormat="1" applyFont="1"/>
    <xf numFmtId="2" fontId="4" fillId="0" borderId="0" xfId="0" applyNumberFormat="1" applyFont="1"/>
    <xf numFmtId="14" fontId="6" fillId="0" borderId="0" xfId="0" applyNumberFormat="1" applyFont="1"/>
    <xf numFmtId="0" fontId="3" fillId="0" borderId="1" xfId="0" applyFont="1" applyBorder="1"/>
    <xf numFmtId="170" fontId="4" fillId="0" borderId="0" xfId="0" applyNumberFormat="1" applyFont="1"/>
    <xf numFmtId="2" fontId="3" fillId="0" borderId="1" xfId="0" applyNumberFormat="1" applyFont="1" applyBorder="1"/>
    <xf numFmtId="171" fontId="4" fillId="0" borderId="0" xfId="0" applyNumberFormat="1" applyFont="1"/>
    <xf numFmtId="11" fontId="4" fillId="0" borderId="0" xfId="0" applyNumberFormat="1" applyFont="1"/>
    <xf numFmtId="10" fontId="4" fillId="0" borderId="0" xfId="1" applyNumberFormat="1" applyFont="1"/>
    <xf numFmtId="0" fontId="8" fillId="0" borderId="0" xfId="0" applyFont="1"/>
    <xf numFmtId="4" fontId="3" fillId="0" borderId="0" xfId="0" applyNumberFormat="1" applyFont="1"/>
    <xf numFmtId="14" fontId="7" fillId="0" borderId="0" xfId="0" applyNumberFormat="1" applyFont="1"/>
    <xf numFmtId="10" fontId="0" fillId="0" borderId="0" xfId="1" applyNumberFormat="1" applyFont="1"/>
    <xf numFmtId="11" fontId="0" fillId="0" borderId="0" xfId="0" applyNumberFormat="1"/>
    <xf numFmtId="39" fontId="4" fillId="0" borderId="0" xfId="0" applyNumberFormat="1" applyFont="1"/>
    <xf numFmtId="10" fontId="0" fillId="0" borderId="0" xfId="0" applyNumberFormat="1"/>
    <xf numFmtId="0" fontId="14" fillId="2" borderId="0" xfId="0" applyFont="1" applyFill="1"/>
    <xf numFmtId="0" fontId="15" fillId="2" borderId="0" xfId="0" applyFont="1" applyFill="1"/>
    <xf numFmtId="0" fontId="15" fillId="0" borderId="0" xfId="0" applyFont="1"/>
    <xf numFmtId="14" fontId="15" fillId="2" borderId="0" xfId="0" applyNumberFormat="1" applyFont="1" applyFill="1"/>
    <xf numFmtId="0" fontId="14" fillId="0" borderId="0" xfId="0" applyFont="1"/>
    <xf numFmtId="14" fontId="4" fillId="0" borderId="0" xfId="0" applyNumberFormat="1" applyFont="1" applyAlignment="1">
      <alignment vertical="center"/>
    </xf>
    <xf numFmtId="0" fontId="0" fillId="0" borderId="0" xfId="0" applyAlignment="1">
      <alignment vertical="center"/>
    </xf>
    <xf numFmtId="10" fontId="4" fillId="0" borderId="0" xfId="1" applyNumberFormat="1" applyFont="1" applyAlignment="1">
      <alignment vertical="center"/>
    </xf>
    <xf numFmtId="10" fontId="4" fillId="0" borderId="0" xfId="0" applyNumberFormat="1" applyFont="1" applyAlignment="1">
      <alignment vertical="center"/>
    </xf>
    <xf numFmtId="0" fontId="5" fillId="3" borderId="0" xfId="0" applyFont="1" applyFill="1" applyAlignment="1">
      <alignment horizontal="centerContinuous"/>
    </xf>
    <xf numFmtId="0" fontId="16" fillId="3" borderId="0" xfId="0" applyFont="1" applyFill="1" applyAlignment="1">
      <alignment horizontal="centerContinuous"/>
    </xf>
    <xf numFmtId="167" fontId="5" fillId="3" borderId="0" xfId="0" applyNumberFormat="1" applyFont="1" applyFill="1"/>
    <xf numFmtId="0" fontId="5" fillId="3" borderId="5" xfId="0" applyFont="1" applyFill="1" applyBorder="1" applyAlignment="1">
      <alignment horizontal="centerContinuous"/>
    </xf>
    <xf numFmtId="0" fontId="16" fillId="3" borderId="6" xfId="0" applyFont="1" applyFill="1" applyBorder="1" applyAlignment="1">
      <alignment horizontal="centerContinuous"/>
    </xf>
    <xf numFmtId="0" fontId="16" fillId="3" borderId="7" xfId="0" applyFont="1" applyFill="1" applyBorder="1" applyAlignment="1">
      <alignment horizontal="centerContinuous"/>
    </xf>
    <xf numFmtId="167" fontId="5" fillId="3" borderId="8" xfId="0" applyNumberFormat="1" applyFont="1" applyFill="1" applyBorder="1"/>
    <xf numFmtId="167" fontId="5" fillId="3" borderId="9" xfId="0" applyNumberFormat="1" applyFont="1" applyFill="1" applyBorder="1"/>
    <xf numFmtId="167" fontId="5" fillId="3" borderId="10" xfId="0" applyNumberFormat="1" applyFont="1" applyFill="1" applyBorder="1"/>
    <xf numFmtId="0" fontId="17" fillId="0" borderId="0" xfId="0" applyFont="1"/>
    <xf numFmtId="14" fontId="17" fillId="0" borderId="0" xfId="0" applyNumberFormat="1" applyFont="1"/>
    <xf numFmtId="169" fontId="4" fillId="0" borderId="0" xfId="0" applyNumberFormat="1" applyFont="1"/>
    <xf numFmtId="14" fontId="5" fillId="3" borderId="0" xfId="0" applyNumberFormat="1" applyFont="1" applyFill="1" applyAlignment="1">
      <alignment horizontal="right"/>
    </xf>
    <xf numFmtId="0" fontId="5" fillId="3" borderId="0" xfId="0" applyFont="1" applyFill="1" applyAlignment="1">
      <alignment horizontal="left"/>
    </xf>
    <xf numFmtId="168" fontId="4" fillId="0" borderId="0" xfId="1" applyNumberFormat="1" applyFont="1"/>
    <xf numFmtId="14" fontId="18" fillId="0" borderId="0" xfId="0" applyNumberFormat="1" applyFont="1"/>
    <xf numFmtId="4" fontId="4" fillId="0" borderId="0" xfId="0" applyNumberFormat="1" applyFont="1"/>
    <xf numFmtId="0" fontId="19" fillId="0" borderId="0" xfId="0" applyFont="1"/>
    <xf numFmtId="14" fontId="20" fillId="0" borderId="0" xfId="0" applyNumberFormat="1" applyFont="1"/>
    <xf numFmtId="173" fontId="15" fillId="2" borderId="4" xfId="3" applyNumberFormat="1" applyFont="1" applyFill="1" applyBorder="1" applyAlignment="1"/>
    <xf numFmtId="174" fontId="15" fillId="2" borderId="4" xfId="3" applyNumberFormat="1" applyFont="1" applyFill="1" applyBorder="1"/>
    <xf numFmtId="171" fontId="4" fillId="0" borderId="20" xfId="0" applyNumberFormat="1" applyFont="1" applyBorder="1"/>
    <xf numFmtId="171" fontId="4" fillId="0" borderId="21" xfId="0" applyNumberFormat="1" applyFont="1" applyBorder="1"/>
    <xf numFmtId="171" fontId="4" fillId="0" borderId="22" xfId="0" applyNumberFormat="1" applyFont="1" applyBorder="1"/>
    <xf numFmtId="170" fontId="4" fillId="0" borderId="17" xfId="0" applyNumberFormat="1" applyFont="1" applyBorder="1"/>
    <xf numFmtId="170" fontId="4" fillId="0" borderId="18" xfId="0" applyNumberFormat="1" applyFont="1" applyBorder="1"/>
    <xf numFmtId="170" fontId="4" fillId="0" borderId="19" xfId="0" applyNumberFormat="1" applyFont="1" applyBorder="1"/>
    <xf numFmtId="9" fontId="21" fillId="0" borderId="25" xfId="1" applyFont="1" applyBorder="1"/>
    <xf numFmtId="9" fontId="21" fillId="0" borderId="26" xfId="1" applyFont="1" applyBorder="1"/>
    <xf numFmtId="4" fontId="22" fillId="0" borderId="27" xfId="0" applyNumberFormat="1" applyFont="1" applyBorder="1"/>
    <xf numFmtId="4" fontId="22" fillId="0" borderId="28" xfId="0" applyNumberFormat="1" applyFont="1" applyBorder="1"/>
    <xf numFmtId="170" fontId="5" fillId="3" borderId="0" xfId="0" applyNumberFormat="1" applyFont="1" applyFill="1" applyAlignment="1">
      <alignment vertical="center"/>
    </xf>
    <xf numFmtId="170" fontId="5" fillId="3" borderId="0" xfId="0" applyNumberFormat="1" applyFont="1" applyFill="1" applyAlignment="1">
      <alignment horizontal="center" vertical="center"/>
    </xf>
    <xf numFmtId="0" fontId="4" fillId="0" borderId="0" xfId="0" applyFont="1" applyAlignment="1">
      <alignment horizontal="center"/>
    </xf>
    <xf numFmtId="0" fontId="5" fillId="3" borderId="0" xfId="0" applyFont="1" applyFill="1" applyAlignment="1">
      <alignment horizontal="center" vertical="center"/>
    </xf>
    <xf numFmtId="10" fontId="0" fillId="0" borderId="23" xfId="1" applyNumberFormat="1" applyFont="1" applyBorder="1"/>
    <xf numFmtId="10" fontId="0" fillId="0" borderId="0" xfId="1" applyNumberFormat="1" applyFont="1" applyBorder="1"/>
    <xf numFmtId="10" fontId="0" fillId="0" borderId="24" xfId="1" applyNumberFormat="1" applyFont="1" applyBorder="1"/>
    <xf numFmtId="170" fontId="5" fillId="3" borderId="0" xfId="0" applyNumberFormat="1" applyFont="1" applyFill="1" applyAlignment="1">
      <alignment horizontal="right" vertical="center"/>
    </xf>
    <xf numFmtId="0" fontId="0" fillId="0" borderId="29" xfId="0" applyBorder="1"/>
    <xf numFmtId="166" fontId="0" fillId="0" borderId="0" xfId="0" applyNumberFormat="1"/>
    <xf numFmtId="11" fontId="3" fillId="0" borderId="0" xfId="0" applyNumberFormat="1" applyFont="1" applyAlignment="1">
      <alignment horizontal="right"/>
    </xf>
    <xf numFmtId="170" fontId="0" fillId="0" borderId="29" xfId="0" applyNumberFormat="1" applyBorder="1"/>
    <xf numFmtId="2" fontId="0" fillId="0" borderId="0" xfId="0" applyNumberFormat="1"/>
    <xf numFmtId="175" fontId="0" fillId="0" borderId="0" xfId="0" applyNumberFormat="1"/>
    <xf numFmtId="176" fontId="0" fillId="0" borderId="0" xfId="0" applyNumberFormat="1"/>
    <xf numFmtId="2" fontId="3" fillId="0" borderId="0" xfId="0" applyNumberFormat="1" applyFont="1"/>
    <xf numFmtId="2" fontId="4" fillId="5" borderId="0" xfId="0" applyNumberFormat="1" applyFont="1" applyFill="1"/>
    <xf numFmtId="2" fontId="4" fillId="6" borderId="0" xfId="0" applyNumberFormat="1" applyFont="1" applyFill="1"/>
    <xf numFmtId="168" fontId="4" fillId="0" borderId="30" xfId="1" applyNumberFormat="1" applyFont="1" applyBorder="1"/>
    <xf numFmtId="10" fontId="4" fillId="0" borderId="30" xfId="1" applyNumberFormat="1" applyFont="1" applyBorder="1"/>
    <xf numFmtId="0" fontId="26" fillId="0" borderId="0" xfId="0" applyFont="1"/>
    <xf numFmtId="0" fontId="27" fillId="0" borderId="0" xfId="4"/>
    <xf numFmtId="0" fontId="28" fillId="0" borderId="0" xfId="4" quotePrefix="1" applyFont="1"/>
    <xf numFmtId="0" fontId="29" fillId="0" borderId="0" xfId="4" applyFont="1"/>
    <xf numFmtId="0" fontId="30" fillId="0" borderId="0" xfId="4" quotePrefix="1" applyFont="1"/>
    <xf numFmtId="0" fontId="27" fillId="7" borderId="0" xfId="4" applyFill="1"/>
    <xf numFmtId="0" fontId="14" fillId="0" borderId="0" xfId="4" applyFont="1"/>
    <xf numFmtId="3" fontId="15" fillId="2" borderId="0" xfId="0" applyNumberFormat="1" applyFont="1" applyFill="1"/>
    <xf numFmtId="0" fontId="34" fillId="0" borderId="0" xfId="4" quotePrefix="1" applyFont="1"/>
    <xf numFmtId="175" fontId="2" fillId="0" borderId="0" xfId="0" applyNumberFormat="1" applyFont="1"/>
    <xf numFmtId="14" fontId="35" fillId="0" borderId="0" xfId="0" applyNumberFormat="1" applyFont="1"/>
    <xf numFmtId="170" fontId="24" fillId="3" borderId="0" xfId="0" applyNumberFormat="1" applyFont="1" applyFill="1" applyAlignment="1">
      <alignment horizontal="right" vertical="center"/>
    </xf>
    <xf numFmtId="2" fontId="36" fillId="0" borderId="0" xfId="0" applyNumberFormat="1" applyFont="1"/>
    <xf numFmtId="0" fontId="5" fillId="9" borderId="0" xfId="0" applyFont="1" applyFill="1" applyAlignment="1">
      <alignment horizontal="centerContinuous" vertical="center"/>
    </xf>
    <xf numFmtId="4" fontId="4" fillId="8" borderId="0" xfId="0" applyNumberFormat="1" applyFont="1" applyFill="1" applyAlignment="1">
      <alignment horizontal="center" vertical="center"/>
    </xf>
    <xf numFmtId="4" fontId="4" fillId="8" borderId="31" xfId="0" applyNumberFormat="1" applyFont="1" applyFill="1" applyBorder="1" applyAlignment="1">
      <alignment horizontal="center" vertical="center"/>
    </xf>
    <xf numFmtId="4" fontId="4" fillId="0" borderId="0" xfId="0" applyNumberFormat="1" applyFont="1" applyAlignment="1">
      <alignment horizontal="center" vertical="center"/>
    </xf>
    <xf numFmtId="4" fontId="4" fillId="0" borderId="31" xfId="0" applyNumberFormat="1" applyFont="1" applyBorder="1" applyAlignment="1">
      <alignment horizontal="center" vertical="center"/>
    </xf>
    <xf numFmtId="4" fontId="4" fillId="8" borderId="30" xfId="0" applyNumberFormat="1" applyFont="1" applyFill="1" applyBorder="1" applyAlignment="1">
      <alignment horizontal="center" vertical="center"/>
    </xf>
    <xf numFmtId="4" fontId="4" fillId="8" borderId="32" xfId="0" applyNumberFormat="1" applyFont="1" applyFill="1" applyBorder="1" applyAlignment="1">
      <alignment horizontal="center" vertical="center"/>
    </xf>
    <xf numFmtId="9" fontId="5" fillId="3" borderId="30" xfId="0" applyNumberFormat="1" applyFont="1" applyFill="1" applyBorder="1" applyAlignment="1">
      <alignment horizontal="center" vertical="center"/>
    </xf>
    <xf numFmtId="0" fontId="37" fillId="0" borderId="0" xfId="0" applyFont="1"/>
    <xf numFmtId="10" fontId="4" fillId="0" borderId="0" xfId="0" applyNumberFormat="1" applyFont="1"/>
    <xf numFmtId="178" fontId="0" fillId="0" borderId="0" xfId="1" applyNumberFormat="1" applyFont="1"/>
    <xf numFmtId="11" fontId="5" fillId="9" borderId="0" xfId="0" applyNumberFormat="1" applyFont="1" applyFill="1" applyAlignment="1">
      <alignment horizontal="centerContinuous" vertical="center"/>
    </xf>
    <xf numFmtId="9" fontId="5" fillId="10" borderId="30" xfId="0" applyNumberFormat="1" applyFont="1" applyFill="1" applyBorder="1" applyAlignment="1">
      <alignment horizontal="center" vertical="center"/>
    </xf>
    <xf numFmtId="9" fontId="5" fillId="10" borderId="0" xfId="0" applyNumberFormat="1" applyFont="1" applyFill="1" applyAlignment="1">
      <alignment horizontal="center" vertical="center"/>
    </xf>
    <xf numFmtId="177" fontId="3" fillId="0" borderId="34" xfId="0" applyNumberFormat="1" applyFont="1" applyBorder="1" applyAlignment="1">
      <alignment horizontal="center" vertical="center"/>
    </xf>
    <xf numFmtId="177" fontId="3" fillId="8" borderId="34" xfId="0" applyNumberFormat="1" applyFont="1" applyFill="1" applyBorder="1" applyAlignment="1">
      <alignment horizontal="center" vertical="center"/>
    </xf>
    <xf numFmtId="177" fontId="3" fillId="8" borderId="33" xfId="0" applyNumberFormat="1" applyFont="1" applyFill="1" applyBorder="1" applyAlignment="1">
      <alignment horizontal="center" vertical="center"/>
    </xf>
    <xf numFmtId="0" fontId="38" fillId="0" borderId="0" xfId="0" applyFont="1"/>
    <xf numFmtId="0" fontId="39" fillId="0" borderId="0" xfId="0" applyFont="1"/>
    <xf numFmtId="0" fontId="2" fillId="0" borderId="0" xfId="0" applyFont="1"/>
    <xf numFmtId="0" fontId="5" fillId="3" borderId="0" xfId="0" applyFont="1" applyFill="1" applyAlignment="1">
      <alignment horizontal="centerContinuous" wrapText="1"/>
    </xf>
    <xf numFmtId="0" fontId="5" fillId="3" borderId="0" xfId="0" applyFont="1" applyFill="1" applyAlignment="1">
      <alignment horizontal="center" wrapText="1"/>
    </xf>
    <xf numFmtId="0" fontId="40" fillId="0" borderId="0" xfId="4" applyFont="1"/>
    <xf numFmtId="177" fontId="36" fillId="0" borderId="0" xfId="0" applyNumberFormat="1" applyFont="1" applyAlignment="1">
      <alignment horizontal="center" vertical="center"/>
    </xf>
    <xf numFmtId="9" fontId="36" fillId="0" borderId="0" xfId="0" applyNumberFormat="1" applyFont="1" applyAlignment="1">
      <alignment horizontal="center" vertical="center"/>
    </xf>
    <xf numFmtId="9" fontId="5" fillId="11" borderId="0" xfId="0" applyNumberFormat="1" applyFont="1" applyFill="1" applyAlignment="1">
      <alignment horizontal="center" vertical="center"/>
    </xf>
    <xf numFmtId="0" fontId="5" fillId="9" borderId="0" xfId="0" applyFont="1" applyFill="1" applyAlignment="1">
      <alignment horizontal="center" vertical="center"/>
    </xf>
    <xf numFmtId="0" fontId="5" fillId="9" borderId="35" xfId="0" applyFont="1" applyFill="1" applyBorder="1" applyAlignment="1">
      <alignment horizontal="centerContinuous" vertical="center"/>
    </xf>
    <xf numFmtId="0" fontId="5" fillId="3" borderId="36" xfId="0" applyFont="1" applyFill="1" applyBorder="1" applyAlignment="1">
      <alignment horizontal="centerContinuous" vertical="center"/>
    </xf>
    <xf numFmtId="0" fontId="5" fillId="3" borderId="36" xfId="0" applyFont="1" applyFill="1" applyBorder="1" applyAlignment="1">
      <alignment horizontal="centerContinuous" vertical="top"/>
    </xf>
    <xf numFmtId="173" fontId="15" fillId="2" borderId="4" xfId="3" applyNumberFormat="1" applyFont="1" applyFill="1" applyBorder="1"/>
    <xf numFmtId="168" fontId="4" fillId="0" borderId="0" xfId="1" applyNumberFormat="1" applyFont="1" applyAlignment="1">
      <alignment vertical="center"/>
    </xf>
    <xf numFmtId="2" fontId="4" fillId="0" borderId="0" xfId="0" applyNumberFormat="1" applyFont="1" applyAlignment="1">
      <alignment vertical="center"/>
    </xf>
    <xf numFmtId="2" fontId="36" fillId="0" borderId="0" xfId="0" applyNumberFormat="1" applyFont="1" applyAlignment="1">
      <alignment vertical="center"/>
    </xf>
    <xf numFmtId="0" fontId="0" fillId="0" borderId="0" xfId="0" applyAlignment="1">
      <alignment wrapText="1"/>
    </xf>
    <xf numFmtId="0" fontId="0" fillId="0" borderId="0" xfId="0" applyAlignment="1">
      <alignment vertical="center" wrapText="1"/>
    </xf>
    <xf numFmtId="0" fontId="28" fillId="0" borderId="0" xfId="4" applyFont="1"/>
    <xf numFmtId="2" fontId="4" fillId="2" borderId="12" xfId="0" applyNumberFormat="1" applyFont="1" applyFill="1" applyBorder="1"/>
    <xf numFmtId="2" fontId="4" fillId="2" borderId="13" xfId="0" applyNumberFormat="1" applyFont="1" applyFill="1" applyBorder="1"/>
    <xf numFmtId="2" fontId="4" fillId="2" borderId="15" xfId="0" applyNumberFormat="1" applyFont="1" applyFill="1" applyBorder="1"/>
    <xf numFmtId="2" fontId="4" fillId="2" borderId="16" xfId="0" applyNumberFormat="1" applyFont="1" applyFill="1" applyBorder="1"/>
    <xf numFmtId="2" fontId="4" fillId="2" borderId="14" xfId="0" applyNumberFormat="1" applyFont="1" applyFill="1" applyBorder="1"/>
    <xf numFmtId="2" fontId="4" fillId="2" borderId="11" xfId="0" applyNumberFormat="1" applyFont="1" applyFill="1" applyBorder="1"/>
    <xf numFmtId="10" fontId="0" fillId="0" borderId="0" xfId="0" applyNumberFormat="1" applyAlignment="1">
      <alignment vertical="center"/>
    </xf>
    <xf numFmtId="166" fontId="0" fillId="0" borderId="0" xfId="0" applyNumberFormat="1" applyAlignment="1">
      <alignment vertical="center"/>
    </xf>
    <xf numFmtId="179" fontId="0" fillId="0" borderId="0" xfId="0" applyNumberFormat="1" applyAlignment="1">
      <alignment vertical="center"/>
    </xf>
    <xf numFmtId="4" fontId="22" fillId="0" borderId="37" xfId="0" applyNumberFormat="1" applyFont="1" applyBorder="1"/>
    <xf numFmtId="4" fontId="22" fillId="0" borderId="38" xfId="0" applyNumberFormat="1" applyFont="1" applyBorder="1"/>
    <xf numFmtId="180" fontId="4" fillId="0" borderId="0" xfId="1" applyNumberFormat="1" applyFont="1"/>
    <xf numFmtId="4" fontId="22" fillId="0" borderId="0" xfId="0" applyNumberFormat="1" applyFont="1"/>
    <xf numFmtId="0" fontId="4" fillId="0" borderId="0" xfId="0" applyFont="1" applyAlignment="1">
      <alignment horizontal="center" vertical="center"/>
    </xf>
    <xf numFmtId="14" fontId="0" fillId="0" borderId="0" xfId="0" applyNumberFormat="1" applyAlignment="1">
      <alignment vertical="center"/>
    </xf>
    <xf numFmtId="10" fontId="0" fillId="0" borderId="23" xfId="1" applyNumberFormat="1" applyFont="1" applyBorder="1" applyAlignment="1">
      <alignment vertical="center"/>
    </xf>
    <xf numFmtId="10" fontId="0" fillId="0" borderId="0" xfId="1" applyNumberFormat="1" applyFont="1" applyBorder="1" applyAlignment="1">
      <alignment vertical="center"/>
    </xf>
    <xf numFmtId="10" fontId="0" fillId="0" borderId="24" xfId="1" applyNumberFormat="1" applyFont="1" applyBorder="1" applyAlignment="1">
      <alignment vertical="center"/>
    </xf>
    <xf numFmtId="2" fontId="0" fillId="0" borderId="0" xfId="0" applyNumberFormat="1" applyAlignment="1">
      <alignment vertical="center"/>
    </xf>
    <xf numFmtId="4" fontId="4" fillId="0" borderId="0" xfId="0" applyNumberFormat="1" applyFont="1" applyAlignment="1">
      <alignment vertical="center"/>
    </xf>
    <xf numFmtId="39" fontId="4" fillId="0" borderId="0" xfId="0" applyNumberFormat="1" applyFont="1" applyAlignment="1">
      <alignment vertical="center"/>
    </xf>
    <xf numFmtId="175" fontId="0" fillId="0" borderId="0" xfId="0" applyNumberFormat="1" applyAlignment="1">
      <alignment vertical="center"/>
    </xf>
    <xf numFmtId="10" fontId="0" fillId="0" borderId="0" xfId="1" applyNumberFormat="1" applyFont="1" applyAlignment="1">
      <alignment vertical="center"/>
    </xf>
    <xf numFmtId="176" fontId="0" fillId="0" borderId="0" xfId="0" applyNumberFormat="1" applyAlignment="1">
      <alignment vertical="center"/>
    </xf>
    <xf numFmtId="0" fontId="4" fillId="0" borderId="0" xfId="0" applyFont="1" applyAlignment="1">
      <alignment vertical="center"/>
    </xf>
    <xf numFmtId="3" fontId="0" fillId="0" borderId="0" xfId="1" applyNumberFormat="1" applyFont="1" applyAlignment="1">
      <alignment vertical="center"/>
    </xf>
    <xf numFmtId="4" fontId="43" fillId="0" borderId="17" xfId="0" applyNumberFormat="1" applyFont="1" applyBorder="1"/>
    <xf numFmtId="4" fontId="43" fillId="0" borderId="18" xfId="0" applyNumberFormat="1" applyFont="1" applyBorder="1"/>
    <xf numFmtId="4" fontId="43" fillId="0" borderId="19" xfId="0" applyNumberFormat="1" applyFont="1" applyBorder="1"/>
    <xf numFmtId="9" fontId="21" fillId="0" borderId="26" xfId="1" applyFont="1" applyBorder="1" applyAlignment="1">
      <alignment vertical="center"/>
    </xf>
    <xf numFmtId="4" fontId="22" fillId="0" borderId="38" xfId="0" applyNumberFormat="1" applyFont="1" applyBorder="1" applyAlignment="1">
      <alignment vertical="center"/>
    </xf>
    <xf numFmtId="170" fontId="24" fillId="3" borderId="0" xfId="0" applyNumberFormat="1" applyFont="1" applyFill="1" applyAlignment="1">
      <alignment horizontal="centerContinuous" vertical="center"/>
    </xf>
    <xf numFmtId="181" fontId="0" fillId="0" borderId="0" xfId="0" applyNumberFormat="1"/>
    <xf numFmtId="3" fontId="3" fillId="0" borderId="2" xfId="0" applyNumberFormat="1" applyFont="1" applyBorder="1"/>
    <xf numFmtId="3" fontId="4" fillId="0" borderId="0" xfId="0" applyNumberFormat="1" applyFont="1"/>
    <xf numFmtId="170" fontId="44" fillId="3" borderId="0" xfId="0" applyNumberFormat="1" applyFont="1" applyFill="1" applyAlignment="1">
      <alignment horizontal="right" vertical="center"/>
    </xf>
    <xf numFmtId="11" fontId="5" fillId="12" borderId="0" xfId="0" applyNumberFormat="1" applyFont="1" applyFill="1" applyAlignment="1">
      <alignment horizontal="centerContinuous"/>
    </xf>
    <xf numFmtId="11" fontId="16" fillId="12" borderId="0" xfId="0" applyNumberFormat="1" applyFont="1" applyFill="1" applyAlignment="1">
      <alignment horizontal="centerContinuous"/>
    </xf>
    <xf numFmtId="182" fontId="4" fillId="0" borderId="11" xfId="1" applyNumberFormat="1" applyFont="1" applyBorder="1" applyAlignment="1">
      <alignment vertical="center"/>
    </xf>
    <xf numFmtId="182" fontId="4" fillId="0" borderId="23" xfId="1" applyNumberFormat="1" applyFont="1" applyBorder="1" applyAlignment="1">
      <alignment vertical="center"/>
    </xf>
    <xf numFmtId="182" fontId="4" fillId="0" borderId="14" xfId="1" applyNumberFormat="1" applyFont="1" applyBorder="1" applyAlignment="1">
      <alignment vertical="center"/>
    </xf>
    <xf numFmtId="0" fontId="3" fillId="0" borderId="0" xfId="0" applyFont="1" applyAlignment="1">
      <alignment vertical="center"/>
    </xf>
    <xf numFmtId="172" fontId="4" fillId="0" borderId="11" xfId="1" applyNumberFormat="1" applyFont="1" applyBorder="1" applyAlignment="1">
      <alignment vertical="center"/>
    </xf>
    <xf numFmtId="172" fontId="4" fillId="0" borderId="12" xfId="1" applyNumberFormat="1" applyFont="1" applyBorder="1" applyAlignment="1">
      <alignment vertical="center"/>
    </xf>
    <xf numFmtId="172" fontId="4" fillId="0" borderId="13" xfId="1" applyNumberFormat="1" applyFont="1" applyBorder="1" applyAlignment="1">
      <alignment vertical="center"/>
    </xf>
    <xf numFmtId="170" fontId="4" fillId="0" borderId="0" xfId="0" applyNumberFormat="1" applyFont="1" applyAlignment="1">
      <alignment vertical="center"/>
    </xf>
    <xf numFmtId="182" fontId="4" fillId="0" borderId="12" xfId="1" applyNumberFormat="1" applyFont="1" applyBorder="1" applyAlignment="1">
      <alignment vertical="center"/>
    </xf>
    <xf numFmtId="182" fontId="4" fillId="0" borderId="13" xfId="1" applyNumberFormat="1" applyFont="1" applyBorder="1" applyAlignment="1">
      <alignment vertical="center"/>
    </xf>
    <xf numFmtId="172" fontId="4" fillId="0" borderId="23" xfId="1" applyNumberFormat="1" applyFont="1" applyBorder="1" applyAlignment="1">
      <alignment vertical="center"/>
    </xf>
    <xf numFmtId="172" fontId="4" fillId="0" borderId="0" xfId="1" applyNumberFormat="1" applyFont="1" applyBorder="1" applyAlignment="1">
      <alignment vertical="center"/>
    </xf>
    <xf numFmtId="172" fontId="4" fillId="0" borderId="24" xfId="1" applyNumberFormat="1" applyFont="1" applyBorder="1" applyAlignment="1">
      <alignment vertical="center"/>
    </xf>
    <xf numFmtId="182" fontId="4" fillId="0" borderId="0" xfId="1" applyNumberFormat="1" applyFont="1" applyAlignment="1">
      <alignment vertical="center"/>
    </xf>
    <xf numFmtId="182" fontId="4" fillId="0" borderId="24" xfId="1" applyNumberFormat="1" applyFont="1" applyBorder="1" applyAlignment="1">
      <alignment vertical="center"/>
    </xf>
    <xf numFmtId="0" fontId="19" fillId="0" borderId="0" xfId="0" applyFont="1" applyAlignment="1">
      <alignment vertical="center"/>
    </xf>
    <xf numFmtId="172" fontId="4" fillId="0" borderId="14" xfId="1" applyNumberFormat="1" applyFont="1" applyBorder="1" applyAlignment="1">
      <alignment vertical="center"/>
    </xf>
    <xf numFmtId="172" fontId="4" fillId="0" borderId="15" xfId="1" applyNumberFormat="1" applyFont="1" applyBorder="1" applyAlignment="1">
      <alignment vertical="center"/>
    </xf>
    <xf numFmtId="172" fontId="4" fillId="0" borderId="16" xfId="1" applyNumberFormat="1" applyFont="1" applyBorder="1" applyAlignment="1">
      <alignment vertical="center"/>
    </xf>
    <xf numFmtId="182" fontId="4" fillId="0" borderId="15" xfId="1" applyNumberFormat="1" applyFont="1" applyBorder="1" applyAlignment="1">
      <alignment vertical="center"/>
    </xf>
    <xf numFmtId="182" fontId="4" fillId="0" borderId="16" xfId="1" applyNumberFormat="1" applyFont="1" applyBorder="1" applyAlignment="1">
      <alignment vertical="center"/>
    </xf>
    <xf numFmtId="172" fontId="4" fillId="0" borderId="0" xfId="1" applyNumberFormat="1" applyFont="1" applyAlignment="1">
      <alignment vertical="center"/>
    </xf>
    <xf numFmtId="0" fontId="46" fillId="0" borderId="0" xfId="0" applyFont="1"/>
    <xf numFmtId="0" fontId="47" fillId="0" borderId="0" xfId="18" applyFont="1"/>
    <xf numFmtId="4" fontId="22" fillId="0" borderId="28" xfId="0" applyNumberFormat="1" applyFont="1" applyBorder="1" applyAlignment="1">
      <alignment horizontal="right" vertical="center"/>
    </xf>
    <xf numFmtId="1" fontId="4" fillId="0" borderId="0" xfId="0" applyNumberFormat="1" applyFont="1"/>
    <xf numFmtId="4" fontId="4" fillId="2" borderId="13" xfId="0" applyNumberFormat="1" applyFont="1" applyFill="1" applyBorder="1"/>
    <xf numFmtId="4" fontId="4" fillId="2" borderId="16" xfId="0" applyNumberFormat="1" applyFont="1" applyFill="1" applyBorder="1"/>
    <xf numFmtId="3" fontId="43" fillId="0" borderId="18" xfId="0" applyNumberFormat="1" applyFont="1" applyBorder="1"/>
    <xf numFmtId="4" fontId="22" fillId="0" borderId="28" xfId="0" applyNumberFormat="1" applyFont="1" applyBorder="1" applyAlignment="1">
      <alignment horizontal="right"/>
    </xf>
    <xf numFmtId="184" fontId="4" fillId="0" borderId="0" xfId="0" applyNumberFormat="1" applyFont="1"/>
    <xf numFmtId="4" fontId="22" fillId="0" borderId="37" xfId="0" applyNumberFormat="1" applyFont="1" applyBorder="1" applyAlignment="1">
      <alignment horizontal="right" vertical="center"/>
    </xf>
    <xf numFmtId="4" fontId="22" fillId="0" borderId="38" xfId="0" applyNumberFormat="1" applyFont="1" applyBorder="1" applyAlignment="1">
      <alignment horizontal="right" vertical="center"/>
    </xf>
    <xf numFmtId="4" fontId="22" fillId="0" borderId="27" xfId="0" applyNumberFormat="1" applyFont="1" applyBorder="1" applyAlignment="1">
      <alignment horizontal="right" vertical="center"/>
    </xf>
    <xf numFmtId="171" fontId="4" fillId="0" borderId="17" xfId="0" applyNumberFormat="1" applyFont="1" applyBorder="1"/>
    <xf numFmtId="171" fontId="4" fillId="0" borderId="18" xfId="0" applyNumberFormat="1" applyFont="1" applyBorder="1"/>
    <xf numFmtId="171" fontId="4" fillId="0" borderId="19" xfId="0" applyNumberFormat="1" applyFont="1" applyBorder="1"/>
    <xf numFmtId="185" fontId="4" fillId="0" borderId="0" xfId="0" applyNumberFormat="1" applyFont="1"/>
    <xf numFmtId="3" fontId="8" fillId="0" borderId="0" xfId="0" applyNumberFormat="1" applyFont="1"/>
    <xf numFmtId="183" fontId="4" fillId="0" borderId="0" xfId="0" applyNumberFormat="1" applyFont="1"/>
    <xf numFmtId="16" fontId="4" fillId="0" borderId="0" xfId="0" applyNumberFormat="1" applyFont="1"/>
    <xf numFmtId="15" fontId="4" fillId="0" borderId="0" xfId="0" applyNumberFormat="1" applyFont="1"/>
    <xf numFmtId="0" fontId="36" fillId="0" borderId="0" xfId="0" applyFont="1" applyAlignment="1">
      <alignment horizontal="center"/>
    </xf>
    <xf numFmtId="4" fontId="4" fillId="8" borderId="2" xfId="0" applyNumberFormat="1" applyFont="1" applyFill="1" applyBorder="1" applyAlignment="1">
      <alignment horizontal="centerContinuous" vertical="center"/>
    </xf>
    <xf numFmtId="0" fontId="34" fillId="0" borderId="0" xfId="4" quotePrefix="1" applyFont="1" applyAlignment="1"/>
  </cellXfs>
  <cellStyles count="19">
    <cellStyle name="=C:\WINNT35\SYSTEM32\COMMAND.COM 2" xfId="6" xr:uid="{0023C62F-0813-44E2-ADD6-3BE88B3D406B}"/>
    <cellStyle name="Comma 2" xfId="17" xr:uid="{E3C75378-5849-43C2-A364-5A6F6DEEE99A}"/>
    <cellStyle name="Comma 3" xfId="13" xr:uid="{E8089FAA-249C-4239-AD47-B0C0AEC39D9B}"/>
    <cellStyle name="Hyperlink" xfId="18" builtinId="8"/>
    <cellStyle name="Input" xfId="3" builtinId="20"/>
    <cellStyle name="Normal" xfId="0" builtinId="0"/>
    <cellStyle name="Normal 12" xfId="14" xr:uid="{B22B3A03-372E-4E9D-95FB-5920402A42D5}"/>
    <cellStyle name="Normal 2" xfId="2" xr:uid="{DF7CA5BB-8FEC-4716-99AD-D5D3DC23D0CF}"/>
    <cellStyle name="Normal 2 2" xfId="9" xr:uid="{49CD5D93-9EAB-457F-8F3D-F049377D7D56}"/>
    <cellStyle name="Normal 2 3" xfId="5" xr:uid="{860E29C5-13B7-4ED6-8F57-6593E23DC906}"/>
    <cellStyle name="Normal 3" xfId="8" xr:uid="{A8F24DB0-A1E9-428A-B6AF-A5E38D3DD5C3}"/>
    <cellStyle name="Normal 4" xfId="15" xr:uid="{C628FCCE-CCB1-4E37-BB65-48504D389CAE}"/>
    <cellStyle name="Normal 5" xfId="16" xr:uid="{E5B275C4-AF09-47F5-B858-AC0F02601F7A}"/>
    <cellStyle name="Normal 6" xfId="4" xr:uid="{69B18B82-BF35-4C2D-A50C-4E4792ADD1FA}"/>
    <cellStyle name="Percent" xfId="1" builtinId="5"/>
    <cellStyle name="Percent 2" xfId="11" xr:uid="{BE1D15FE-063B-4D3C-8CE8-420D05436FEC}"/>
    <cellStyle name="Percent 3" xfId="7" xr:uid="{C253EF11-FB5F-46B6-81B1-5248BCA423FA}"/>
    <cellStyle name="Style 1 2" xfId="10" xr:uid="{5E048CBF-F0B0-4009-A382-3059F781E18E}"/>
    <cellStyle name="Table Units" xfId="12" xr:uid="{ABB90AF3-EEE6-4470-8035-9B83F64D0E1C}"/>
  </cellStyles>
  <dxfs count="21">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2" defaultPivotStyle="PivotStyleLight16"/>
  <colors>
    <mruColors>
      <color rgb="FF004C4C"/>
      <color rgb="FF5BB3C4"/>
      <color rgb="FF429993"/>
      <color rgb="FFFFFFCC"/>
      <color rgb="FF044689"/>
      <color rgb="FFFA82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4711679655513"/>
          <c:y val="6.521753290537867E-2"/>
          <c:w val="0.8314781608417634"/>
          <c:h val="0.75691863947757665"/>
        </c:manualLayout>
      </c:layout>
      <c:barChart>
        <c:barDir val="col"/>
        <c:grouping val="clustered"/>
        <c:varyColors val="0"/>
        <c:ser>
          <c:idx val="0"/>
          <c:order val="0"/>
          <c:tx>
            <c:strRef>
              <c:f>'31Mar24'!$AA$127</c:f>
              <c:strCache>
                <c:ptCount val="1"/>
                <c:pt idx="0">
                  <c:v>Hybrid</c:v>
                </c:pt>
              </c:strCache>
            </c:strRef>
          </c:tx>
          <c:spPr>
            <a:solidFill>
              <a:srgbClr val="002060"/>
            </a:solidFill>
            <a:ln>
              <a:solidFill>
                <a:schemeClr val="bg1"/>
              </a:solidFill>
            </a:ln>
          </c:spPr>
          <c:invertIfNegative val="0"/>
          <c:cat>
            <c:numRef>
              <c:f>'31Mar24'!$AB$130:$AB$148</c:f>
              <c:numCache>
                <c:formatCode>0.00</c:formatCode>
                <c:ptCount val="19"/>
                <c:pt idx="0">
                  <c:v>-118.89686791588065</c:v>
                </c:pt>
                <c:pt idx="1">
                  <c:v>-105.68610481411613</c:v>
                </c:pt>
                <c:pt idx="2">
                  <c:v>-92.475341712351621</c:v>
                </c:pt>
                <c:pt idx="3">
                  <c:v>-79.264578610587108</c:v>
                </c:pt>
                <c:pt idx="4">
                  <c:v>-66.053815508822595</c:v>
                </c:pt>
                <c:pt idx="5">
                  <c:v>-52.843052407058082</c:v>
                </c:pt>
                <c:pt idx="6">
                  <c:v>-39.632289305293554</c:v>
                </c:pt>
                <c:pt idx="7">
                  <c:v>-26.421526203529037</c:v>
                </c:pt>
                <c:pt idx="8">
                  <c:v>-13.210763101764519</c:v>
                </c:pt>
                <c:pt idx="9">
                  <c:v>0</c:v>
                </c:pt>
                <c:pt idx="10">
                  <c:v>13.210763101764517</c:v>
                </c:pt>
                <c:pt idx="11">
                  <c:v>26.421526203529037</c:v>
                </c:pt>
                <c:pt idx="12">
                  <c:v>39.632289305293554</c:v>
                </c:pt>
                <c:pt idx="13">
                  <c:v>52.843052407058082</c:v>
                </c:pt>
                <c:pt idx="14">
                  <c:v>66.053815508822595</c:v>
                </c:pt>
                <c:pt idx="15">
                  <c:v>79.264578610587108</c:v>
                </c:pt>
                <c:pt idx="16">
                  <c:v>92.475341712351621</c:v>
                </c:pt>
                <c:pt idx="17">
                  <c:v>105.68610481411613</c:v>
                </c:pt>
                <c:pt idx="18">
                  <c:v>118.89686791588065</c:v>
                </c:pt>
              </c:numCache>
            </c:numRef>
          </c:cat>
          <c:val>
            <c:numRef>
              <c:f>'31Mar24'!$AC$130:$AC$148</c:f>
              <c:numCache>
                <c:formatCode>0.00%</c:formatCode>
                <c:ptCount val="19"/>
                <c:pt idx="0">
                  <c:v>0</c:v>
                </c:pt>
                <c:pt idx="1">
                  <c:v>0</c:v>
                </c:pt>
                <c:pt idx="2">
                  <c:v>0</c:v>
                </c:pt>
                <c:pt idx="3">
                  <c:v>0</c:v>
                </c:pt>
                <c:pt idx="4">
                  <c:v>0</c:v>
                </c:pt>
                <c:pt idx="5">
                  <c:v>8.2079722695399537E-2</c:v>
                </c:pt>
                <c:pt idx="6">
                  <c:v>3.3616408206292775E-2</c:v>
                </c:pt>
                <c:pt idx="7">
                  <c:v>0.15927096305558389</c:v>
                </c:pt>
                <c:pt idx="8">
                  <c:v>0.16118935763091669</c:v>
                </c:pt>
                <c:pt idx="9">
                  <c:v>0.13107239604442367</c:v>
                </c:pt>
                <c:pt idx="10">
                  <c:v>0.16932551547755129</c:v>
                </c:pt>
                <c:pt idx="11">
                  <c:v>4.2566192463197941E-2</c:v>
                </c:pt>
                <c:pt idx="12">
                  <c:v>0.12908337683489426</c:v>
                </c:pt>
                <c:pt idx="13">
                  <c:v>4.2287178293028124E-2</c:v>
                </c:pt>
                <c:pt idx="14">
                  <c:v>0</c:v>
                </c:pt>
                <c:pt idx="15">
                  <c:v>4.9508889298712055E-2</c:v>
                </c:pt>
                <c:pt idx="16">
                  <c:v>0</c:v>
                </c:pt>
                <c:pt idx="17">
                  <c:v>0</c:v>
                </c:pt>
                <c:pt idx="18">
                  <c:v>0</c:v>
                </c:pt>
              </c:numCache>
            </c:numRef>
          </c:val>
          <c:extLst>
            <c:ext xmlns:c16="http://schemas.microsoft.com/office/drawing/2014/chart" uri="{C3380CC4-5D6E-409C-BE32-E72D297353CC}">
              <c16:uniqueId val="{00000000-C20D-4B5B-A12D-D8F6C5C5A6F5}"/>
            </c:ext>
          </c:extLst>
        </c:ser>
        <c:dLbls>
          <c:showLegendKey val="0"/>
          <c:showVal val="0"/>
          <c:showCatName val="0"/>
          <c:showSerName val="0"/>
          <c:showPercent val="0"/>
          <c:showBubbleSize val="0"/>
        </c:dLbls>
        <c:gapWidth val="0"/>
        <c:axId val="1290526095"/>
        <c:axId val="1"/>
      </c:barChart>
      <c:lineChart>
        <c:grouping val="standard"/>
        <c:varyColors val="0"/>
        <c:ser>
          <c:idx val="1"/>
          <c:order val="1"/>
          <c:tx>
            <c:strRef>
              <c:f>'31Mar24'!$AU$127</c:f>
              <c:strCache>
                <c:ptCount val="1"/>
                <c:pt idx="0">
                  <c:v>EWMA</c:v>
                </c:pt>
              </c:strCache>
            </c:strRef>
          </c:tx>
          <c:spPr>
            <a:ln>
              <a:solidFill>
                <a:schemeClr val="accent1">
                  <a:lumMod val="20000"/>
                  <a:lumOff val="80000"/>
                </a:schemeClr>
              </a:solidFill>
            </a:ln>
          </c:spPr>
          <c:marker>
            <c:symbol val="none"/>
          </c:marker>
          <c:cat>
            <c:numRef>
              <c:f>'31Mar24'!$AB$130:$AB$148</c:f>
              <c:numCache>
                <c:formatCode>0.00</c:formatCode>
                <c:ptCount val="19"/>
                <c:pt idx="0">
                  <c:v>-118.89686791588065</c:v>
                </c:pt>
                <c:pt idx="1">
                  <c:v>-105.68610481411613</c:v>
                </c:pt>
                <c:pt idx="2">
                  <c:v>-92.475341712351621</c:v>
                </c:pt>
                <c:pt idx="3">
                  <c:v>-79.264578610587108</c:v>
                </c:pt>
                <c:pt idx="4">
                  <c:v>-66.053815508822595</c:v>
                </c:pt>
                <c:pt idx="5">
                  <c:v>-52.843052407058082</c:v>
                </c:pt>
                <c:pt idx="6">
                  <c:v>-39.632289305293554</c:v>
                </c:pt>
                <c:pt idx="7">
                  <c:v>-26.421526203529037</c:v>
                </c:pt>
                <c:pt idx="8">
                  <c:v>-13.210763101764519</c:v>
                </c:pt>
                <c:pt idx="9">
                  <c:v>0</c:v>
                </c:pt>
                <c:pt idx="10">
                  <c:v>13.210763101764517</c:v>
                </c:pt>
                <c:pt idx="11">
                  <c:v>26.421526203529037</c:v>
                </c:pt>
                <c:pt idx="12">
                  <c:v>39.632289305293554</c:v>
                </c:pt>
                <c:pt idx="13">
                  <c:v>52.843052407058082</c:v>
                </c:pt>
                <c:pt idx="14">
                  <c:v>66.053815508822595</c:v>
                </c:pt>
                <c:pt idx="15">
                  <c:v>79.264578610587108</c:v>
                </c:pt>
                <c:pt idx="16">
                  <c:v>92.475341712351621</c:v>
                </c:pt>
                <c:pt idx="17">
                  <c:v>105.68610481411613</c:v>
                </c:pt>
                <c:pt idx="18">
                  <c:v>118.89686791588065</c:v>
                </c:pt>
              </c:numCache>
            </c:numRef>
          </c:cat>
          <c:val>
            <c:numRef>
              <c:f>'31Mar24'!$AV$130:$AV$148</c:f>
              <c:numCache>
                <c:formatCode>0.00%</c:formatCode>
                <c:ptCount val="19"/>
                <c:pt idx="0">
                  <c:v>2.6458122175176138E-4</c:v>
                </c:pt>
                <c:pt idx="1">
                  <c:v>1.012968765953214E-3</c:v>
                </c:pt>
                <c:pt idx="2">
                  <c:v>3.3112899920886537E-3</c:v>
                </c:pt>
                <c:pt idx="3">
                  <c:v>9.2422594897798721E-3</c:v>
                </c:pt>
                <c:pt idx="4">
                  <c:v>2.2026871599427168E-2</c:v>
                </c:pt>
                <c:pt idx="5">
                  <c:v>4.4826340120845236E-2</c:v>
                </c:pt>
                <c:pt idx="6">
                  <c:v>7.7898594697685966E-2</c:v>
                </c:pt>
                <c:pt idx="7">
                  <c:v>0.11559786381861656</c:v>
                </c:pt>
                <c:pt idx="8">
                  <c:v>0.14648717281082341</c:v>
                </c:pt>
                <c:pt idx="9">
                  <c:v>0.15851941887820603</c:v>
                </c:pt>
                <c:pt idx="10">
                  <c:v>0.14648717281082346</c:v>
                </c:pt>
                <c:pt idx="11">
                  <c:v>0.11559786381861659</c:v>
                </c:pt>
                <c:pt idx="12">
                  <c:v>7.7898594697685897E-2</c:v>
                </c:pt>
                <c:pt idx="13">
                  <c:v>4.4826340120845298E-2</c:v>
                </c:pt>
                <c:pt idx="14">
                  <c:v>2.2026871599427178E-2</c:v>
                </c:pt>
                <c:pt idx="15">
                  <c:v>9.2422594897798582E-3</c:v>
                </c:pt>
                <c:pt idx="16">
                  <c:v>3.3112899920886285E-3</c:v>
                </c:pt>
                <c:pt idx="17">
                  <c:v>1.0129687659532483E-3</c:v>
                </c:pt>
                <c:pt idx="18">
                  <c:v>2.6458122175176957E-4</c:v>
                </c:pt>
              </c:numCache>
            </c:numRef>
          </c:val>
          <c:smooth val="1"/>
          <c:extLst>
            <c:ext xmlns:c16="http://schemas.microsoft.com/office/drawing/2014/chart" uri="{C3380CC4-5D6E-409C-BE32-E72D297353CC}">
              <c16:uniqueId val="{00000001-E571-458C-BBBA-80B7CB605F98}"/>
            </c:ext>
          </c:extLst>
        </c:ser>
        <c:dLbls>
          <c:showLegendKey val="0"/>
          <c:showVal val="0"/>
          <c:showCatName val="0"/>
          <c:showSerName val="0"/>
          <c:showPercent val="0"/>
          <c:showBubbleSize val="0"/>
        </c:dLbls>
        <c:marker val="1"/>
        <c:smooth val="0"/>
        <c:axId val="1290526095"/>
        <c:axId val="1"/>
      </c:lineChart>
      <c:catAx>
        <c:axId val="1290526095"/>
        <c:scaling>
          <c:orientation val="minMax"/>
        </c:scaling>
        <c:delete val="0"/>
        <c:axPos val="b"/>
        <c:title>
          <c:tx>
            <c:rich>
              <a:bodyPr/>
              <a:lstStyle/>
              <a:p>
                <a:pPr>
                  <a:defRPr sz="1075" b="1" i="1" u="none" strike="noStrike" baseline="0">
                    <a:solidFill>
                      <a:srgbClr val="000000"/>
                    </a:solidFill>
                    <a:latin typeface="Arial"/>
                    <a:ea typeface="Arial"/>
                    <a:cs typeface="Arial"/>
                  </a:defRPr>
                </a:pPr>
                <a:r>
                  <a:rPr lang="it-IT"/>
                  <a:t>Changes in the portfolio'</a:t>
                </a:r>
                <a:r>
                  <a:rPr lang="it-IT" baseline="0"/>
                  <a:t>s value in one week</a:t>
                </a:r>
                <a:endParaRPr lang="it-IT"/>
              </a:p>
            </c:rich>
          </c:tx>
          <c:layout>
            <c:manualLayout>
              <c:xMode val="edge"/>
              <c:yMode val="edge"/>
              <c:x val="0.33185727996243852"/>
              <c:y val="0.90316394755306795"/>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5400000" vert="horz"/>
          <a:lstStyle/>
          <a:p>
            <a:pPr>
              <a:defRPr sz="850" b="0" i="0" u="none" strike="noStrike" baseline="0">
                <a:solidFill>
                  <a:srgbClr val="000000"/>
                </a:solidFill>
                <a:latin typeface="Arial"/>
                <a:ea typeface="Arial"/>
                <a:cs typeface="Arial"/>
              </a:defRPr>
            </a:pPr>
            <a:endParaRPr lang="it-IT"/>
          </a:p>
        </c:txPr>
        <c:crossAx val="1"/>
        <c:crosses val="autoZero"/>
        <c:auto val="1"/>
        <c:lblAlgn val="ctr"/>
        <c:lblOffset val="100"/>
        <c:noMultiLvlLbl val="0"/>
      </c:catAx>
      <c:valAx>
        <c:axId val="1"/>
        <c:scaling>
          <c:orientation val="minMax"/>
        </c:scaling>
        <c:delete val="0"/>
        <c:axPos val="l"/>
        <c:title>
          <c:tx>
            <c:rich>
              <a:bodyPr/>
              <a:lstStyle/>
              <a:p>
                <a:pPr>
                  <a:defRPr sz="1400" b="1" i="1" u="none" strike="noStrike" baseline="0">
                    <a:solidFill>
                      <a:srgbClr val="000000"/>
                    </a:solidFill>
                    <a:latin typeface="Arial"/>
                    <a:ea typeface="Arial"/>
                    <a:cs typeface="Arial"/>
                  </a:defRPr>
                </a:pPr>
                <a:r>
                  <a:rPr lang="it-IT" sz="1400"/>
                  <a:t>% of cases</a:t>
                </a:r>
              </a:p>
            </c:rich>
          </c:tx>
          <c:layout>
            <c:manualLayout>
              <c:xMode val="edge"/>
              <c:yMode val="edge"/>
              <c:x val="2.6462454030139877E-2"/>
              <c:y val="0.3577082865416223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75" b="0" i="0" u="none" strike="noStrike" baseline="0">
                <a:solidFill>
                  <a:srgbClr val="000000"/>
                </a:solidFill>
                <a:latin typeface="Arial"/>
                <a:ea typeface="Arial"/>
                <a:cs typeface="Arial"/>
              </a:defRPr>
            </a:pPr>
            <a:endParaRPr lang="it-IT"/>
          </a:p>
        </c:txPr>
        <c:crossAx val="1290526095"/>
        <c:crosses val="autoZero"/>
        <c:crossBetween val="between"/>
      </c:valAx>
      <c:spPr>
        <a:noFill/>
        <a:ln w="25400">
          <a:noFill/>
        </a:ln>
      </c:spPr>
    </c:plotArea>
    <c:legend>
      <c:legendPos val="r"/>
      <c:overlay val="0"/>
    </c:legend>
    <c:plotVisOnly val="1"/>
    <c:dispBlanksAs val="gap"/>
    <c:showDLblsOverMax val="0"/>
  </c:chart>
  <c:spPr>
    <a:solidFill>
      <a:srgbClr val="FFFFFF"/>
    </a:solidFill>
    <a:ln w="3175">
      <a:noFill/>
      <a:prstDash val="solid"/>
    </a:ln>
  </c:spPr>
  <c:txPr>
    <a:bodyPr/>
    <a:lstStyle/>
    <a:p>
      <a:pPr>
        <a:defRPr sz="1075" b="0" i="0" u="none" strike="noStrike" baseline="0">
          <a:solidFill>
            <a:srgbClr val="000000"/>
          </a:solidFill>
          <a:latin typeface="Arial"/>
          <a:ea typeface="Arial"/>
          <a:cs typeface="Arial"/>
        </a:defRPr>
      </a:pPr>
      <a:endParaRPr lang="it-IT"/>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4711679655513"/>
          <c:y val="6.521753290537867E-2"/>
          <c:w val="0.8314781608417634"/>
          <c:h val="0.75691863947757665"/>
        </c:manualLayout>
      </c:layout>
      <c:barChart>
        <c:barDir val="col"/>
        <c:grouping val="clustered"/>
        <c:varyColors val="0"/>
        <c:ser>
          <c:idx val="0"/>
          <c:order val="0"/>
          <c:tx>
            <c:strRef>
              <c:f>'30Jun24'!$Z$127</c:f>
              <c:strCache>
                <c:ptCount val="1"/>
                <c:pt idx="0">
                  <c:v>Hybrid</c:v>
                </c:pt>
              </c:strCache>
            </c:strRef>
          </c:tx>
          <c:spPr>
            <a:solidFill>
              <a:srgbClr val="002060"/>
            </a:solidFill>
            <a:ln>
              <a:solidFill>
                <a:schemeClr val="bg1"/>
              </a:solidFill>
            </a:ln>
          </c:spPr>
          <c:invertIfNegative val="0"/>
          <c:cat>
            <c:numRef>
              <c:f>'30Jun24'!$AA$130:$AA$148</c:f>
              <c:numCache>
                <c:formatCode>0.00</c:formatCode>
                <c:ptCount val="19"/>
                <c:pt idx="0">
                  <c:v>-78.259451418494052</c:v>
                </c:pt>
                <c:pt idx="1">
                  <c:v>-69.563956816439173</c:v>
                </c:pt>
                <c:pt idx="2">
                  <c:v>-60.868462214384273</c:v>
                </c:pt>
                <c:pt idx="3">
                  <c:v>-52.17296761232938</c:v>
                </c:pt>
                <c:pt idx="4">
                  <c:v>-43.47747301027448</c:v>
                </c:pt>
                <c:pt idx="5">
                  <c:v>-34.781978408219587</c:v>
                </c:pt>
                <c:pt idx="6">
                  <c:v>-26.086483806164686</c:v>
                </c:pt>
                <c:pt idx="7">
                  <c:v>-17.390989204109793</c:v>
                </c:pt>
                <c:pt idx="8">
                  <c:v>-8.6954946020548949</c:v>
                </c:pt>
                <c:pt idx="9">
                  <c:v>0</c:v>
                </c:pt>
                <c:pt idx="10">
                  <c:v>8.6954946020548984</c:v>
                </c:pt>
                <c:pt idx="11">
                  <c:v>17.390989204109793</c:v>
                </c:pt>
                <c:pt idx="12">
                  <c:v>26.086483806164694</c:v>
                </c:pt>
                <c:pt idx="13">
                  <c:v>34.781978408219587</c:v>
                </c:pt>
                <c:pt idx="14">
                  <c:v>43.477473010274487</c:v>
                </c:pt>
                <c:pt idx="15">
                  <c:v>52.17296761232938</c:v>
                </c:pt>
                <c:pt idx="16">
                  <c:v>60.868462214384273</c:v>
                </c:pt>
                <c:pt idx="17">
                  <c:v>69.563956816439173</c:v>
                </c:pt>
                <c:pt idx="18">
                  <c:v>78.259451418494052</c:v>
                </c:pt>
              </c:numCache>
            </c:numRef>
          </c:cat>
          <c:val>
            <c:numRef>
              <c:f>'30Jun24'!$AB$130:$AB$148</c:f>
              <c:numCache>
                <c:formatCode>0.000%</c:formatCode>
                <c:ptCount val="19"/>
                <c:pt idx="0">
                  <c:v>0</c:v>
                </c:pt>
                <c:pt idx="1">
                  <c:v>0</c:v>
                </c:pt>
                <c:pt idx="2">
                  <c:v>0</c:v>
                </c:pt>
                <c:pt idx="3">
                  <c:v>1.8132664377165122E-2</c:v>
                </c:pt>
                <c:pt idx="4">
                  <c:v>1.5970965959081061E-2</c:v>
                </c:pt>
                <c:pt idx="5">
                  <c:v>9.1210271661284481E-3</c:v>
                </c:pt>
                <c:pt idx="6">
                  <c:v>6.6960757228568341E-2</c:v>
                </c:pt>
                <c:pt idx="7">
                  <c:v>0.18480757414200616</c:v>
                </c:pt>
                <c:pt idx="8">
                  <c:v>0.18409588997029719</c:v>
                </c:pt>
                <c:pt idx="9">
                  <c:v>0.18062812491775765</c:v>
                </c:pt>
                <c:pt idx="10">
                  <c:v>9.146476781267443E-2</c:v>
                </c:pt>
                <c:pt idx="11">
                  <c:v>9.4731859310204683E-2</c:v>
                </c:pt>
                <c:pt idx="12">
                  <c:v>8.1978024080619966E-2</c:v>
                </c:pt>
                <c:pt idx="13">
                  <c:v>2.955388171837205E-2</c:v>
                </c:pt>
                <c:pt idx="14">
                  <c:v>1.0639387214495564E-2</c:v>
                </c:pt>
                <c:pt idx="15">
                  <c:v>9.7665270923513146E-3</c:v>
                </c:pt>
                <c:pt idx="16">
                  <c:v>1.1758626571606624E-2</c:v>
                </c:pt>
                <c:pt idx="17">
                  <c:v>1.0389922438671612E-2</c:v>
                </c:pt>
                <c:pt idx="18">
                  <c:v>0</c:v>
                </c:pt>
              </c:numCache>
            </c:numRef>
          </c:val>
          <c:extLst>
            <c:ext xmlns:c16="http://schemas.microsoft.com/office/drawing/2014/chart" uri="{C3380CC4-5D6E-409C-BE32-E72D297353CC}">
              <c16:uniqueId val="{00000000-5A51-472A-AE3B-5D1525B4F25C}"/>
            </c:ext>
          </c:extLst>
        </c:ser>
        <c:dLbls>
          <c:showLegendKey val="0"/>
          <c:showVal val="0"/>
          <c:showCatName val="0"/>
          <c:showSerName val="0"/>
          <c:showPercent val="0"/>
          <c:showBubbleSize val="0"/>
        </c:dLbls>
        <c:gapWidth val="0"/>
        <c:axId val="1290526095"/>
        <c:axId val="1"/>
      </c:barChart>
      <c:lineChart>
        <c:grouping val="standard"/>
        <c:varyColors val="0"/>
        <c:ser>
          <c:idx val="1"/>
          <c:order val="1"/>
          <c:tx>
            <c:strRef>
              <c:f>'30Jun24'!$AU$127</c:f>
              <c:strCache>
                <c:ptCount val="1"/>
                <c:pt idx="0">
                  <c:v>EWMA</c:v>
                </c:pt>
              </c:strCache>
            </c:strRef>
          </c:tx>
          <c:spPr>
            <a:ln>
              <a:solidFill>
                <a:schemeClr val="accent1">
                  <a:lumMod val="20000"/>
                  <a:lumOff val="80000"/>
                </a:schemeClr>
              </a:solidFill>
            </a:ln>
          </c:spPr>
          <c:marker>
            <c:symbol val="none"/>
          </c:marker>
          <c:cat>
            <c:numRef>
              <c:f>'30Jun24'!$AA$130:$AA$148</c:f>
              <c:numCache>
                <c:formatCode>0.00</c:formatCode>
                <c:ptCount val="19"/>
                <c:pt idx="0">
                  <c:v>-78.259451418494052</c:v>
                </c:pt>
                <c:pt idx="1">
                  <c:v>-69.563956816439173</c:v>
                </c:pt>
                <c:pt idx="2">
                  <c:v>-60.868462214384273</c:v>
                </c:pt>
                <c:pt idx="3">
                  <c:v>-52.17296761232938</c:v>
                </c:pt>
                <c:pt idx="4">
                  <c:v>-43.47747301027448</c:v>
                </c:pt>
                <c:pt idx="5">
                  <c:v>-34.781978408219587</c:v>
                </c:pt>
                <c:pt idx="6">
                  <c:v>-26.086483806164686</c:v>
                </c:pt>
                <c:pt idx="7">
                  <c:v>-17.390989204109793</c:v>
                </c:pt>
                <c:pt idx="8">
                  <c:v>-8.6954946020548949</c:v>
                </c:pt>
                <c:pt idx="9">
                  <c:v>0</c:v>
                </c:pt>
                <c:pt idx="10">
                  <c:v>8.6954946020548984</c:v>
                </c:pt>
                <c:pt idx="11">
                  <c:v>17.390989204109793</c:v>
                </c:pt>
                <c:pt idx="12">
                  <c:v>26.086483806164694</c:v>
                </c:pt>
                <c:pt idx="13">
                  <c:v>34.781978408219587</c:v>
                </c:pt>
                <c:pt idx="14">
                  <c:v>43.477473010274487</c:v>
                </c:pt>
                <c:pt idx="15">
                  <c:v>52.17296761232938</c:v>
                </c:pt>
                <c:pt idx="16">
                  <c:v>60.868462214384273</c:v>
                </c:pt>
                <c:pt idx="17">
                  <c:v>69.563956816439173</c:v>
                </c:pt>
                <c:pt idx="18">
                  <c:v>78.259451418494052</c:v>
                </c:pt>
              </c:numCache>
            </c:numRef>
          </c:cat>
          <c:val>
            <c:numRef>
              <c:f>'30Jun24'!$AV$130:$AV$148</c:f>
              <c:numCache>
                <c:formatCode>0.00%</c:formatCode>
                <c:ptCount val="19"/>
                <c:pt idx="0">
                  <c:v>2.6458122175176138E-4</c:v>
                </c:pt>
                <c:pt idx="1">
                  <c:v>1.012968765953214E-3</c:v>
                </c:pt>
                <c:pt idx="2">
                  <c:v>3.3112899920886537E-3</c:v>
                </c:pt>
                <c:pt idx="3">
                  <c:v>9.2422594897798721E-3</c:v>
                </c:pt>
                <c:pt idx="4">
                  <c:v>2.2026871599427188E-2</c:v>
                </c:pt>
                <c:pt idx="5">
                  <c:v>4.4826340120845243E-2</c:v>
                </c:pt>
                <c:pt idx="6">
                  <c:v>7.7898594697686077E-2</c:v>
                </c:pt>
                <c:pt idx="7">
                  <c:v>0.11559786381861648</c:v>
                </c:pt>
                <c:pt idx="8">
                  <c:v>0.14648717281082341</c:v>
                </c:pt>
                <c:pt idx="9">
                  <c:v>0.15851941887820609</c:v>
                </c:pt>
                <c:pt idx="10">
                  <c:v>0.14648717281082335</c:v>
                </c:pt>
                <c:pt idx="11">
                  <c:v>0.11559786381861659</c:v>
                </c:pt>
                <c:pt idx="12">
                  <c:v>7.7898594697685897E-2</c:v>
                </c:pt>
                <c:pt idx="13">
                  <c:v>4.4826340120845298E-2</c:v>
                </c:pt>
                <c:pt idx="14">
                  <c:v>2.2026871599427178E-2</c:v>
                </c:pt>
                <c:pt idx="15">
                  <c:v>9.2422594897798582E-3</c:v>
                </c:pt>
                <c:pt idx="16">
                  <c:v>3.3112899920886285E-3</c:v>
                </c:pt>
                <c:pt idx="17">
                  <c:v>1.0129687659532483E-3</c:v>
                </c:pt>
                <c:pt idx="18">
                  <c:v>2.6458122175176957E-4</c:v>
                </c:pt>
              </c:numCache>
            </c:numRef>
          </c:val>
          <c:smooth val="1"/>
          <c:extLst>
            <c:ext xmlns:c16="http://schemas.microsoft.com/office/drawing/2014/chart" uri="{C3380CC4-5D6E-409C-BE32-E72D297353CC}">
              <c16:uniqueId val="{00000001-5A51-472A-AE3B-5D1525B4F25C}"/>
            </c:ext>
          </c:extLst>
        </c:ser>
        <c:dLbls>
          <c:showLegendKey val="0"/>
          <c:showVal val="0"/>
          <c:showCatName val="0"/>
          <c:showSerName val="0"/>
          <c:showPercent val="0"/>
          <c:showBubbleSize val="0"/>
        </c:dLbls>
        <c:marker val="1"/>
        <c:smooth val="0"/>
        <c:axId val="1290526095"/>
        <c:axId val="1"/>
      </c:lineChart>
      <c:catAx>
        <c:axId val="1290526095"/>
        <c:scaling>
          <c:orientation val="minMax"/>
        </c:scaling>
        <c:delete val="0"/>
        <c:axPos val="b"/>
        <c:title>
          <c:tx>
            <c:rich>
              <a:bodyPr/>
              <a:lstStyle/>
              <a:p>
                <a:pPr>
                  <a:defRPr sz="1075" b="1" i="1" u="none" strike="noStrike" baseline="0">
                    <a:solidFill>
                      <a:srgbClr val="000000"/>
                    </a:solidFill>
                    <a:latin typeface="Arial"/>
                    <a:ea typeface="Arial"/>
                    <a:cs typeface="Arial"/>
                  </a:defRPr>
                </a:pPr>
                <a:r>
                  <a:rPr lang="it-IT"/>
                  <a:t>Changes in the portfolio'</a:t>
                </a:r>
                <a:r>
                  <a:rPr lang="it-IT" baseline="0"/>
                  <a:t>s value in one week</a:t>
                </a:r>
                <a:endParaRPr lang="it-IT"/>
              </a:p>
            </c:rich>
          </c:tx>
          <c:layout>
            <c:manualLayout>
              <c:xMode val="edge"/>
              <c:yMode val="edge"/>
              <c:x val="0.33185727996243852"/>
              <c:y val="0.90316394755306795"/>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5400000" vert="horz"/>
          <a:lstStyle/>
          <a:p>
            <a:pPr>
              <a:defRPr sz="850" b="0" i="0" u="none" strike="noStrike" baseline="0">
                <a:solidFill>
                  <a:srgbClr val="000000"/>
                </a:solidFill>
                <a:latin typeface="Arial"/>
                <a:ea typeface="Arial"/>
                <a:cs typeface="Arial"/>
              </a:defRPr>
            </a:pPr>
            <a:endParaRPr lang="it-IT"/>
          </a:p>
        </c:txPr>
        <c:crossAx val="1"/>
        <c:crosses val="autoZero"/>
        <c:auto val="1"/>
        <c:lblAlgn val="ctr"/>
        <c:lblOffset val="100"/>
        <c:noMultiLvlLbl val="0"/>
      </c:catAx>
      <c:valAx>
        <c:axId val="1"/>
        <c:scaling>
          <c:orientation val="minMax"/>
        </c:scaling>
        <c:delete val="0"/>
        <c:axPos val="l"/>
        <c:title>
          <c:tx>
            <c:rich>
              <a:bodyPr/>
              <a:lstStyle/>
              <a:p>
                <a:pPr>
                  <a:defRPr sz="1400" b="1" i="1" u="none" strike="noStrike" baseline="0">
                    <a:solidFill>
                      <a:srgbClr val="000000"/>
                    </a:solidFill>
                    <a:latin typeface="Arial"/>
                    <a:ea typeface="Arial"/>
                    <a:cs typeface="Arial"/>
                  </a:defRPr>
                </a:pPr>
                <a:r>
                  <a:rPr lang="it-IT" sz="1400"/>
                  <a:t>% of cases</a:t>
                </a:r>
              </a:p>
            </c:rich>
          </c:tx>
          <c:layout>
            <c:manualLayout>
              <c:xMode val="edge"/>
              <c:yMode val="edge"/>
              <c:x val="2.6462454030139877E-2"/>
              <c:y val="0.3577082865416223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75" b="0" i="0" u="none" strike="noStrike" baseline="0">
                <a:solidFill>
                  <a:srgbClr val="000000"/>
                </a:solidFill>
                <a:latin typeface="Arial"/>
                <a:ea typeface="Arial"/>
                <a:cs typeface="Arial"/>
              </a:defRPr>
            </a:pPr>
            <a:endParaRPr lang="it-IT"/>
          </a:p>
        </c:txPr>
        <c:crossAx val="1290526095"/>
        <c:crosses val="autoZero"/>
        <c:crossBetween val="between"/>
      </c:valAx>
      <c:spPr>
        <a:noFill/>
        <a:ln w="25400">
          <a:noFill/>
        </a:ln>
      </c:spPr>
    </c:plotArea>
    <c:legend>
      <c:legendPos val="r"/>
      <c:overlay val="0"/>
    </c:legend>
    <c:plotVisOnly val="1"/>
    <c:dispBlanksAs val="gap"/>
    <c:showDLblsOverMax val="0"/>
  </c:chart>
  <c:spPr>
    <a:solidFill>
      <a:srgbClr val="FFFFFF"/>
    </a:solidFill>
    <a:ln w="3175">
      <a:noFill/>
      <a:prstDash val="solid"/>
    </a:ln>
  </c:spPr>
  <c:txPr>
    <a:bodyPr/>
    <a:lstStyle/>
    <a:p>
      <a:pPr>
        <a:defRPr sz="1075" b="0" i="0" u="none" strike="noStrike" baseline="0">
          <a:solidFill>
            <a:srgbClr val="000000"/>
          </a:solidFill>
          <a:latin typeface="Arial"/>
          <a:ea typeface="Arial"/>
          <a:cs typeface="Arial"/>
        </a:defRPr>
      </a:pPr>
      <a:endParaRPr lang="it-IT"/>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4711679655513"/>
          <c:y val="6.521753290537867E-2"/>
          <c:w val="0.8314781608417634"/>
          <c:h val="0.75691863947757665"/>
        </c:manualLayout>
      </c:layout>
      <c:barChart>
        <c:barDir val="col"/>
        <c:grouping val="clustered"/>
        <c:varyColors val="0"/>
        <c:ser>
          <c:idx val="0"/>
          <c:order val="0"/>
          <c:tx>
            <c:strRef>
              <c:f>'30Sep24'!$Z$127</c:f>
              <c:strCache>
                <c:ptCount val="1"/>
                <c:pt idx="0">
                  <c:v>Hybrid</c:v>
                </c:pt>
              </c:strCache>
            </c:strRef>
          </c:tx>
          <c:spPr>
            <a:solidFill>
              <a:srgbClr val="002060"/>
            </a:solidFill>
            <a:ln>
              <a:solidFill>
                <a:schemeClr val="bg1"/>
              </a:solidFill>
            </a:ln>
          </c:spPr>
          <c:invertIfNegative val="0"/>
          <c:cat>
            <c:numRef>
              <c:f>'30Sep24'!$AA$130:$AA$148</c:f>
              <c:numCache>
                <c:formatCode>0.00</c:formatCode>
                <c:ptCount val="19"/>
                <c:pt idx="0">
                  <c:v>-76.541095873676284</c:v>
                </c:pt>
                <c:pt idx="1">
                  <c:v>-68.036529665490036</c:v>
                </c:pt>
                <c:pt idx="2">
                  <c:v>-59.531963457303775</c:v>
                </c:pt>
                <c:pt idx="3">
                  <c:v>-51.027397249117527</c:v>
                </c:pt>
                <c:pt idx="4">
                  <c:v>-42.522831040931266</c:v>
                </c:pt>
                <c:pt idx="5">
                  <c:v>-34.018264832745018</c:v>
                </c:pt>
                <c:pt idx="6">
                  <c:v>-25.51369862455876</c:v>
                </c:pt>
                <c:pt idx="7">
                  <c:v>-17.009132416372506</c:v>
                </c:pt>
                <c:pt idx="8">
                  <c:v>-8.504566208186251</c:v>
                </c:pt>
                <c:pt idx="9">
                  <c:v>0</c:v>
                </c:pt>
                <c:pt idx="10">
                  <c:v>8.5045662081862545</c:v>
                </c:pt>
                <c:pt idx="11">
                  <c:v>17.009132416372506</c:v>
                </c:pt>
                <c:pt idx="12">
                  <c:v>25.51369862455876</c:v>
                </c:pt>
                <c:pt idx="13">
                  <c:v>34.018264832745018</c:v>
                </c:pt>
                <c:pt idx="14">
                  <c:v>42.522831040931266</c:v>
                </c:pt>
                <c:pt idx="15">
                  <c:v>51.027397249117527</c:v>
                </c:pt>
                <c:pt idx="16">
                  <c:v>59.531963457303775</c:v>
                </c:pt>
                <c:pt idx="17">
                  <c:v>68.036529665490036</c:v>
                </c:pt>
                <c:pt idx="18">
                  <c:v>76.541095873676284</c:v>
                </c:pt>
              </c:numCache>
            </c:numRef>
          </c:cat>
          <c:val>
            <c:numRef>
              <c:f>'30Sep24'!$AB$130:$AB$148</c:f>
              <c:numCache>
                <c:formatCode>0.000%</c:formatCode>
                <c:ptCount val="19"/>
                <c:pt idx="0">
                  <c:v>0</c:v>
                </c:pt>
                <c:pt idx="1">
                  <c:v>0</c:v>
                </c:pt>
                <c:pt idx="2">
                  <c:v>0</c:v>
                </c:pt>
                <c:pt idx="3">
                  <c:v>7.6252058701651131E-3</c:v>
                </c:pt>
                <c:pt idx="4">
                  <c:v>0</c:v>
                </c:pt>
                <c:pt idx="5">
                  <c:v>5.5961692597422674E-3</c:v>
                </c:pt>
                <c:pt idx="6">
                  <c:v>1.6898623155061458E-2</c:v>
                </c:pt>
                <c:pt idx="7">
                  <c:v>8.5650261767689001E-2</c:v>
                </c:pt>
                <c:pt idx="8">
                  <c:v>7.2354348289204021E-2</c:v>
                </c:pt>
                <c:pt idx="9">
                  <c:v>0.24308193742036779</c:v>
                </c:pt>
                <c:pt idx="10">
                  <c:v>0.13055057346469856</c:v>
                </c:pt>
                <c:pt idx="11">
                  <c:v>0.12873923601611864</c:v>
                </c:pt>
                <c:pt idx="12">
                  <c:v>9.5865785854069241E-2</c:v>
                </c:pt>
                <c:pt idx="13">
                  <c:v>7.1181411571950362E-2</c:v>
                </c:pt>
                <c:pt idx="14">
                  <c:v>9.5042257920074313E-2</c:v>
                </c:pt>
                <c:pt idx="15">
                  <c:v>3.8100210923423417E-2</c:v>
                </c:pt>
                <c:pt idx="16">
                  <c:v>9.3139784874360122E-3</c:v>
                </c:pt>
                <c:pt idx="17">
                  <c:v>0</c:v>
                </c:pt>
                <c:pt idx="18">
                  <c:v>0</c:v>
                </c:pt>
              </c:numCache>
            </c:numRef>
          </c:val>
          <c:extLst>
            <c:ext xmlns:c16="http://schemas.microsoft.com/office/drawing/2014/chart" uri="{C3380CC4-5D6E-409C-BE32-E72D297353CC}">
              <c16:uniqueId val="{00000000-26AC-413F-8CF7-13AECB108E81}"/>
            </c:ext>
          </c:extLst>
        </c:ser>
        <c:dLbls>
          <c:showLegendKey val="0"/>
          <c:showVal val="0"/>
          <c:showCatName val="0"/>
          <c:showSerName val="0"/>
          <c:showPercent val="0"/>
          <c:showBubbleSize val="0"/>
        </c:dLbls>
        <c:gapWidth val="0"/>
        <c:axId val="1290526095"/>
        <c:axId val="1"/>
      </c:barChart>
      <c:lineChart>
        <c:grouping val="standard"/>
        <c:varyColors val="0"/>
        <c:ser>
          <c:idx val="1"/>
          <c:order val="1"/>
          <c:tx>
            <c:strRef>
              <c:f>'30Sep24'!$AU$127</c:f>
              <c:strCache>
                <c:ptCount val="1"/>
                <c:pt idx="0">
                  <c:v>EWMA</c:v>
                </c:pt>
              </c:strCache>
            </c:strRef>
          </c:tx>
          <c:spPr>
            <a:ln>
              <a:solidFill>
                <a:schemeClr val="accent1">
                  <a:lumMod val="20000"/>
                  <a:lumOff val="80000"/>
                </a:schemeClr>
              </a:solidFill>
            </a:ln>
          </c:spPr>
          <c:marker>
            <c:symbol val="none"/>
          </c:marker>
          <c:cat>
            <c:numRef>
              <c:f>'30Sep24'!$AA$130:$AA$148</c:f>
              <c:numCache>
                <c:formatCode>0.00</c:formatCode>
                <c:ptCount val="19"/>
                <c:pt idx="0">
                  <c:v>-76.541095873676284</c:v>
                </c:pt>
                <c:pt idx="1">
                  <c:v>-68.036529665490036</c:v>
                </c:pt>
                <c:pt idx="2">
                  <c:v>-59.531963457303775</c:v>
                </c:pt>
                <c:pt idx="3">
                  <c:v>-51.027397249117527</c:v>
                </c:pt>
                <c:pt idx="4">
                  <c:v>-42.522831040931266</c:v>
                </c:pt>
                <c:pt idx="5">
                  <c:v>-34.018264832745018</c:v>
                </c:pt>
                <c:pt idx="6">
                  <c:v>-25.51369862455876</c:v>
                </c:pt>
                <c:pt idx="7">
                  <c:v>-17.009132416372506</c:v>
                </c:pt>
                <c:pt idx="8">
                  <c:v>-8.504566208186251</c:v>
                </c:pt>
                <c:pt idx="9">
                  <c:v>0</c:v>
                </c:pt>
                <c:pt idx="10">
                  <c:v>8.5045662081862545</c:v>
                </c:pt>
                <c:pt idx="11">
                  <c:v>17.009132416372506</c:v>
                </c:pt>
                <c:pt idx="12">
                  <c:v>25.51369862455876</c:v>
                </c:pt>
                <c:pt idx="13">
                  <c:v>34.018264832745018</c:v>
                </c:pt>
                <c:pt idx="14">
                  <c:v>42.522831040931266</c:v>
                </c:pt>
                <c:pt idx="15">
                  <c:v>51.027397249117527</c:v>
                </c:pt>
                <c:pt idx="16">
                  <c:v>59.531963457303775</c:v>
                </c:pt>
                <c:pt idx="17">
                  <c:v>68.036529665490036</c:v>
                </c:pt>
                <c:pt idx="18">
                  <c:v>76.541095873676284</c:v>
                </c:pt>
              </c:numCache>
            </c:numRef>
          </c:cat>
          <c:val>
            <c:numRef>
              <c:f>'30Sep24'!$AV$130:$AV$148</c:f>
              <c:numCache>
                <c:formatCode>0.00%</c:formatCode>
                <c:ptCount val="19"/>
                <c:pt idx="0">
                  <c:v>2.6458122175176003E-4</c:v>
                </c:pt>
                <c:pt idx="1">
                  <c:v>1.0129687659532136E-3</c:v>
                </c:pt>
                <c:pt idx="2">
                  <c:v>3.3112899920886545E-3</c:v>
                </c:pt>
                <c:pt idx="3">
                  <c:v>9.2422594897798496E-3</c:v>
                </c:pt>
                <c:pt idx="4">
                  <c:v>2.2026871599427192E-2</c:v>
                </c:pt>
                <c:pt idx="5">
                  <c:v>4.4826340120845236E-2</c:v>
                </c:pt>
                <c:pt idx="6">
                  <c:v>7.7898594697685966E-2</c:v>
                </c:pt>
                <c:pt idx="7">
                  <c:v>0.11559786381861656</c:v>
                </c:pt>
                <c:pt idx="8">
                  <c:v>0.14648717281082341</c:v>
                </c:pt>
                <c:pt idx="9">
                  <c:v>0.15851941887820603</c:v>
                </c:pt>
                <c:pt idx="10">
                  <c:v>0.14648717281082346</c:v>
                </c:pt>
                <c:pt idx="11">
                  <c:v>0.11559786381861659</c:v>
                </c:pt>
                <c:pt idx="12">
                  <c:v>7.7898594697685897E-2</c:v>
                </c:pt>
                <c:pt idx="13">
                  <c:v>4.4826340120845298E-2</c:v>
                </c:pt>
                <c:pt idx="14">
                  <c:v>2.2026871599427178E-2</c:v>
                </c:pt>
                <c:pt idx="15">
                  <c:v>9.2422594897798582E-3</c:v>
                </c:pt>
                <c:pt idx="16">
                  <c:v>3.3112899920886285E-3</c:v>
                </c:pt>
                <c:pt idx="17">
                  <c:v>1.0129687659532483E-3</c:v>
                </c:pt>
                <c:pt idx="18">
                  <c:v>2.6458122175176957E-4</c:v>
                </c:pt>
              </c:numCache>
            </c:numRef>
          </c:val>
          <c:smooth val="1"/>
          <c:extLst>
            <c:ext xmlns:c16="http://schemas.microsoft.com/office/drawing/2014/chart" uri="{C3380CC4-5D6E-409C-BE32-E72D297353CC}">
              <c16:uniqueId val="{00000001-26AC-413F-8CF7-13AECB108E81}"/>
            </c:ext>
          </c:extLst>
        </c:ser>
        <c:dLbls>
          <c:showLegendKey val="0"/>
          <c:showVal val="0"/>
          <c:showCatName val="0"/>
          <c:showSerName val="0"/>
          <c:showPercent val="0"/>
          <c:showBubbleSize val="0"/>
        </c:dLbls>
        <c:marker val="1"/>
        <c:smooth val="0"/>
        <c:axId val="1290526095"/>
        <c:axId val="1"/>
      </c:lineChart>
      <c:catAx>
        <c:axId val="1290526095"/>
        <c:scaling>
          <c:orientation val="minMax"/>
        </c:scaling>
        <c:delete val="0"/>
        <c:axPos val="b"/>
        <c:title>
          <c:tx>
            <c:rich>
              <a:bodyPr/>
              <a:lstStyle/>
              <a:p>
                <a:pPr>
                  <a:defRPr sz="1075" b="1" i="1" u="none" strike="noStrike" baseline="0">
                    <a:solidFill>
                      <a:srgbClr val="000000"/>
                    </a:solidFill>
                    <a:latin typeface="Arial"/>
                    <a:ea typeface="Arial"/>
                    <a:cs typeface="Arial"/>
                  </a:defRPr>
                </a:pPr>
                <a:r>
                  <a:rPr lang="it-IT"/>
                  <a:t>Changes in the portfolio'</a:t>
                </a:r>
                <a:r>
                  <a:rPr lang="it-IT" baseline="0"/>
                  <a:t>s value in one week</a:t>
                </a:r>
                <a:endParaRPr lang="it-IT"/>
              </a:p>
            </c:rich>
          </c:tx>
          <c:layout>
            <c:manualLayout>
              <c:xMode val="edge"/>
              <c:yMode val="edge"/>
              <c:x val="0.33185727996243852"/>
              <c:y val="0.9031639475530679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5400000" vert="horz"/>
          <a:lstStyle/>
          <a:p>
            <a:pPr>
              <a:defRPr sz="850" b="0" i="0" u="none" strike="noStrike" baseline="0">
                <a:solidFill>
                  <a:srgbClr val="000000"/>
                </a:solidFill>
                <a:latin typeface="Arial"/>
                <a:ea typeface="Arial"/>
                <a:cs typeface="Arial"/>
              </a:defRPr>
            </a:pPr>
            <a:endParaRPr lang="it-IT"/>
          </a:p>
        </c:txPr>
        <c:crossAx val="1"/>
        <c:crosses val="autoZero"/>
        <c:auto val="1"/>
        <c:lblAlgn val="ctr"/>
        <c:lblOffset val="100"/>
        <c:noMultiLvlLbl val="0"/>
      </c:catAx>
      <c:valAx>
        <c:axId val="1"/>
        <c:scaling>
          <c:orientation val="minMax"/>
        </c:scaling>
        <c:delete val="0"/>
        <c:axPos val="l"/>
        <c:title>
          <c:tx>
            <c:rich>
              <a:bodyPr/>
              <a:lstStyle/>
              <a:p>
                <a:pPr>
                  <a:defRPr sz="1400" b="1" i="1" u="none" strike="noStrike" baseline="0">
                    <a:solidFill>
                      <a:srgbClr val="000000"/>
                    </a:solidFill>
                    <a:latin typeface="Arial"/>
                    <a:ea typeface="Arial"/>
                    <a:cs typeface="Arial"/>
                  </a:defRPr>
                </a:pPr>
                <a:r>
                  <a:rPr lang="it-IT" sz="1400"/>
                  <a:t>% of cases</a:t>
                </a:r>
              </a:p>
            </c:rich>
          </c:tx>
          <c:layout>
            <c:manualLayout>
              <c:xMode val="edge"/>
              <c:yMode val="edge"/>
              <c:x val="2.6462454030139877E-2"/>
              <c:y val="0.3577082865416223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75" b="0" i="0" u="none" strike="noStrike" baseline="0">
                <a:solidFill>
                  <a:srgbClr val="000000"/>
                </a:solidFill>
                <a:latin typeface="Arial"/>
                <a:ea typeface="Arial"/>
                <a:cs typeface="Arial"/>
              </a:defRPr>
            </a:pPr>
            <a:endParaRPr lang="it-IT"/>
          </a:p>
        </c:txPr>
        <c:crossAx val="1290526095"/>
        <c:crosses val="autoZero"/>
        <c:crossBetween val="between"/>
      </c:valAx>
      <c:spPr>
        <a:noFill/>
        <a:ln w="25400">
          <a:noFill/>
        </a:ln>
      </c:spPr>
    </c:plotArea>
    <c:legend>
      <c:legendPos val="r"/>
      <c:overlay val="0"/>
    </c:legend>
    <c:plotVisOnly val="1"/>
    <c:dispBlanksAs val="gap"/>
    <c:showDLblsOverMax val="0"/>
  </c:chart>
  <c:spPr>
    <a:solidFill>
      <a:srgbClr val="FFFFFF"/>
    </a:solidFill>
    <a:ln w="3175">
      <a:noFill/>
      <a:prstDash val="solid"/>
    </a:ln>
  </c:spPr>
  <c:txPr>
    <a:bodyPr/>
    <a:lstStyle/>
    <a:p>
      <a:pPr>
        <a:defRPr sz="1075" b="0" i="0" u="none" strike="noStrike" baseline="0">
          <a:solidFill>
            <a:srgbClr val="000000"/>
          </a:solidFill>
          <a:latin typeface="Arial"/>
          <a:ea typeface="Arial"/>
          <a:cs typeface="Arial"/>
        </a:defRPr>
      </a:pPr>
      <a:endParaRPr lang="it-IT"/>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4711679655513"/>
          <c:y val="6.521753290537867E-2"/>
          <c:w val="0.8314781608417634"/>
          <c:h val="0.75691863947757665"/>
        </c:manualLayout>
      </c:layout>
      <c:barChart>
        <c:barDir val="col"/>
        <c:grouping val="clustered"/>
        <c:varyColors val="0"/>
        <c:ser>
          <c:idx val="0"/>
          <c:order val="0"/>
          <c:tx>
            <c:strRef>
              <c:f>'31Dec24'!$Z$128</c:f>
              <c:strCache>
                <c:ptCount val="1"/>
                <c:pt idx="0">
                  <c:v>Hybrid</c:v>
                </c:pt>
              </c:strCache>
            </c:strRef>
          </c:tx>
          <c:spPr>
            <a:solidFill>
              <a:srgbClr val="002060"/>
            </a:solidFill>
            <a:ln>
              <a:solidFill>
                <a:schemeClr val="bg1"/>
              </a:solidFill>
            </a:ln>
          </c:spPr>
          <c:invertIfNegative val="0"/>
          <c:cat>
            <c:numRef>
              <c:f>'31Dec24'!$AA$131:$AA$149</c:f>
              <c:numCache>
                <c:formatCode>0.00</c:formatCode>
                <c:ptCount val="19"/>
                <c:pt idx="0">
                  <c:v>-69.356140475049585</c:v>
                </c:pt>
                <c:pt idx="1">
                  <c:v>-61.64990264448852</c:v>
                </c:pt>
                <c:pt idx="2">
                  <c:v>-53.943664813927455</c:v>
                </c:pt>
                <c:pt idx="3">
                  <c:v>-46.23742698336639</c:v>
                </c:pt>
                <c:pt idx="4">
                  <c:v>-38.531189152805325</c:v>
                </c:pt>
                <c:pt idx="5">
                  <c:v>-30.82495132224426</c:v>
                </c:pt>
                <c:pt idx="6">
                  <c:v>-23.118713491683195</c:v>
                </c:pt>
                <c:pt idx="7">
                  <c:v>-15.41247566112213</c:v>
                </c:pt>
                <c:pt idx="8">
                  <c:v>-7.706237830561065</c:v>
                </c:pt>
                <c:pt idx="9">
                  <c:v>0</c:v>
                </c:pt>
                <c:pt idx="10">
                  <c:v>7.706237830561065</c:v>
                </c:pt>
                <c:pt idx="11">
                  <c:v>15.41247566112213</c:v>
                </c:pt>
                <c:pt idx="12">
                  <c:v>23.118713491683195</c:v>
                </c:pt>
                <c:pt idx="13">
                  <c:v>30.82495132224426</c:v>
                </c:pt>
                <c:pt idx="14">
                  <c:v>38.531189152805325</c:v>
                </c:pt>
                <c:pt idx="15">
                  <c:v>46.23742698336639</c:v>
                </c:pt>
                <c:pt idx="16">
                  <c:v>53.943664813927455</c:v>
                </c:pt>
                <c:pt idx="17">
                  <c:v>61.64990264448852</c:v>
                </c:pt>
                <c:pt idx="18">
                  <c:v>69.356140475049585</c:v>
                </c:pt>
              </c:numCache>
            </c:numRef>
          </c:cat>
          <c:val>
            <c:numRef>
              <c:f>'31Dec24'!$AB$131:$AB$149</c:f>
              <c:numCache>
                <c:formatCode>0.000%</c:formatCode>
                <c:ptCount val="19"/>
                <c:pt idx="0">
                  <c:v>0</c:v>
                </c:pt>
                <c:pt idx="1">
                  <c:v>0</c:v>
                </c:pt>
                <c:pt idx="2">
                  <c:v>0</c:v>
                </c:pt>
                <c:pt idx="3">
                  <c:v>0</c:v>
                </c:pt>
                <c:pt idx="4">
                  <c:v>3.315795100980079E-2</c:v>
                </c:pt>
                <c:pt idx="5">
                  <c:v>0</c:v>
                </c:pt>
                <c:pt idx="6">
                  <c:v>4.2106519282120863E-2</c:v>
                </c:pt>
                <c:pt idx="7">
                  <c:v>0.1128027171117062</c:v>
                </c:pt>
                <c:pt idx="8">
                  <c:v>0.13184755633418599</c:v>
                </c:pt>
                <c:pt idx="9">
                  <c:v>0.18799676026597797</c:v>
                </c:pt>
                <c:pt idx="10">
                  <c:v>0.10785170700336164</c:v>
                </c:pt>
                <c:pt idx="11">
                  <c:v>0.10345550286596118</c:v>
                </c:pt>
                <c:pt idx="12">
                  <c:v>0.11180193812310366</c:v>
                </c:pt>
                <c:pt idx="13">
                  <c:v>0.11268791611480106</c:v>
                </c:pt>
                <c:pt idx="14">
                  <c:v>3.9246727374445636E-2</c:v>
                </c:pt>
                <c:pt idx="15">
                  <c:v>1.7044704514535217E-2</c:v>
                </c:pt>
                <c:pt idx="16">
                  <c:v>0</c:v>
                </c:pt>
                <c:pt idx="17">
                  <c:v>0</c:v>
                </c:pt>
                <c:pt idx="18">
                  <c:v>0</c:v>
                </c:pt>
              </c:numCache>
            </c:numRef>
          </c:val>
          <c:extLst>
            <c:ext xmlns:c16="http://schemas.microsoft.com/office/drawing/2014/chart" uri="{C3380CC4-5D6E-409C-BE32-E72D297353CC}">
              <c16:uniqueId val="{00000000-DB33-4A57-A324-42E642DD54C8}"/>
            </c:ext>
          </c:extLst>
        </c:ser>
        <c:dLbls>
          <c:showLegendKey val="0"/>
          <c:showVal val="0"/>
          <c:showCatName val="0"/>
          <c:showSerName val="0"/>
          <c:showPercent val="0"/>
          <c:showBubbleSize val="0"/>
        </c:dLbls>
        <c:gapWidth val="0"/>
        <c:axId val="1290526095"/>
        <c:axId val="1"/>
      </c:barChart>
      <c:lineChart>
        <c:grouping val="standard"/>
        <c:varyColors val="0"/>
        <c:ser>
          <c:idx val="1"/>
          <c:order val="1"/>
          <c:tx>
            <c:strRef>
              <c:f>'31Dec24'!$AU$128</c:f>
              <c:strCache>
                <c:ptCount val="1"/>
                <c:pt idx="0">
                  <c:v>EWMA</c:v>
                </c:pt>
              </c:strCache>
            </c:strRef>
          </c:tx>
          <c:spPr>
            <a:ln>
              <a:solidFill>
                <a:schemeClr val="accent1">
                  <a:lumMod val="20000"/>
                  <a:lumOff val="80000"/>
                </a:schemeClr>
              </a:solidFill>
            </a:ln>
          </c:spPr>
          <c:marker>
            <c:symbol val="none"/>
          </c:marker>
          <c:cat>
            <c:numRef>
              <c:f>'31Dec24'!$AA$131:$AA$149</c:f>
              <c:numCache>
                <c:formatCode>0.00</c:formatCode>
                <c:ptCount val="19"/>
                <c:pt idx="0">
                  <c:v>-69.356140475049585</c:v>
                </c:pt>
                <c:pt idx="1">
                  <c:v>-61.64990264448852</c:v>
                </c:pt>
                <c:pt idx="2">
                  <c:v>-53.943664813927455</c:v>
                </c:pt>
                <c:pt idx="3">
                  <c:v>-46.23742698336639</c:v>
                </c:pt>
                <c:pt idx="4">
                  <c:v>-38.531189152805325</c:v>
                </c:pt>
                <c:pt idx="5">
                  <c:v>-30.82495132224426</c:v>
                </c:pt>
                <c:pt idx="6">
                  <c:v>-23.118713491683195</c:v>
                </c:pt>
                <c:pt idx="7">
                  <c:v>-15.41247566112213</c:v>
                </c:pt>
                <c:pt idx="8">
                  <c:v>-7.706237830561065</c:v>
                </c:pt>
                <c:pt idx="9">
                  <c:v>0</c:v>
                </c:pt>
                <c:pt idx="10">
                  <c:v>7.706237830561065</c:v>
                </c:pt>
                <c:pt idx="11">
                  <c:v>15.41247566112213</c:v>
                </c:pt>
                <c:pt idx="12">
                  <c:v>23.118713491683195</c:v>
                </c:pt>
                <c:pt idx="13">
                  <c:v>30.82495132224426</c:v>
                </c:pt>
                <c:pt idx="14">
                  <c:v>38.531189152805325</c:v>
                </c:pt>
                <c:pt idx="15">
                  <c:v>46.23742698336639</c:v>
                </c:pt>
                <c:pt idx="16">
                  <c:v>53.943664813927455</c:v>
                </c:pt>
                <c:pt idx="17">
                  <c:v>61.64990264448852</c:v>
                </c:pt>
                <c:pt idx="18">
                  <c:v>69.356140475049585</c:v>
                </c:pt>
              </c:numCache>
            </c:numRef>
          </c:cat>
          <c:val>
            <c:numRef>
              <c:f>'31Dec24'!$AV$131:$AV$149</c:f>
              <c:numCache>
                <c:formatCode>0.00%</c:formatCode>
                <c:ptCount val="19"/>
                <c:pt idx="0">
                  <c:v>2.6458122175176079E-4</c:v>
                </c:pt>
                <c:pt idx="1">
                  <c:v>1.0129687659532125E-3</c:v>
                </c:pt>
                <c:pt idx="2">
                  <c:v>3.3112899920886545E-3</c:v>
                </c:pt>
                <c:pt idx="3">
                  <c:v>9.2422594897798496E-3</c:v>
                </c:pt>
                <c:pt idx="4">
                  <c:v>2.2026871599427192E-2</c:v>
                </c:pt>
                <c:pt idx="5">
                  <c:v>4.4826340120845264E-2</c:v>
                </c:pt>
                <c:pt idx="6">
                  <c:v>7.7898594697685938E-2</c:v>
                </c:pt>
                <c:pt idx="7">
                  <c:v>0.11559786381861656</c:v>
                </c:pt>
                <c:pt idx="8">
                  <c:v>0.14648717281082341</c:v>
                </c:pt>
                <c:pt idx="9">
                  <c:v>0.15851941887820603</c:v>
                </c:pt>
                <c:pt idx="10">
                  <c:v>0.14648717281082346</c:v>
                </c:pt>
                <c:pt idx="11">
                  <c:v>0.11559786381861659</c:v>
                </c:pt>
                <c:pt idx="12">
                  <c:v>7.7898594697685897E-2</c:v>
                </c:pt>
                <c:pt idx="13">
                  <c:v>4.4826340120845298E-2</c:v>
                </c:pt>
                <c:pt idx="14">
                  <c:v>2.2026871599427178E-2</c:v>
                </c:pt>
                <c:pt idx="15">
                  <c:v>9.2422594897798582E-3</c:v>
                </c:pt>
                <c:pt idx="16">
                  <c:v>3.3112899920886285E-3</c:v>
                </c:pt>
                <c:pt idx="17">
                  <c:v>1.0129687659532483E-3</c:v>
                </c:pt>
                <c:pt idx="18">
                  <c:v>2.6458122175176957E-4</c:v>
                </c:pt>
              </c:numCache>
            </c:numRef>
          </c:val>
          <c:smooth val="1"/>
          <c:extLst>
            <c:ext xmlns:c16="http://schemas.microsoft.com/office/drawing/2014/chart" uri="{C3380CC4-5D6E-409C-BE32-E72D297353CC}">
              <c16:uniqueId val="{00000001-DB33-4A57-A324-42E642DD54C8}"/>
            </c:ext>
          </c:extLst>
        </c:ser>
        <c:dLbls>
          <c:showLegendKey val="0"/>
          <c:showVal val="0"/>
          <c:showCatName val="0"/>
          <c:showSerName val="0"/>
          <c:showPercent val="0"/>
          <c:showBubbleSize val="0"/>
        </c:dLbls>
        <c:marker val="1"/>
        <c:smooth val="0"/>
        <c:axId val="1290526095"/>
        <c:axId val="1"/>
      </c:lineChart>
      <c:catAx>
        <c:axId val="1290526095"/>
        <c:scaling>
          <c:orientation val="minMax"/>
        </c:scaling>
        <c:delete val="0"/>
        <c:axPos val="b"/>
        <c:title>
          <c:tx>
            <c:rich>
              <a:bodyPr/>
              <a:lstStyle/>
              <a:p>
                <a:pPr>
                  <a:defRPr sz="1075" b="1" i="1" u="none" strike="noStrike" baseline="0">
                    <a:solidFill>
                      <a:srgbClr val="000000"/>
                    </a:solidFill>
                    <a:latin typeface="Arial"/>
                    <a:ea typeface="Arial"/>
                    <a:cs typeface="Arial"/>
                  </a:defRPr>
                </a:pPr>
                <a:r>
                  <a:rPr lang="it-IT"/>
                  <a:t>Changes in the portfolio'</a:t>
                </a:r>
                <a:r>
                  <a:rPr lang="it-IT" baseline="0"/>
                  <a:t>s value in one week</a:t>
                </a:r>
                <a:endParaRPr lang="it-IT"/>
              </a:p>
            </c:rich>
          </c:tx>
          <c:layout>
            <c:manualLayout>
              <c:xMode val="edge"/>
              <c:yMode val="edge"/>
              <c:x val="0.33185727996243852"/>
              <c:y val="0.90316394755306795"/>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5400000" vert="horz"/>
          <a:lstStyle/>
          <a:p>
            <a:pPr>
              <a:defRPr sz="850" b="0" i="0" u="none" strike="noStrike" baseline="0">
                <a:solidFill>
                  <a:srgbClr val="000000"/>
                </a:solidFill>
                <a:latin typeface="Arial"/>
                <a:ea typeface="Arial"/>
                <a:cs typeface="Arial"/>
              </a:defRPr>
            </a:pPr>
            <a:endParaRPr lang="it-IT"/>
          </a:p>
        </c:txPr>
        <c:crossAx val="1"/>
        <c:crosses val="autoZero"/>
        <c:auto val="1"/>
        <c:lblAlgn val="ctr"/>
        <c:lblOffset val="100"/>
        <c:noMultiLvlLbl val="0"/>
      </c:catAx>
      <c:valAx>
        <c:axId val="1"/>
        <c:scaling>
          <c:orientation val="minMax"/>
        </c:scaling>
        <c:delete val="0"/>
        <c:axPos val="l"/>
        <c:title>
          <c:tx>
            <c:rich>
              <a:bodyPr/>
              <a:lstStyle/>
              <a:p>
                <a:pPr>
                  <a:defRPr sz="1400" b="1" i="1" u="none" strike="noStrike" baseline="0">
                    <a:solidFill>
                      <a:srgbClr val="000000"/>
                    </a:solidFill>
                    <a:latin typeface="Arial"/>
                    <a:ea typeface="Arial"/>
                    <a:cs typeface="Arial"/>
                  </a:defRPr>
                </a:pPr>
                <a:r>
                  <a:rPr lang="it-IT" sz="1400"/>
                  <a:t>% of cases</a:t>
                </a:r>
              </a:p>
            </c:rich>
          </c:tx>
          <c:layout>
            <c:manualLayout>
              <c:xMode val="edge"/>
              <c:yMode val="edge"/>
              <c:x val="2.6462454030139877E-2"/>
              <c:y val="0.3577082865416223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75" b="0" i="0" u="none" strike="noStrike" baseline="0">
                <a:solidFill>
                  <a:srgbClr val="000000"/>
                </a:solidFill>
                <a:latin typeface="Arial"/>
                <a:ea typeface="Arial"/>
                <a:cs typeface="Arial"/>
              </a:defRPr>
            </a:pPr>
            <a:endParaRPr lang="it-IT"/>
          </a:p>
        </c:txPr>
        <c:crossAx val="1290526095"/>
        <c:crosses val="autoZero"/>
        <c:crossBetween val="between"/>
      </c:valAx>
      <c:spPr>
        <a:noFill/>
        <a:ln w="25400">
          <a:noFill/>
        </a:ln>
      </c:spPr>
    </c:plotArea>
    <c:legend>
      <c:legendPos val="r"/>
      <c:overlay val="0"/>
    </c:legend>
    <c:plotVisOnly val="1"/>
    <c:dispBlanksAs val="gap"/>
    <c:showDLblsOverMax val="0"/>
  </c:chart>
  <c:spPr>
    <a:solidFill>
      <a:srgbClr val="FFFFFF"/>
    </a:solidFill>
    <a:ln w="3175">
      <a:noFill/>
      <a:prstDash val="solid"/>
    </a:ln>
  </c:spPr>
  <c:txPr>
    <a:bodyPr/>
    <a:lstStyle/>
    <a:p>
      <a:pPr>
        <a:defRPr sz="1075" b="0" i="0" u="none" strike="noStrike" baseline="0">
          <a:solidFill>
            <a:srgbClr val="000000"/>
          </a:solidFill>
          <a:latin typeface="Arial"/>
          <a:ea typeface="Arial"/>
          <a:cs typeface="Arial"/>
        </a:defRPr>
      </a:pPr>
      <a:endParaRPr lang="it-IT"/>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13</xdr:row>
      <xdr:rowOff>0</xdr:rowOff>
    </xdr:from>
    <xdr:to>
      <xdr:col>13</xdr:col>
      <xdr:colOff>304800</xdr:colOff>
      <xdr:row>13</xdr:row>
      <xdr:rowOff>304800</xdr:rowOff>
    </xdr:to>
    <xdr:sp macro="" textlink="">
      <xdr:nvSpPr>
        <xdr:cNvPr id="7169" name="AutoShape 1">
          <a:extLst>
            <a:ext uri="{FF2B5EF4-FFF2-40B4-BE49-F238E27FC236}">
              <a16:creationId xmlns:a16="http://schemas.microsoft.com/office/drawing/2014/main" id="{B2BC83CA-0F3B-4432-C6D4-9BA1F5AEF6A7}"/>
            </a:ext>
          </a:extLst>
        </xdr:cNvPr>
        <xdr:cNvSpPr>
          <a:spLocks noChangeAspect="1" noChangeArrowheads="1"/>
        </xdr:cNvSpPr>
      </xdr:nvSpPr>
      <xdr:spPr bwMode="auto">
        <a:xfrm>
          <a:off x="7315200" y="353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427655</xdr:colOff>
      <xdr:row>12</xdr:row>
      <xdr:rowOff>175882</xdr:rowOff>
    </xdr:from>
    <xdr:to>
      <xdr:col>14</xdr:col>
      <xdr:colOff>237820</xdr:colOff>
      <xdr:row>16</xdr:row>
      <xdr:rowOff>93160</xdr:rowOff>
    </xdr:to>
    <xdr:pic>
      <xdr:nvPicPr>
        <xdr:cNvPr id="17" name="Graphic 2">
          <a:extLst>
            <a:ext uri="{FF2B5EF4-FFF2-40B4-BE49-F238E27FC236}">
              <a16:creationId xmlns:a16="http://schemas.microsoft.com/office/drawing/2014/main" id="{A8C7A575-A8CD-1902-1CB0-7FF893752380}"/>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21829" y="2627534"/>
          <a:ext cx="953165" cy="9940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13</xdr:row>
      <xdr:rowOff>0</xdr:rowOff>
    </xdr:from>
    <xdr:to>
      <xdr:col>13</xdr:col>
      <xdr:colOff>304800</xdr:colOff>
      <xdr:row>14</xdr:row>
      <xdr:rowOff>114300</xdr:rowOff>
    </xdr:to>
    <xdr:sp macro="" textlink="">
      <xdr:nvSpPr>
        <xdr:cNvPr id="2" name="AutoShape 1">
          <a:extLst>
            <a:ext uri="{FF2B5EF4-FFF2-40B4-BE49-F238E27FC236}">
              <a16:creationId xmlns:a16="http://schemas.microsoft.com/office/drawing/2014/main" id="{9E132FBF-4BFA-404D-8FF4-248B1DF84BD6}"/>
            </a:ext>
          </a:extLst>
        </xdr:cNvPr>
        <xdr:cNvSpPr>
          <a:spLocks noChangeAspect="1" noChangeArrowheads="1"/>
        </xdr:cNvSpPr>
      </xdr:nvSpPr>
      <xdr:spPr bwMode="auto">
        <a:xfrm>
          <a:off x="7086600" y="279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351692</xdr:colOff>
      <xdr:row>12</xdr:row>
      <xdr:rowOff>43962</xdr:rowOff>
    </xdr:from>
    <xdr:to>
      <xdr:col>14</xdr:col>
      <xdr:colOff>161857</xdr:colOff>
      <xdr:row>17</xdr:row>
      <xdr:rowOff>100133</xdr:rowOff>
    </xdr:to>
    <xdr:pic>
      <xdr:nvPicPr>
        <xdr:cNvPr id="4" name="Graphic 2">
          <a:extLst>
            <a:ext uri="{FF2B5EF4-FFF2-40B4-BE49-F238E27FC236}">
              <a16:creationId xmlns:a16="http://schemas.microsoft.com/office/drawing/2014/main" id="{13AE2857-4146-4ED2-BB49-8C308B7E7CB2}"/>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13634" y="2527789"/>
          <a:ext cx="953165" cy="9940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529458</xdr:colOff>
      <xdr:row>23</xdr:row>
      <xdr:rowOff>116009</xdr:rowOff>
    </xdr:from>
    <xdr:to>
      <xdr:col>11</xdr:col>
      <xdr:colOff>562307</xdr:colOff>
      <xdr:row>34</xdr:row>
      <xdr:rowOff>76201</xdr:rowOff>
    </xdr:to>
    <mc:AlternateContent xmlns:mc="http://schemas.openxmlformats.org/markup-compatibility/2006" xmlns:a14="http://schemas.microsoft.com/office/drawing/2010/main">
      <mc:Choice Requires="a14">
        <xdr:sp macro="" textlink="">
          <xdr:nvSpPr>
            <xdr:cNvPr id="6" name="Rectangle: Rounded Corners 1">
              <a:extLst>
                <a:ext uri="{FF2B5EF4-FFF2-40B4-BE49-F238E27FC236}">
                  <a16:creationId xmlns:a16="http://schemas.microsoft.com/office/drawing/2014/main" id="{349FB0F3-536C-D189-A1FA-4C70B7273F04}"/>
                </a:ext>
              </a:extLst>
            </xdr:cNvPr>
            <xdr:cNvSpPr/>
          </xdr:nvSpPr>
          <xdr:spPr>
            <a:xfrm>
              <a:off x="643758" y="4053009"/>
              <a:ext cx="8160849" cy="1776292"/>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sng" strike="noStrike">
                  <a:solidFill>
                    <a:schemeClr val="tx1"/>
                  </a:solidFill>
                  <a:effectLst/>
                  <a:latin typeface="+mn-lt"/>
                  <a:ea typeface="+mn-ea"/>
                  <a:cs typeface="+mn-cs"/>
                </a:rPr>
                <a:t>Function</a:t>
              </a:r>
              <a:r>
                <a:rPr lang="en-GB" sz="1100" b="1" i="0" u="sng" strike="noStrike" baseline="0">
                  <a:solidFill>
                    <a:schemeClr val="tx1"/>
                  </a:solidFill>
                  <a:effectLst/>
                  <a:latin typeface="+mn-lt"/>
                  <a:ea typeface="+mn-ea"/>
                  <a:cs typeface="+mn-cs"/>
                </a:rPr>
                <a:t> of the value of the portfolio:</a:t>
              </a: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it-IT" sz="1100" b="1" i="1" dirty="0" smtClean="0">
                        <a:solidFill>
                          <a:schemeClr val="tx1"/>
                        </a:solidFill>
                        <a:latin typeface="Cambria Math" panose="02040503050406030204" pitchFamily="18" charset="0"/>
                        <a:cs typeface="Times New Roman" panose="02020603050405020304" pitchFamily="18" charset="0"/>
                      </a:rPr>
                      <m:t>𝑽</m:t>
                    </m:r>
                    <m:d>
                      <m:dPr>
                        <m:ctrlPr>
                          <a:rPr lang="it-IT" sz="1100" b="1" i="1" dirty="0" smtClean="0">
                            <a:solidFill>
                              <a:schemeClr val="tx1"/>
                            </a:solidFill>
                            <a:latin typeface="Cambria Math" panose="02040503050406030204" pitchFamily="18" charset="0"/>
                            <a:cs typeface="Times New Roman" panose="02020603050405020304" pitchFamily="18" charset="0"/>
                          </a:rPr>
                        </m:ctrlPr>
                      </m:dPr>
                      <m:e>
                        <m:r>
                          <a:rPr lang="it-IT" sz="1100" b="1" i="1" dirty="0" smtClean="0">
                            <a:solidFill>
                              <a:schemeClr val="tx1"/>
                            </a:solidFill>
                            <a:latin typeface="Cambria Math" panose="02040503050406030204" pitchFamily="18" charset="0"/>
                            <a:cs typeface="Times New Roman" panose="02020603050405020304" pitchFamily="18" charset="0"/>
                          </a:rPr>
                          <m:t>𝑷</m:t>
                        </m:r>
                      </m:e>
                    </m:d>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𝑪</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r>
                      <a:rPr lang="el-GR" sz="1100" b="1" i="1" dirty="0">
                        <a:solidFill>
                          <a:schemeClr val="tx1"/>
                        </a:solidFill>
                        <a:latin typeface="Cambria Math" panose="02040503050406030204" pitchFamily="18" charset="0"/>
                        <a:cs typeface="Times New Roman" panose="02020603050405020304" pitchFamily="18" charset="0"/>
                      </a:rPr>
                      <m:t>×</m:t>
                    </m:r>
                    <m:sSup>
                      <m:sSupPr>
                        <m:ctrlPr>
                          <a:rPr lang="it-IT" sz="1100" b="1" i="1" dirty="0" smtClean="0">
                            <a:solidFill>
                              <a:schemeClr val="tx1"/>
                            </a:solidFill>
                            <a:latin typeface="Cambria Math" panose="02040503050406030204" pitchFamily="18" charset="0"/>
                            <a:cs typeface="Times New Roman" panose="02020603050405020304" pitchFamily="18" charset="0"/>
                          </a:rPr>
                        </m:ctrlPr>
                      </m:sSupPr>
                      <m:e>
                        <m:r>
                          <a:rPr lang="it-IT" sz="1100" b="1" i="1" dirty="0" smtClean="0">
                            <a:solidFill>
                              <a:schemeClr val="tx1"/>
                            </a:solidFill>
                            <a:latin typeface="Cambria Math" panose="02040503050406030204" pitchFamily="18" charset="0"/>
                            <a:cs typeface="Times New Roman" panose="02020603050405020304" pitchFamily="18" charset="0"/>
                          </a:rPr>
                          <m:t>𝑷</m:t>
                        </m:r>
                      </m:e>
                      <m:sup>
                        <m:r>
                          <a:rPr lang="it-IT" sz="1100" b="1" i="1" dirty="0" smtClean="0">
                            <a:solidFill>
                              <a:schemeClr val="tx1"/>
                            </a:solidFill>
                            <a:latin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cs typeface="Times New Roman" panose="02020603050405020304" pitchFamily="18" charset="0"/>
                          </a:rPr>
                          <m:t>𝟏</m:t>
                        </m:r>
                        <m:r>
                          <a:rPr lang="it-IT" sz="1100" b="1" i="1" dirty="0" smtClean="0">
                            <a:solidFill>
                              <a:schemeClr val="tx1"/>
                            </a:solidFill>
                            <a:latin typeface="Cambria Math" panose="02040503050406030204" pitchFamily="18" charset="0"/>
                            <a:cs typeface="Times New Roman" panose="02020603050405020304" pitchFamily="18" charset="0"/>
                          </a:rPr>
                          <m:t>)</m:t>
                        </m:r>
                      </m:sup>
                    </m:sSup>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a:solidFill>
                              <a:schemeClr val="tx1"/>
                            </a:solidFill>
                            <a:latin typeface="Cambria Math" panose="02040503050406030204" pitchFamily="18" charset="0"/>
                            <a:cs typeface="Times New Roman" panose="02020603050405020304" pitchFamily="18" charset="0"/>
                          </a:rPr>
                        </m:ctrlPr>
                      </m:sSubPr>
                      <m:e>
                        <m:r>
                          <a:rPr lang="it-IT" sz="1100" b="1" i="1" dirty="0">
                            <a:solidFill>
                              <a:schemeClr val="tx1"/>
                            </a:solidFill>
                            <a:latin typeface="Cambria Math" panose="02040503050406030204" pitchFamily="18" charset="0"/>
                            <a:cs typeface="Times New Roman" panose="02020603050405020304" pitchFamily="18" charset="0"/>
                          </a:rPr>
                          <m:t>𝑪</m:t>
                        </m:r>
                      </m:e>
                      <m:sub>
                        <m:r>
                          <a:rPr lang="it-IT" sz="1100" b="1" i="1" dirty="0">
                            <a:solidFill>
                              <a:schemeClr val="tx1"/>
                            </a:solidFill>
                            <a:latin typeface="Cambria Math" panose="02040503050406030204" pitchFamily="18" charset="0"/>
                            <a:cs typeface="Times New Roman" panose="02020603050405020304" pitchFamily="18" charset="0"/>
                          </a:rPr>
                          <m:t>𝒊</m:t>
                        </m:r>
                      </m:sub>
                    </m:sSub>
                    <m:r>
                      <a:rPr lang="el-GR" sz="1100" b="1" i="1" dirty="0">
                        <a:solidFill>
                          <a:schemeClr val="tx1"/>
                        </a:solidFill>
                        <a:latin typeface="Cambria Math" panose="02040503050406030204" pitchFamily="18" charset="0"/>
                        <a:cs typeface="Times New Roman" panose="02020603050405020304" pitchFamily="18" charset="0"/>
                      </a:rPr>
                      <m:t>×</m:t>
                    </m:r>
                    <m:sSup>
                      <m:sSupPr>
                        <m:ctrlPr>
                          <a:rPr lang="it-IT" sz="1100" b="1" i="1" dirty="0">
                            <a:solidFill>
                              <a:schemeClr val="tx1"/>
                            </a:solidFill>
                            <a:latin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cs typeface="Times New Roman" panose="02020603050405020304" pitchFamily="18" charset="0"/>
                          </a:rPr>
                          <m:t>𝑷</m:t>
                        </m:r>
                      </m:e>
                      <m:sup>
                        <m:d>
                          <m:dPr>
                            <m:ctrlPr>
                              <a:rPr lang="it-IT" sz="1100" b="1" i="1" dirty="0">
                                <a:solidFill>
                                  <a:schemeClr val="tx1"/>
                                </a:solidFill>
                                <a:latin typeface="Cambria Math" panose="02040503050406030204" pitchFamily="18" charset="0"/>
                                <a:cs typeface="Times New Roman" panose="02020603050405020304" pitchFamily="18" charset="0"/>
                              </a:rPr>
                            </m:ctrlPr>
                          </m:dPr>
                          <m:e>
                            <m:r>
                              <a:rPr lang="it-IT" sz="1100" b="1" i="1" dirty="0">
                                <a:solidFill>
                                  <a:schemeClr val="tx1"/>
                                </a:solidFill>
                                <a:latin typeface="Cambria Math" panose="02040503050406030204" pitchFamily="18" charset="0"/>
                                <a:cs typeface="Times New Roman" panose="02020603050405020304" pitchFamily="18" charset="0"/>
                              </a:rPr>
                              <m:t>𝒊</m:t>
                            </m:r>
                          </m:e>
                        </m:d>
                      </m:sup>
                    </m:sSup>
                    <m:r>
                      <a:rPr lang="it-IT" sz="1100" b="1" i="1" dirty="0">
                        <a:solidFill>
                          <a:schemeClr val="tx1"/>
                        </a:solidFill>
                        <a:latin typeface="Cambria Math" panose="02040503050406030204" pitchFamily="18" charset="0"/>
                        <a:cs typeface="Times New Roman" panose="02020603050405020304" pitchFamily="18" charset="0"/>
                      </a:rPr>
                      <m:t>+…+</m:t>
                    </m:r>
                    <m:sSub>
                      <m:sSubPr>
                        <m:ctrlPr>
                          <a:rPr lang="it-IT" sz="1100" b="1" i="1" dirty="0">
                            <a:solidFill>
                              <a:schemeClr val="tx1"/>
                            </a:solidFill>
                            <a:latin typeface="Cambria Math" panose="02040503050406030204" pitchFamily="18" charset="0"/>
                            <a:cs typeface="Times New Roman" panose="02020603050405020304" pitchFamily="18" charset="0"/>
                          </a:rPr>
                        </m:ctrlPr>
                      </m:sSubPr>
                      <m:e>
                        <m:r>
                          <a:rPr lang="it-IT" sz="1100" b="1" i="1" dirty="0">
                            <a:solidFill>
                              <a:schemeClr val="tx1"/>
                            </a:solidFill>
                            <a:latin typeface="Cambria Math" panose="02040503050406030204" pitchFamily="18" charset="0"/>
                            <a:cs typeface="Times New Roman" panose="02020603050405020304" pitchFamily="18" charset="0"/>
                          </a:rPr>
                          <m:t>𝑪</m:t>
                        </m:r>
                      </m:e>
                      <m:sub>
                        <m:r>
                          <a:rPr lang="it-IT" sz="1100" b="1" i="1" dirty="0">
                            <a:solidFill>
                              <a:schemeClr val="tx1"/>
                            </a:solidFill>
                            <a:latin typeface="Cambria Math" panose="02040503050406030204" pitchFamily="18" charset="0"/>
                            <a:cs typeface="Times New Roman" panose="02020603050405020304" pitchFamily="18" charset="0"/>
                          </a:rPr>
                          <m:t>𝒏</m:t>
                        </m:r>
                      </m:sub>
                    </m:sSub>
                    <m:r>
                      <a:rPr lang="el-GR" sz="1100" b="1" i="1" dirty="0">
                        <a:solidFill>
                          <a:schemeClr val="tx1"/>
                        </a:solidFill>
                        <a:latin typeface="Cambria Math" panose="02040503050406030204" pitchFamily="18" charset="0"/>
                        <a:cs typeface="Times New Roman" panose="02020603050405020304" pitchFamily="18" charset="0"/>
                      </a:rPr>
                      <m:t>×</m:t>
                    </m:r>
                    <m:sSup>
                      <m:sSupPr>
                        <m:ctrlPr>
                          <a:rPr lang="it-IT" sz="1100" b="1" i="1" dirty="0">
                            <a:solidFill>
                              <a:schemeClr val="tx1"/>
                            </a:solidFill>
                            <a:latin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cs typeface="Times New Roman" panose="02020603050405020304" pitchFamily="18" charset="0"/>
                          </a:rPr>
                          <m:t>𝑷</m:t>
                        </m:r>
                      </m:e>
                      <m:sup>
                        <m:r>
                          <a:rPr lang="it-IT" sz="1100" b="1" i="1" dirty="0">
                            <a:solidFill>
                              <a:schemeClr val="tx1"/>
                            </a:solidFill>
                            <a:latin typeface="Cambria Math" panose="02040503050406030204" pitchFamily="18" charset="0"/>
                            <a:cs typeface="Times New Roman" panose="02020603050405020304" pitchFamily="18" charset="0"/>
                          </a:rPr>
                          <m:t>(</m:t>
                        </m:r>
                        <m:r>
                          <a:rPr lang="it-IT" sz="1100" b="1" i="1" dirty="0">
                            <a:solidFill>
                              <a:schemeClr val="tx1"/>
                            </a:solidFill>
                            <a:latin typeface="Cambria Math" panose="02040503050406030204" pitchFamily="18" charset="0"/>
                            <a:cs typeface="Times New Roman" panose="02020603050405020304" pitchFamily="18" charset="0"/>
                          </a:rPr>
                          <m:t>𝒏</m:t>
                        </m:r>
                        <m:r>
                          <a:rPr lang="it-IT" sz="1100" b="1" i="1" dirty="0">
                            <a:solidFill>
                              <a:schemeClr val="tx1"/>
                            </a:solidFill>
                            <a:latin typeface="Cambria Math" panose="02040503050406030204" pitchFamily="18" charset="0"/>
                            <a:cs typeface="Times New Roman" panose="02020603050405020304" pitchFamily="18" charset="0"/>
                          </a:rPr>
                          <m:t>)</m:t>
                        </m:r>
                      </m:sup>
                    </m:sSup>
                  </m:oMath>
                </m:oMathPara>
              </a14:m>
              <a:endParaRPr lang="it-IT" sz="1100" b="1" i="0" dirty="0">
                <a:solidFill>
                  <a:schemeClr val="tx1"/>
                </a:solidFill>
                <a:latin typeface="+mn-lt"/>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where</a:t>
              </a:r>
              <a:r>
                <a:rPr lang="en-GB" sz="1100" b="1" i="0" u="none" strike="noStrike" baseline="0">
                  <a:solidFill>
                    <a:schemeClr val="tx1"/>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14:m>
                <m:oMath xmlns:m="http://schemas.openxmlformats.org/officeDocument/2006/math">
                  <m:r>
                    <a:rPr lang="en-GB" sz="1100" b="0" i="1" u="none" strike="noStrike" baseline="0">
                      <a:solidFill>
                        <a:schemeClr val="tx1"/>
                      </a:solidFill>
                      <a:effectLst/>
                      <a:latin typeface="Cambria Math" panose="02040503050406030204" pitchFamily="18" charset="0"/>
                      <a:ea typeface="+mn-ea"/>
                      <a:cs typeface="+mn-cs"/>
                    </a:rPr>
                    <m:t>𝑉</m:t>
                  </m:r>
                  <m:r>
                    <a:rPr lang="en-GB" sz="1100" b="0" i="1" u="none" strike="noStrike" baseline="0">
                      <a:solidFill>
                        <a:schemeClr val="tx1"/>
                      </a:solidFill>
                      <a:effectLst/>
                      <a:latin typeface="Cambria Math" panose="02040503050406030204" pitchFamily="18" charset="0"/>
                      <a:ea typeface="+mn-ea"/>
                      <a:cs typeface="+mn-cs"/>
                    </a:rPr>
                    <m:t>(</m:t>
                  </m:r>
                  <m:r>
                    <a:rPr lang="en-GB" sz="1100" b="0" i="1" u="none" strike="noStrike" baseline="0">
                      <a:solidFill>
                        <a:schemeClr val="tx1"/>
                      </a:solidFill>
                      <a:effectLst/>
                      <a:latin typeface="Cambria Math" panose="02040503050406030204" pitchFamily="18" charset="0"/>
                      <a:ea typeface="+mn-ea"/>
                      <a:cs typeface="+mn-cs"/>
                    </a:rPr>
                    <m:t>𝑃</m:t>
                  </m:r>
                  <m:r>
                    <a:rPr lang="en-GB" sz="1100" b="0" i="1" u="none" strike="noStrike" baseline="0">
                      <a:solidFill>
                        <a:schemeClr val="tx1"/>
                      </a:solidFill>
                      <a:effectLst/>
                      <a:latin typeface="Cambria Math" panose="02040503050406030204" pitchFamily="18" charset="0"/>
                      <a:ea typeface="+mn-ea"/>
                      <a:cs typeface="+mn-cs"/>
                    </a:rPr>
                    <m:t>) </m:t>
                  </m:r>
                </m:oMath>
              </a14:m>
              <a:r>
                <a:rPr lang="en-GB" sz="1100" b="0" i="0" u="none" strike="noStrike" baseline="0">
                  <a:solidFill>
                    <a:schemeClr val="tx1"/>
                  </a:solidFill>
                  <a:effectLst/>
                  <a:latin typeface="+mn-lt"/>
                  <a:ea typeface="+mn-ea"/>
                  <a:cs typeface="+mn-cs"/>
                </a:rPr>
                <a:t>is a linear function in the </a:t>
              </a:r>
              <a14:m>
                <m:oMath xmlns:m="http://schemas.openxmlformats.org/officeDocument/2006/math">
                  <m:sSup>
                    <m:sSupPr>
                      <m:ctrlPr>
                        <a:rPr lang="it-IT" sz="1100" b="0" i="1" dirty="0" smtClean="0">
                          <a:solidFill>
                            <a:schemeClr val="tx1"/>
                          </a:solidFill>
                          <a:latin typeface="Cambria Math" panose="02040503050406030204" pitchFamily="18" charset="0"/>
                          <a:cs typeface="Times New Roman" panose="02020603050405020304" pitchFamily="18" charset="0"/>
                        </a:rPr>
                      </m:ctrlPr>
                    </m:sSupPr>
                    <m:e>
                      <m:r>
                        <a:rPr lang="it-IT" sz="1100" b="0" i="1" dirty="0" smtClean="0">
                          <a:solidFill>
                            <a:schemeClr val="tx1"/>
                          </a:solidFill>
                          <a:latin typeface="Cambria Math" panose="02040503050406030204" pitchFamily="18" charset="0"/>
                          <a:cs typeface="Times New Roman" panose="02020603050405020304" pitchFamily="18" charset="0"/>
                        </a:rPr>
                        <m:t>𝑃</m:t>
                      </m:r>
                    </m:e>
                    <m:sup>
                      <m:r>
                        <a:rPr lang="it-IT" sz="1100" b="0" i="1" dirty="0" smtClean="0">
                          <a:solidFill>
                            <a:schemeClr val="tx1"/>
                          </a:solidFill>
                          <a:latin typeface="Cambria Math" panose="02040503050406030204" pitchFamily="18" charset="0"/>
                          <a:cs typeface="Times New Roman" panose="02020603050405020304" pitchFamily="18" charset="0"/>
                        </a:rPr>
                        <m:t>(</m:t>
                      </m:r>
                      <m:r>
                        <a:rPr lang="it-IT" sz="1100" b="0" i="1" dirty="0" smtClean="0">
                          <a:solidFill>
                            <a:schemeClr val="tx1"/>
                          </a:solidFill>
                          <a:latin typeface="Cambria Math" panose="02040503050406030204" pitchFamily="18" charset="0"/>
                          <a:cs typeface="Times New Roman" panose="02020603050405020304" pitchFamily="18" charset="0"/>
                        </a:rPr>
                        <m:t>𝑖</m:t>
                      </m:r>
                      <m:r>
                        <a:rPr lang="it-IT" sz="1100" b="0" i="1" dirty="0" smtClean="0">
                          <a:solidFill>
                            <a:schemeClr val="tx1"/>
                          </a:solidFill>
                          <a:latin typeface="Cambria Math" panose="02040503050406030204" pitchFamily="18" charset="0"/>
                          <a:cs typeface="Times New Roman" panose="02020603050405020304" pitchFamily="18" charset="0"/>
                        </a:rPr>
                        <m:t>)</m:t>
                      </m:r>
                    </m:sup>
                  </m:sSup>
                </m:oMath>
              </a14:m>
              <a:endParaRPr lang="en-GB" sz="1100" b="1" i="0" u="none" strike="noStrike"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baseline="0">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14:m>
                <m:oMath xmlns:m="http://schemas.openxmlformats.org/officeDocument/2006/math">
                  <m:sSub>
                    <m:sSubPr>
                      <m:ctrlPr>
                        <a:rPr lang="it-IT" sz="1100" b="0" i="1" dirty="0" smtClean="0">
                          <a:solidFill>
                            <a:schemeClr val="tx1"/>
                          </a:solidFill>
                          <a:latin typeface="Cambria Math" panose="02040503050406030204" pitchFamily="18" charset="0"/>
                          <a:cs typeface="Times New Roman" panose="02020603050405020304" pitchFamily="18" charset="0"/>
                        </a:rPr>
                      </m:ctrlPr>
                    </m:sSubPr>
                    <m:e>
                      <m:r>
                        <a:rPr lang="it-IT" sz="1100" b="0" i="1" dirty="0" smtClean="0">
                          <a:solidFill>
                            <a:schemeClr val="tx1"/>
                          </a:solidFill>
                          <a:latin typeface="Cambria Math" panose="02040503050406030204" pitchFamily="18" charset="0"/>
                          <a:cs typeface="Times New Roman" panose="02020603050405020304" pitchFamily="18" charset="0"/>
                        </a:rPr>
                        <m:t>𝐶</m:t>
                      </m:r>
                    </m:e>
                    <m:sub>
                      <m:r>
                        <a:rPr lang="it-IT" sz="1100" b="0" i="1" dirty="0" smtClean="0">
                          <a:solidFill>
                            <a:schemeClr val="tx1"/>
                          </a:solidFill>
                          <a:latin typeface="Cambria Math" panose="02040503050406030204" pitchFamily="18" charset="0"/>
                          <a:cs typeface="Times New Roman" panose="02020603050405020304" pitchFamily="18" charset="0"/>
                        </a:rPr>
                        <m:t>𝑖</m:t>
                      </m:r>
                    </m:sub>
                  </m:sSub>
                </m:oMath>
              </a14:m>
              <a:r>
                <a:rPr lang="en-GB" sz="1100" b="0" i="0" u="none" strike="noStrike" baseline="0">
                  <a:solidFill>
                    <a:schemeClr val="tx1"/>
                  </a:solidFill>
                  <a:effectLst/>
                  <a:latin typeface="+mn-lt"/>
                  <a:ea typeface="+mn-ea"/>
                  <a:cs typeface="+mn-cs"/>
                </a:rPr>
                <a:t> is the face value of the future cash flows taking into account the clumping results</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baseline="0">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14:m>
                <m:oMath xmlns:m="http://schemas.openxmlformats.org/officeDocument/2006/math">
                  <m:sSup>
                    <m:sSupPr>
                      <m:ctrlPr>
                        <a:rPr lang="it-IT" sz="1100" b="0" i="1" dirty="0" smtClean="0">
                          <a:solidFill>
                            <a:schemeClr val="tx1"/>
                          </a:solidFill>
                          <a:latin typeface="Cambria Math" panose="02040503050406030204" pitchFamily="18" charset="0"/>
                          <a:cs typeface="Times New Roman" panose="02020603050405020304" pitchFamily="18" charset="0"/>
                        </a:rPr>
                      </m:ctrlPr>
                    </m:sSupPr>
                    <m:e>
                      <m:r>
                        <a:rPr lang="it-IT" sz="1100" b="0" i="1" dirty="0" smtClean="0">
                          <a:solidFill>
                            <a:schemeClr val="tx1"/>
                          </a:solidFill>
                          <a:latin typeface="Cambria Math" panose="02040503050406030204" pitchFamily="18" charset="0"/>
                          <a:cs typeface="Times New Roman" panose="02020603050405020304" pitchFamily="18" charset="0"/>
                        </a:rPr>
                        <m:t>𝑃</m:t>
                      </m:r>
                    </m:e>
                    <m:sup>
                      <m:r>
                        <a:rPr lang="it-IT" sz="1100" b="0" i="1" dirty="0" smtClean="0">
                          <a:solidFill>
                            <a:schemeClr val="tx1"/>
                          </a:solidFill>
                          <a:latin typeface="Cambria Math" panose="02040503050406030204" pitchFamily="18" charset="0"/>
                          <a:cs typeface="Times New Roman" panose="02020603050405020304" pitchFamily="18" charset="0"/>
                        </a:rPr>
                        <m:t>(</m:t>
                      </m:r>
                      <m:r>
                        <a:rPr lang="it-IT" sz="1100" b="0" i="1" dirty="0" smtClean="0">
                          <a:solidFill>
                            <a:schemeClr val="tx1"/>
                          </a:solidFill>
                          <a:latin typeface="Cambria Math" panose="02040503050406030204" pitchFamily="18" charset="0"/>
                          <a:cs typeface="Times New Roman" panose="02020603050405020304" pitchFamily="18" charset="0"/>
                        </a:rPr>
                        <m:t>𝑖</m:t>
                      </m:r>
                      <m:r>
                        <a:rPr lang="it-IT" sz="1100" b="0" i="1" dirty="0" smtClean="0">
                          <a:solidFill>
                            <a:schemeClr val="tx1"/>
                          </a:solidFill>
                          <a:latin typeface="Cambria Math" panose="02040503050406030204" pitchFamily="18" charset="0"/>
                          <a:cs typeface="Times New Roman" panose="02020603050405020304" pitchFamily="18" charset="0"/>
                        </a:rPr>
                        <m:t>)</m:t>
                      </m:r>
                    </m:sup>
                  </m:sSup>
                </m:oMath>
              </a14:m>
              <a:r>
                <a:rPr lang="en-GB" sz="1100" b="0" i="0" u="none" strike="noStrike">
                  <a:solidFill>
                    <a:schemeClr val="tx1"/>
                  </a:solidFill>
                  <a:effectLst/>
                  <a:latin typeface="+mn-lt"/>
                  <a:ea typeface="+mn-ea"/>
                  <a:cs typeface="+mn-cs"/>
                </a:rPr>
                <a:t> is the discount factor (Price</a:t>
              </a:r>
              <a:r>
                <a:rPr lang="en-GB" sz="1100" b="0" i="0" u="none" strike="noStrike" baseline="0">
                  <a:solidFill>
                    <a:schemeClr val="tx1"/>
                  </a:solidFill>
                  <a:effectLst/>
                  <a:latin typeface="+mn-lt"/>
                  <a:ea typeface="+mn-ea"/>
                  <a:cs typeface="+mn-cs"/>
                </a:rPr>
                <a:t> of the ZCB associated to node i</a:t>
              </a:r>
              <a:r>
                <a:rPr lang="en-GB" sz="1100" b="0"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that can be written as:</a:t>
              </a: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it-IT" sz="1100" b="1" i="1" dirty="0" smtClean="0">
                            <a:solidFill>
                              <a:schemeClr val="tx1"/>
                            </a:solidFill>
                            <a:latin typeface="Cambria Math" panose="02040503050406030204" pitchFamily="18" charset="0"/>
                            <a:cs typeface="Times New Roman" panose="02020603050405020304" pitchFamily="18" charset="0"/>
                          </a:rPr>
                        </m:ctrlPr>
                      </m:sSupPr>
                      <m:e>
                        <m:r>
                          <a:rPr lang="it-IT" sz="1100" b="1" i="1" dirty="0" smtClean="0">
                            <a:solidFill>
                              <a:schemeClr val="tx1"/>
                            </a:solidFill>
                            <a:latin typeface="Cambria Math" panose="02040503050406030204" pitchFamily="18" charset="0"/>
                            <a:cs typeface="Times New Roman" panose="02020603050405020304" pitchFamily="18" charset="0"/>
                          </a:rPr>
                          <m:t>𝑷</m:t>
                        </m:r>
                      </m:e>
                      <m:sup>
                        <m:r>
                          <a:rPr lang="it-IT" sz="1100" b="1" i="1" dirty="0" smtClean="0">
                            <a:solidFill>
                              <a:schemeClr val="tx1"/>
                            </a:solidFill>
                            <a:latin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cs typeface="Times New Roman" panose="02020603050405020304" pitchFamily="18" charset="0"/>
                          </a:rPr>
                          <m:t>𝒊</m:t>
                        </m:r>
                        <m:r>
                          <a:rPr lang="it-IT" sz="1100" b="1" i="1" dirty="0" smtClean="0">
                            <a:solidFill>
                              <a:schemeClr val="tx1"/>
                            </a:solidFill>
                            <a:latin typeface="Cambria Math" panose="02040503050406030204" pitchFamily="18" charset="0"/>
                            <a:cs typeface="Times New Roman" panose="02020603050405020304" pitchFamily="18" charset="0"/>
                          </a:rPr>
                          <m:t>)</m:t>
                        </m:r>
                      </m:sup>
                    </m:sSup>
                    <m:r>
                      <a:rPr lang="it-IT" sz="1100" b="1" i="1" dirty="0" smtClean="0">
                        <a:solidFill>
                          <a:schemeClr val="tx1"/>
                        </a:solidFill>
                        <a:latin typeface="Cambria Math" panose="02040503050406030204" pitchFamily="18" charset="0"/>
                        <a:cs typeface="Times New Roman" panose="02020603050405020304" pitchFamily="18" charset="0"/>
                      </a:rPr>
                      <m:t>=</m:t>
                    </m:r>
                    <m:sSup>
                      <m:sSupPr>
                        <m:ctrlPr>
                          <a:rPr lang="en-GB" sz="1100" b="1" i="1" u="none" strike="noStrike">
                            <a:solidFill>
                              <a:schemeClr val="tx1"/>
                            </a:solidFill>
                            <a:effectLst/>
                            <a:latin typeface="Cambria Math" panose="02040503050406030204" pitchFamily="18" charset="0"/>
                            <a:ea typeface="+mn-ea"/>
                            <a:cs typeface="+mn-cs"/>
                          </a:rPr>
                        </m:ctrlPr>
                      </m:sSupPr>
                      <m:e>
                        <m:r>
                          <a:rPr lang="en-GB" sz="1100" b="1" i="1" u="none" strike="noStrike">
                            <a:solidFill>
                              <a:schemeClr val="tx1"/>
                            </a:solidFill>
                            <a:effectLst/>
                            <a:latin typeface="Cambria Math" panose="02040503050406030204" pitchFamily="18" charset="0"/>
                            <a:ea typeface="+mn-ea"/>
                            <a:cs typeface="+mn-cs"/>
                          </a:rPr>
                          <m:t>𝒆</m:t>
                        </m:r>
                      </m:e>
                      <m:sup>
                        <m:r>
                          <a:rPr lang="en-GB" sz="1100" b="1" i="1" u="none" strike="noStrike">
                            <a:solidFill>
                              <a:schemeClr val="tx1"/>
                            </a:solidFill>
                            <a:effectLst/>
                            <a:latin typeface="Cambria Math" panose="02040503050406030204" pitchFamily="18" charset="0"/>
                            <a:ea typeface="+mn-ea"/>
                            <a:cs typeface="+mn-cs"/>
                          </a:rPr>
                          <m:t>−</m:t>
                        </m:r>
                        <m:sSub>
                          <m:sSubPr>
                            <m:ctrlPr>
                              <a:rPr lang="en-GB" sz="1100" b="1" i="1" u="none" strike="noStrike">
                                <a:solidFill>
                                  <a:schemeClr val="tx1"/>
                                </a:solidFill>
                                <a:effectLst/>
                                <a:latin typeface="Cambria Math" panose="02040503050406030204" pitchFamily="18" charset="0"/>
                                <a:ea typeface="+mn-ea"/>
                                <a:cs typeface="+mn-cs"/>
                              </a:rPr>
                            </m:ctrlPr>
                          </m:sSubPr>
                          <m:e>
                            <m:r>
                              <a:rPr lang="it-IT" sz="1100" b="1" i="1" u="none" strike="noStrike">
                                <a:solidFill>
                                  <a:schemeClr val="tx1"/>
                                </a:solidFill>
                                <a:effectLst/>
                                <a:latin typeface="Cambria Math" panose="02040503050406030204" pitchFamily="18" charset="0"/>
                                <a:ea typeface="+mn-ea"/>
                                <a:cs typeface="+mn-cs"/>
                              </a:rPr>
                              <m:t>𝒓</m:t>
                            </m:r>
                          </m:e>
                          <m:sub>
                            <m:r>
                              <a:rPr lang="it-IT" sz="1100" b="1" i="1" u="none" strike="noStrike">
                                <a:solidFill>
                                  <a:schemeClr val="tx1"/>
                                </a:solidFill>
                                <a:effectLst/>
                                <a:latin typeface="Cambria Math" panose="02040503050406030204" pitchFamily="18" charset="0"/>
                                <a:ea typeface="+mn-ea"/>
                                <a:cs typeface="+mn-cs"/>
                              </a:rPr>
                              <m:t>𝒊𝒏𝒔𝒕𝒂𝒏𝒕𝒂𝒏𝒆𝒐𝒔𝒍𝒚</m:t>
                            </m:r>
                            <m:r>
                              <a:rPr lang="it-IT" sz="1100" b="1" i="1" u="none" strike="noStrike">
                                <a:solidFill>
                                  <a:schemeClr val="tx1"/>
                                </a:solidFill>
                                <a:effectLst/>
                                <a:latin typeface="Cambria Math" panose="02040503050406030204" pitchFamily="18" charset="0"/>
                                <a:ea typeface="+mn-ea"/>
                                <a:cs typeface="+mn-cs"/>
                              </a:rPr>
                              <m:t> </m:t>
                            </m:r>
                            <m:r>
                              <a:rPr lang="it-IT" sz="1100" b="1" i="1" u="none" strike="noStrike">
                                <a:solidFill>
                                  <a:schemeClr val="tx1"/>
                                </a:solidFill>
                                <a:effectLst/>
                                <a:latin typeface="Cambria Math" panose="02040503050406030204" pitchFamily="18" charset="0"/>
                                <a:ea typeface="+mn-ea"/>
                                <a:cs typeface="+mn-cs"/>
                              </a:rPr>
                              <m:t>𝒄𝒐𝒎𝒑</m:t>
                            </m:r>
                          </m:sub>
                        </m:sSub>
                        <m:r>
                          <a:rPr lang="it-IT" sz="1100" b="1" i="1" u="none" strike="noStrike">
                            <a:solidFill>
                              <a:schemeClr val="tx1"/>
                            </a:solidFill>
                            <a:effectLst/>
                            <a:latin typeface="Cambria Math" panose="02040503050406030204" pitchFamily="18" charset="0"/>
                            <a:ea typeface="+mn-ea"/>
                            <a:cs typeface="+mn-cs"/>
                          </a:rPr>
                          <m:t> </m:t>
                        </m:r>
                        <m:r>
                          <a:rPr lang="en-GB" sz="1100" b="1" i="1" u="none" strike="noStrike">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 </m:t>
                        </m:r>
                        <m:r>
                          <a:rPr lang="en-GB" sz="1100" b="1" i="1" u="none" strike="noStrike">
                            <a:solidFill>
                              <a:schemeClr val="tx1"/>
                            </a:solidFill>
                            <a:effectLst/>
                            <a:latin typeface="Cambria Math" panose="02040503050406030204" pitchFamily="18" charset="0"/>
                            <a:ea typeface="+mn-ea"/>
                            <a:cs typeface="+mn-cs"/>
                          </a:rPr>
                          <m:t>𝒕</m:t>
                        </m:r>
                      </m:sup>
                    </m:sSup>
                    <m:r>
                      <a:rPr lang="it-IT" sz="1100" b="1" i="1" u="none" strike="noStrike">
                        <a:solidFill>
                          <a:schemeClr val="tx1"/>
                        </a:solidFill>
                        <a:effectLst/>
                        <a:latin typeface="Cambria Math" panose="02040503050406030204" pitchFamily="18" charset="0"/>
                        <a:ea typeface="+mn-ea"/>
                        <a:cs typeface="+mn-cs"/>
                      </a:rPr>
                      <m:t>= </m:t>
                    </m:r>
                    <m:f>
                      <m:fPr>
                        <m:ctrlPr>
                          <a:rPr lang="it-IT" sz="1100" b="1" i="1" u="none" strike="noStrike">
                            <a:solidFill>
                              <a:schemeClr val="tx1"/>
                            </a:solidFill>
                            <a:effectLst/>
                            <a:latin typeface="Cambria Math" panose="02040503050406030204" pitchFamily="18" charset="0"/>
                            <a:ea typeface="+mn-ea"/>
                            <a:cs typeface="+mn-cs"/>
                          </a:rPr>
                        </m:ctrlPr>
                      </m:fPr>
                      <m:num>
                        <m:r>
                          <a:rPr lang="it-IT" sz="1100" b="1" i="1" u="none" strike="noStrike">
                            <a:solidFill>
                              <a:schemeClr val="tx1"/>
                            </a:solidFill>
                            <a:effectLst/>
                            <a:latin typeface="Cambria Math" panose="02040503050406030204" pitchFamily="18" charset="0"/>
                            <a:ea typeface="+mn-ea"/>
                            <a:cs typeface="+mn-cs"/>
                          </a:rPr>
                          <m:t>𝟏</m:t>
                        </m:r>
                      </m:num>
                      <m:den>
                        <m:sSup>
                          <m:sSupPr>
                            <m:ctrlPr>
                              <a:rPr lang="it-IT" sz="1100" b="1" i="1" u="none" strike="noStrike">
                                <a:solidFill>
                                  <a:schemeClr val="tx1"/>
                                </a:solidFill>
                                <a:effectLst/>
                                <a:latin typeface="Cambria Math" panose="02040503050406030204" pitchFamily="18" charset="0"/>
                                <a:ea typeface="+mn-ea"/>
                                <a:cs typeface="+mn-cs"/>
                              </a:rPr>
                            </m:ctrlPr>
                          </m:sSupPr>
                          <m:e>
                            <m:r>
                              <a:rPr lang="it-IT" sz="1100" b="1" i="1" u="none" strike="noStrike">
                                <a:solidFill>
                                  <a:schemeClr val="tx1"/>
                                </a:solidFill>
                                <a:effectLst/>
                                <a:latin typeface="Cambria Math" panose="02040503050406030204" pitchFamily="18" charset="0"/>
                                <a:ea typeface="+mn-ea"/>
                                <a:cs typeface="+mn-cs"/>
                              </a:rPr>
                              <m:t>(</m:t>
                            </m:r>
                            <m:r>
                              <a:rPr lang="it-IT" sz="1100" b="1" i="1" u="none" strike="noStrike">
                                <a:solidFill>
                                  <a:schemeClr val="tx1"/>
                                </a:solidFill>
                                <a:effectLst/>
                                <a:latin typeface="Cambria Math" panose="02040503050406030204" pitchFamily="18" charset="0"/>
                                <a:ea typeface="+mn-ea"/>
                                <a:cs typeface="+mn-cs"/>
                              </a:rPr>
                              <m:t>𝟏</m:t>
                            </m:r>
                            <m:r>
                              <a:rPr lang="it-IT" sz="1100" b="1" i="1" u="none" strike="noStrike">
                                <a:solidFill>
                                  <a:schemeClr val="tx1"/>
                                </a:solidFill>
                                <a:effectLst/>
                                <a:latin typeface="Cambria Math" panose="02040503050406030204" pitchFamily="18" charset="0"/>
                                <a:ea typeface="+mn-ea"/>
                                <a:cs typeface="+mn-cs"/>
                              </a:rPr>
                              <m:t>+</m:t>
                            </m:r>
                            <m:sSub>
                              <m:sSubPr>
                                <m:ctrlPr>
                                  <a:rPr lang="it-IT" sz="1100" b="1" i="1" u="none" strike="noStrike">
                                    <a:solidFill>
                                      <a:schemeClr val="tx1"/>
                                    </a:solidFill>
                                    <a:effectLst/>
                                    <a:latin typeface="Cambria Math" panose="02040503050406030204" pitchFamily="18" charset="0"/>
                                    <a:ea typeface="+mn-ea"/>
                                    <a:cs typeface="+mn-cs"/>
                                  </a:rPr>
                                </m:ctrlPr>
                              </m:sSubPr>
                              <m:e>
                                <m:r>
                                  <a:rPr lang="it-IT" sz="1100" b="1" i="1" u="none" strike="noStrike">
                                    <a:solidFill>
                                      <a:schemeClr val="tx1"/>
                                    </a:solidFill>
                                    <a:effectLst/>
                                    <a:latin typeface="Cambria Math" panose="02040503050406030204" pitchFamily="18" charset="0"/>
                                    <a:ea typeface="+mn-ea"/>
                                    <a:cs typeface="+mn-cs"/>
                                  </a:rPr>
                                  <m:t>𝒓</m:t>
                                </m:r>
                              </m:e>
                              <m:sub>
                                <m:r>
                                  <a:rPr lang="it-IT" sz="1100" b="1" i="1" u="none" strike="noStrike">
                                    <a:solidFill>
                                      <a:schemeClr val="tx1"/>
                                    </a:solidFill>
                                    <a:effectLst/>
                                    <a:latin typeface="Cambria Math" panose="02040503050406030204" pitchFamily="18" charset="0"/>
                                    <a:ea typeface="+mn-ea"/>
                                    <a:cs typeface="+mn-cs"/>
                                  </a:rPr>
                                  <m:t>𝒂𝒏𝒏𝒖𝒂𝒍𝒊𝒛𝒆𝒅</m:t>
                                </m:r>
                                <m:r>
                                  <a:rPr lang="it-IT" sz="1100" b="1" i="1" u="none" strike="noStrike">
                                    <a:solidFill>
                                      <a:schemeClr val="tx1"/>
                                    </a:solidFill>
                                    <a:effectLst/>
                                    <a:latin typeface="Cambria Math" panose="02040503050406030204" pitchFamily="18" charset="0"/>
                                    <a:ea typeface="+mn-ea"/>
                                    <a:cs typeface="+mn-cs"/>
                                  </a:rPr>
                                  <m:t> </m:t>
                                </m:r>
                                <m:r>
                                  <a:rPr lang="it-IT" sz="1100" b="1" i="1" u="none" strike="noStrike">
                                    <a:solidFill>
                                      <a:schemeClr val="tx1"/>
                                    </a:solidFill>
                                    <a:effectLst/>
                                    <a:latin typeface="Cambria Math" panose="02040503050406030204" pitchFamily="18" charset="0"/>
                                    <a:ea typeface="+mn-ea"/>
                                    <a:cs typeface="+mn-cs"/>
                                  </a:rPr>
                                  <m:t>𝒄𝒐𝒎</m:t>
                                </m:r>
                              </m:sub>
                            </m:sSub>
                            <m:r>
                              <a:rPr lang="it-IT" sz="1100" b="1" i="1" u="none" strike="noStrike">
                                <a:solidFill>
                                  <a:schemeClr val="tx1"/>
                                </a:solidFill>
                                <a:effectLst/>
                                <a:latin typeface="Cambria Math" panose="02040503050406030204" pitchFamily="18" charset="0"/>
                                <a:ea typeface="+mn-ea"/>
                                <a:cs typeface="+mn-cs"/>
                              </a:rPr>
                              <m:t>)</m:t>
                            </m:r>
                          </m:e>
                          <m:sup>
                            <m:r>
                              <a:rPr lang="it-IT" sz="1100" b="1" i="1" u="none" strike="noStrike">
                                <a:solidFill>
                                  <a:schemeClr val="tx1"/>
                                </a:solidFill>
                                <a:effectLst/>
                                <a:latin typeface="Cambria Math" panose="02040503050406030204" pitchFamily="18" charset="0"/>
                                <a:ea typeface="+mn-ea"/>
                                <a:cs typeface="+mn-cs"/>
                              </a:rPr>
                              <m:t>𝒕</m:t>
                            </m:r>
                          </m:sup>
                        </m:sSup>
                      </m:den>
                    </m:f>
                  </m:oMath>
                </m:oMathPara>
              </a14:m>
              <a:endParaRPr lang="en-GB" sz="1100" b="1"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n is the number of the future nodes</a:t>
              </a:r>
              <a:endParaRPr lang="en-GB" sz="1100" b="0"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1"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1"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1" i="0" u="sng"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a:solidFill>
                  <a:schemeClr val="tx1"/>
                </a:solidFill>
                <a:effectLst/>
              </a:endParaRPr>
            </a:p>
          </xdr:txBody>
        </xdr:sp>
      </mc:Choice>
      <mc:Fallback xmlns="">
        <xdr:sp macro="" textlink="">
          <xdr:nvSpPr>
            <xdr:cNvPr id="6" name="Rectangle: Rounded Corners 1">
              <a:extLst>
                <a:ext uri="{FF2B5EF4-FFF2-40B4-BE49-F238E27FC236}">
                  <a16:creationId xmlns:a16="http://schemas.microsoft.com/office/drawing/2014/main" id="{349FB0F3-536C-D189-A1FA-4C70B7273F04}"/>
                </a:ext>
              </a:extLst>
            </xdr:cNvPr>
            <xdr:cNvSpPr/>
          </xdr:nvSpPr>
          <xdr:spPr>
            <a:xfrm>
              <a:off x="643758" y="4053009"/>
              <a:ext cx="8160849" cy="1776292"/>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sng" strike="noStrike">
                  <a:solidFill>
                    <a:schemeClr val="tx1"/>
                  </a:solidFill>
                  <a:effectLst/>
                  <a:latin typeface="+mn-lt"/>
                  <a:ea typeface="+mn-ea"/>
                  <a:cs typeface="+mn-cs"/>
                </a:rPr>
                <a:t>Function</a:t>
              </a:r>
              <a:r>
                <a:rPr lang="en-GB" sz="1100" b="1" i="0" u="sng" strike="noStrike" baseline="0">
                  <a:solidFill>
                    <a:schemeClr val="tx1"/>
                  </a:solidFill>
                  <a:effectLst/>
                  <a:latin typeface="+mn-lt"/>
                  <a:ea typeface="+mn-ea"/>
                  <a:cs typeface="+mn-cs"/>
                </a:rPr>
                <a:t> of the value of the portfolio:</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cs typeface="Times New Roman" panose="02020603050405020304" pitchFamily="18" charset="0"/>
                </a:rPr>
                <a:t>𝑽(𝑷)=𝑪_𝟏</a:t>
              </a:r>
              <a:r>
                <a:rPr lang="el-GR" sz="1100" b="1" i="0" dirty="0">
                  <a:solidFill>
                    <a:schemeClr val="tx1"/>
                  </a:solidFill>
                  <a:latin typeface="Cambria Math" panose="02040503050406030204" pitchFamily="18" charset="0"/>
                  <a:cs typeface="Times New Roman" panose="02020603050405020304" pitchFamily="18" charset="0"/>
                </a:rPr>
                <a:t>×</a:t>
              </a:r>
              <a:r>
                <a:rPr lang="it-IT" sz="1100" b="1" i="0" dirty="0">
                  <a:solidFill>
                    <a:schemeClr val="tx1"/>
                  </a:solidFill>
                  <a:latin typeface="Cambria Math" panose="02040503050406030204" pitchFamily="18" charset="0"/>
                  <a:cs typeface="Times New Roman" panose="02020603050405020304" pitchFamily="18" charset="0"/>
                </a:rPr>
                <a:t>𝑷^((𝟏))+…+𝑪_𝒊</a:t>
              </a:r>
              <a:r>
                <a:rPr lang="el-GR" sz="1100" b="1" i="0" dirty="0">
                  <a:solidFill>
                    <a:schemeClr val="tx1"/>
                  </a:solidFill>
                  <a:latin typeface="Cambria Math" panose="02040503050406030204" pitchFamily="18" charset="0"/>
                  <a:cs typeface="Times New Roman" panose="02020603050405020304" pitchFamily="18" charset="0"/>
                </a:rPr>
                <a:t>×</a:t>
              </a:r>
              <a:r>
                <a:rPr lang="it-IT" sz="1100" b="1" i="0" dirty="0">
                  <a:solidFill>
                    <a:schemeClr val="tx1"/>
                  </a:solidFill>
                  <a:latin typeface="Cambria Math" panose="02040503050406030204" pitchFamily="18" charset="0"/>
                  <a:cs typeface="Times New Roman" panose="02020603050405020304" pitchFamily="18" charset="0"/>
                </a:rPr>
                <a:t>𝑷^((𝒊) )+…+𝑪_𝒏</a:t>
              </a:r>
              <a:r>
                <a:rPr lang="el-GR" sz="1100" b="1" i="0" dirty="0">
                  <a:solidFill>
                    <a:schemeClr val="tx1"/>
                  </a:solidFill>
                  <a:latin typeface="Cambria Math" panose="02040503050406030204" pitchFamily="18" charset="0"/>
                  <a:cs typeface="Times New Roman" panose="02020603050405020304" pitchFamily="18" charset="0"/>
                </a:rPr>
                <a:t>×</a:t>
              </a:r>
              <a:r>
                <a:rPr lang="it-IT" sz="1100" b="1" i="0" dirty="0">
                  <a:solidFill>
                    <a:schemeClr val="tx1"/>
                  </a:solidFill>
                  <a:latin typeface="Cambria Math" panose="02040503050406030204" pitchFamily="18" charset="0"/>
                  <a:cs typeface="Times New Roman" panose="02020603050405020304" pitchFamily="18" charset="0"/>
                </a:rPr>
                <a:t>𝑷^((𝒏))</a:t>
              </a:r>
              <a:endParaRPr lang="it-IT" sz="1100" b="1" i="0" dirty="0">
                <a:solidFill>
                  <a:schemeClr val="tx1"/>
                </a:solidFill>
                <a:latin typeface="+mn-lt"/>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where</a:t>
              </a:r>
              <a:r>
                <a:rPr lang="en-GB" sz="1100" b="1" i="0" u="none" strike="noStrike" baseline="0">
                  <a:solidFill>
                    <a:schemeClr val="tx1"/>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r>
                <a:rPr lang="en-GB" sz="1100" b="0" i="0" u="none" strike="noStrike" baseline="0">
                  <a:solidFill>
                    <a:schemeClr val="tx1"/>
                  </a:solidFill>
                  <a:effectLst/>
                  <a:latin typeface="Cambria Math" panose="02040503050406030204" pitchFamily="18" charset="0"/>
                  <a:ea typeface="+mn-ea"/>
                  <a:cs typeface="+mn-cs"/>
                </a:rPr>
                <a:t>𝑉(𝑃) </a:t>
              </a:r>
              <a:r>
                <a:rPr lang="en-GB" sz="1100" b="0" i="0" u="none" strike="noStrike" baseline="0">
                  <a:solidFill>
                    <a:schemeClr val="tx1"/>
                  </a:solidFill>
                  <a:effectLst/>
                  <a:latin typeface="+mn-lt"/>
                  <a:ea typeface="+mn-ea"/>
                  <a:cs typeface="+mn-cs"/>
                </a:rPr>
                <a:t>is a linear function in the </a:t>
              </a:r>
              <a:r>
                <a:rPr lang="it-IT" sz="1100" b="0" i="0" dirty="0">
                  <a:solidFill>
                    <a:schemeClr val="tx1"/>
                  </a:solidFill>
                  <a:latin typeface="Cambria Math" panose="02040503050406030204" pitchFamily="18" charset="0"/>
                  <a:cs typeface="Times New Roman" panose="02020603050405020304" pitchFamily="18" charset="0"/>
                </a:rPr>
                <a:t>𝑃^((𝑖))</a:t>
              </a:r>
              <a:endParaRPr lang="en-GB" sz="1100" b="1" i="0" u="none" strike="noStrike"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baseline="0">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r>
                <a:rPr lang="it-IT" sz="1100" b="0" i="0" dirty="0">
                  <a:solidFill>
                    <a:schemeClr val="tx1"/>
                  </a:solidFill>
                  <a:latin typeface="Cambria Math" panose="02040503050406030204" pitchFamily="18" charset="0"/>
                  <a:cs typeface="Times New Roman" panose="02020603050405020304" pitchFamily="18" charset="0"/>
                </a:rPr>
                <a:t>𝐶_𝑖</a:t>
              </a:r>
              <a:r>
                <a:rPr lang="en-GB" sz="1100" b="0" i="0" u="none" strike="noStrike" baseline="0">
                  <a:solidFill>
                    <a:schemeClr val="tx1"/>
                  </a:solidFill>
                  <a:effectLst/>
                  <a:latin typeface="+mn-lt"/>
                  <a:ea typeface="+mn-ea"/>
                  <a:cs typeface="+mn-cs"/>
                </a:rPr>
                <a:t> is the face value of the future cash flows taking into account the clumping results</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baseline="0">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r>
                <a:rPr lang="it-IT" sz="1100" b="0" i="0" dirty="0">
                  <a:solidFill>
                    <a:schemeClr val="tx1"/>
                  </a:solidFill>
                  <a:latin typeface="Cambria Math" panose="02040503050406030204" pitchFamily="18" charset="0"/>
                  <a:cs typeface="Times New Roman" panose="02020603050405020304" pitchFamily="18" charset="0"/>
                </a:rPr>
                <a:t>𝑃^((𝑖))</a:t>
              </a:r>
              <a:r>
                <a:rPr lang="en-GB" sz="1100" b="0" i="0" u="none" strike="noStrike">
                  <a:solidFill>
                    <a:schemeClr val="tx1"/>
                  </a:solidFill>
                  <a:effectLst/>
                  <a:latin typeface="+mn-lt"/>
                  <a:ea typeface="+mn-ea"/>
                  <a:cs typeface="+mn-cs"/>
                </a:rPr>
                <a:t> is the discount factor (Price</a:t>
              </a:r>
              <a:r>
                <a:rPr lang="en-GB" sz="1100" b="0" i="0" u="none" strike="noStrike" baseline="0">
                  <a:solidFill>
                    <a:schemeClr val="tx1"/>
                  </a:solidFill>
                  <a:effectLst/>
                  <a:latin typeface="+mn-lt"/>
                  <a:ea typeface="+mn-ea"/>
                  <a:cs typeface="+mn-cs"/>
                </a:rPr>
                <a:t> of the ZCB associated to node i</a:t>
              </a:r>
              <a:r>
                <a:rPr lang="en-GB" sz="1100" b="0"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that can be written as:</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cs typeface="Times New Roman" panose="02020603050405020304" pitchFamily="18" charset="0"/>
                </a:rPr>
                <a:t>𝑷^((𝒊))=</a:t>
              </a:r>
              <a:r>
                <a:rPr lang="en-GB" sz="1100" b="1" i="0" u="none" strike="noStrike">
                  <a:solidFill>
                    <a:schemeClr val="tx1"/>
                  </a:solidFill>
                  <a:effectLst/>
                  <a:latin typeface="Cambria Math" panose="02040503050406030204" pitchFamily="18" charset="0"/>
                  <a:ea typeface="+mn-ea"/>
                  <a:cs typeface="+mn-cs"/>
                </a:rPr>
                <a:t>𝒆^(−</a:t>
              </a:r>
              <a:r>
                <a:rPr lang="it-IT" sz="1100" b="1" i="0" u="none" strike="noStrike">
                  <a:solidFill>
                    <a:schemeClr val="tx1"/>
                  </a:solidFill>
                  <a:effectLst/>
                  <a:latin typeface="Cambria Math" panose="02040503050406030204" pitchFamily="18" charset="0"/>
                  <a:ea typeface="+mn-ea"/>
                  <a:cs typeface="+mn-cs"/>
                </a:rPr>
                <a:t>𝒓</a:t>
              </a:r>
              <a:r>
                <a:rPr lang="en-GB" sz="1100" b="1" i="0" u="none" strike="noStrike">
                  <a:solidFill>
                    <a:schemeClr val="tx1"/>
                  </a:solidFill>
                  <a:effectLst/>
                  <a:latin typeface="Cambria Math" panose="02040503050406030204" pitchFamily="18" charset="0"/>
                  <a:ea typeface="+mn-ea"/>
                  <a:cs typeface="+mn-cs"/>
                </a:rPr>
                <a:t>_(</a:t>
              </a:r>
              <a:r>
                <a:rPr lang="it-IT" sz="1100" b="1" i="0" u="none" strike="noStrike">
                  <a:solidFill>
                    <a:schemeClr val="tx1"/>
                  </a:solidFill>
                  <a:effectLst/>
                  <a:latin typeface="Cambria Math" panose="02040503050406030204" pitchFamily="18" charset="0"/>
                  <a:ea typeface="+mn-ea"/>
                  <a:cs typeface="+mn-cs"/>
                </a:rPr>
                <a:t>𝒊𝒏𝒔𝒕𝒂𝒏𝒕𝒂𝒏𝒆𝒐𝒔𝒍𝒚 𝒄𝒐𝒎𝒑</a:t>
              </a:r>
              <a:r>
                <a:rPr lang="en-GB" sz="1100" b="1" i="0" u="none" strike="noStrike">
                  <a:solidFill>
                    <a:schemeClr val="tx1"/>
                  </a:solidFill>
                  <a:effectLst/>
                  <a:latin typeface="Cambria Math" panose="02040503050406030204" pitchFamily="18" charset="0"/>
                  <a:ea typeface="+mn-ea"/>
                  <a:cs typeface="+mn-cs"/>
                </a:rPr>
                <a:t>)</a:t>
              </a:r>
              <a:r>
                <a:rPr lang="it-IT" sz="1100" b="1" i="0" u="none" strike="noStrike">
                  <a:solidFill>
                    <a:schemeClr val="tx1"/>
                  </a:solidFill>
                  <a:effectLst/>
                  <a:latin typeface="Cambria Math" panose="02040503050406030204" pitchFamily="18" charset="0"/>
                  <a:ea typeface="+mn-ea"/>
                  <a:cs typeface="+mn-cs"/>
                </a:rPr>
                <a:t>  </a:t>
              </a:r>
              <a:r>
                <a:rPr lang="en-GB" sz="1100" b="1" i="0" u="none" strike="noStrike">
                  <a:solidFill>
                    <a:schemeClr val="tx1"/>
                  </a:solidFill>
                  <a:effectLst/>
                  <a:latin typeface="Cambria Math" panose="02040503050406030204" pitchFamily="18" charset="0"/>
                  <a:ea typeface="Cambria Math" panose="02040503050406030204" pitchFamily="18" charset="0"/>
                  <a:cs typeface="+mn-cs"/>
                </a:rPr>
                <a:t>×</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 </a:t>
              </a:r>
              <a:r>
                <a:rPr lang="en-GB" sz="1100" b="1" i="0" u="none" strike="noStrike">
                  <a:solidFill>
                    <a:schemeClr val="tx1"/>
                  </a:solidFill>
                  <a:effectLst/>
                  <a:latin typeface="Cambria Math" panose="02040503050406030204" pitchFamily="18" charset="0"/>
                  <a:ea typeface="+mn-ea"/>
                  <a:cs typeface="+mn-cs"/>
                </a:rPr>
                <a:t>𝒕)</a:t>
              </a:r>
              <a:r>
                <a:rPr lang="it-IT" sz="1100" b="1" i="0" u="none" strike="noStrike">
                  <a:solidFill>
                    <a:schemeClr val="tx1"/>
                  </a:solidFill>
                  <a:effectLst/>
                  <a:latin typeface="Cambria Math" panose="02040503050406030204" pitchFamily="18" charset="0"/>
                  <a:ea typeface="+mn-ea"/>
                  <a:cs typeface="+mn-cs"/>
                </a:rPr>
                <a:t>=  𝟏/〖(𝟏+𝒓_(𝒂𝒏𝒏𝒖𝒂𝒍𝒊𝒛𝒆𝒅 𝒄𝒐𝒎))〗^𝒕 </a:t>
              </a:r>
              <a:endParaRPr lang="en-GB" sz="1100" b="1"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n is the number of the future nodes</a:t>
              </a:r>
              <a:endParaRPr lang="en-GB" sz="1100" b="0"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1"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1"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1" i="0" u="sng"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a:solidFill>
                  <a:schemeClr val="tx1"/>
                </a:solidFill>
                <a:effectLst/>
              </a:endParaRPr>
            </a:p>
          </xdr:txBody>
        </xdr:sp>
      </mc:Fallback>
    </mc:AlternateContent>
    <xdr:clientData/>
  </xdr:twoCellAnchor>
  <xdr:twoCellAnchor>
    <xdr:from>
      <xdr:col>12</xdr:col>
      <xdr:colOff>336648</xdr:colOff>
      <xdr:row>23</xdr:row>
      <xdr:rowOff>116008</xdr:rowOff>
    </xdr:from>
    <xdr:to>
      <xdr:col>22</xdr:col>
      <xdr:colOff>249839</xdr:colOff>
      <xdr:row>31</xdr:row>
      <xdr:rowOff>5286</xdr:rowOff>
    </xdr:to>
    <mc:AlternateContent xmlns:mc="http://schemas.openxmlformats.org/markup-compatibility/2006" xmlns:a14="http://schemas.microsoft.com/office/drawing/2010/main">
      <mc:Choice Requires="a14">
        <xdr:sp macro="" textlink="">
          <xdr:nvSpPr>
            <xdr:cNvPr id="3" name="Rectangle: Rounded Corners 1">
              <a:extLst>
                <a:ext uri="{FF2B5EF4-FFF2-40B4-BE49-F238E27FC236}">
                  <a16:creationId xmlns:a16="http://schemas.microsoft.com/office/drawing/2014/main" id="{480F8F14-982D-6A49-907D-C9618C282212}"/>
                </a:ext>
              </a:extLst>
            </xdr:cNvPr>
            <xdr:cNvSpPr/>
          </xdr:nvSpPr>
          <xdr:spPr>
            <a:xfrm>
              <a:off x="8426818" y="4161093"/>
              <a:ext cx="7290000" cy="1251150"/>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sng" strike="noStrike">
                  <a:solidFill>
                    <a:schemeClr val="tx1"/>
                  </a:solidFill>
                  <a:effectLst/>
                  <a:latin typeface="+mn-lt"/>
                  <a:ea typeface="+mn-ea"/>
                  <a:cs typeface="+mn-cs"/>
                </a:rPr>
                <a:t>Relevant</a:t>
              </a:r>
              <a:r>
                <a:rPr lang="en-GB" sz="1100" b="1" i="0" u="sng" strike="noStrike" baseline="0">
                  <a:solidFill>
                    <a:schemeClr val="tx1"/>
                  </a:solidFill>
                  <a:effectLst/>
                  <a:latin typeface="+mn-lt"/>
                  <a:ea typeface="+mn-ea"/>
                  <a:cs typeface="+mn-cs"/>
                </a:rPr>
                <a:t> risk factors:</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i="0">
                  <a:solidFill>
                    <a:schemeClr val="tx1"/>
                  </a:solidFill>
                  <a:effectLst/>
                  <a:latin typeface="+mn-lt"/>
                  <a:ea typeface="+mn-ea"/>
                  <a:cs typeface="+mn-cs"/>
                </a:rPr>
                <a:t>The logarithmic</a:t>
              </a:r>
              <a:r>
                <a:rPr lang="en-GB" sz="1100" b="0" i="0" baseline="0">
                  <a:solidFill>
                    <a:schemeClr val="tx1"/>
                  </a:solidFill>
                  <a:effectLst/>
                  <a:latin typeface="+mn-lt"/>
                  <a:ea typeface="+mn-ea"/>
                  <a:cs typeface="+mn-cs"/>
                </a:rPr>
                <a:t> </a:t>
              </a:r>
              <a:r>
                <a:rPr lang="en-GB" sz="1100" b="0" i="0">
                  <a:solidFill>
                    <a:schemeClr val="tx1"/>
                  </a:solidFill>
                  <a:effectLst/>
                  <a:latin typeface="+mn-lt"/>
                  <a:ea typeface="+mn-ea"/>
                  <a:cs typeface="+mn-cs"/>
                </a:rPr>
                <a:t>returns computed on the zero-coupon prices are the relevant risk factors used for</a:t>
              </a:r>
              <a:r>
                <a:rPr lang="en-GB" sz="1100" b="0" i="0" baseline="0">
                  <a:solidFill>
                    <a:schemeClr val="tx1"/>
                  </a:solidFill>
                  <a:effectLst/>
                  <a:latin typeface="+mn-lt"/>
                  <a:ea typeface="+mn-ea"/>
                  <a:cs typeface="+mn-cs"/>
                </a:rPr>
                <a:t> </a:t>
              </a:r>
              <a:r>
                <a:rPr lang="en-GB" sz="1100" b="0" i="0">
                  <a:solidFill>
                    <a:schemeClr val="tx1"/>
                  </a:solidFill>
                  <a:effectLst/>
                  <a:latin typeface="+mn-lt"/>
                  <a:ea typeface="+mn-ea"/>
                  <a:cs typeface="+mn-cs"/>
                </a:rPr>
                <a:t>the computation of VaR</a:t>
              </a:r>
            </a:p>
            <a:p>
              <a:pPr marL="0" marR="0" lvl="0" indent="0" algn="ctr"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sSub>
                    <m:sSub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𝒓</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𝒍𝒐</m:t>
                      </m:r>
                      <m:sSub>
                        <m:sSub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𝒈</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𝒘</m:t>
                          </m:r>
                        </m:sub>
                      </m:s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 ≡</m:t>
                      </m:r>
                    </m:sub>
                  </m:s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 </m:t>
                  </m:r>
                  <m:func>
                    <m:func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funcPr>
                    <m:fName>
                      <m:r>
                        <m:rPr>
                          <m:sty m:val="p"/>
                        </m:rPr>
                        <a:rPr lang="it-IT" sz="1100" b="0" i="0" u="none" strike="noStrike">
                          <a:solidFill>
                            <a:schemeClr val="tx1"/>
                          </a:solidFill>
                          <a:effectLst/>
                          <a:latin typeface="Cambria Math" panose="02040503050406030204" pitchFamily="18" charset="0"/>
                          <a:ea typeface="Cambria Math" panose="02040503050406030204" pitchFamily="18" charset="0"/>
                          <a:cs typeface="+mn-cs"/>
                        </a:rPr>
                        <m:t>ln</m:t>
                      </m:r>
                    </m:fName>
                    <m:e>
                      <m:f>
                        <m:fPr>
                          <m:ctrlPr>
                            <a:rPr lang="it-IT" sz="1100" b="0" i="1" u="none" strike="noStrike">
                              <a:solidFill>
                                <a:schemeClr val="tx1"/>
                              </a:solidFill>
                              <a:effectLst/>
                              <a:latin typeface="Cambria Math" panose="02040503050406030204" pitchFamily="18" charset="0"/>
                              <a:ea typeface="Cambria Math" panose="02040503050406030204" pitchFamily="18" charset="0"/>
                              <a:cs typeface="+mn-cs"/>
                            </a:rPr>
                          </m:ctrlPr>
                        </m:fPr>
                        <m:num>
                          <m:sSub>
                            <m:sSubPr>
                              <m:ctrlPr>
                                <a:rPr lang="it-IT" sz="1100" b="0" i="1" u="none" strike="noStrike">
                                  <a:solidFill>
                                    <a:schemeClr val="tx1"/>
                                  </a:solidFill>
                                  <a:effectLst/>
                                  <a:latin typeface="Cambria Math" panose="02040503050406030204" pitchFamily="18" charset="0"/>
                                  <a:ea typeface="Cambria Math" panose="02040503050406030204" pitchFamily="18" charset="0"/>
                                  <a:cs typeface="+mn-cs"/>
                                </a:rPr>
                              </m:ctrlPr>
                            </m:sSubPr>
                            <m:e>
                              <m:r>
                                <a:rPr lang="it-IT" sz="1100" b="0" i="1" u="none" strike="noStrike">
                                  <a:solidFill>
                                    <a:schemeClr val="tx1"/>
                                  </a:solidFill>
                                  <a:effectLst/>
                                  <a:latin typeface="Cambria Math" panose="02040503050406030204" pitchFamily="18" charset="0"/>
                                  <a:ea typeface="Cambria Math" panose="02040503050406030204" pitchFamily="18" charset="0"/>
                                  <a:cs typeface="+mn-cs"/>
                                </a:rPr>
                                <m:t>𝑃</m:t>
                              </m:r>
                            </m:e>
                            <m:sub>
                              <m:r>
                                <a:rPr lang="it-IT" sz="1100" b="0" i="1" u="none" strike="noStrike">
                                  <a:solidFill>
                                    <a:schemeClr val="tx1"/>
                                  </a:solidFill>
                                  <a:effectLst/>
                                  <a:latin typeface="Cambria Math" panose="02040503050406030204" pitchFamily="18" charset="0"/>
                                  <a:ea typeface="Cambria Math" panose="02040503050406030204" pitchFamily="18" charset="0"/>
                                  <a:cs typeface="+mn-cs"/>
                                </a:rPr>
                                <m:t>𝑇</m:t>
                              </m:r>
                            </m:sub>
                          </m:sSub>
                        </m:num>
                        <m:den>
                          <m:sSub>
                            <m:sSubPr>
                              <m:ctrlPr>
                                <a:rPr lang="it-IT" sz="1100" b="0" i="1" u="none" strike="noStrike">
                                  <a:solidFill>
                                    <a:schemeClr val="tx1"/>
                                  </a:solidFill>
                                  <a:effectLst/>
                                  <a:latin typeface="Cambria Math" panose="02040503050406030204" pitchFamily="18" charset="0"/>
                                  <a:ea typeface="Cambria Math" panose="02040503050406030204" pitchFamily="18" charset="0"/>
                                  <a:cs typeface="+mn-cs"/>
                                </a:rPr>
                              </m:ctrlPr>
                            </m:sSubPr>
                            <m:e>
                              <m:r>
                                <a:rPr lang="it-IT" sz="1100" b="0" i="1" u="none" strike="noStrike">
                                  <a:solidFill>
                                    <a:schemeClr val="tx1"/>
                                  </a:solidFill>
                                  <a:effectLst/>
                                  <a:latin typeface="Cambria Math" panose="02040503050406030204" pitchFamily="18" charset="0"/>
                                  <a:ea typeface="Cambria Math" panose="02040503050406030204" pitchFamily="18" charset="0"/>
                                  <a:cs typeface="+mn-cs"/>
                                </a:rPr>
                                <m:t>𝑃</m:t>
                              </m:r>
                            </m:e>
                            <m:sub>
                              <m:r>
                                <a:rPr lang="it-IT" sz="1100" b="0" i="1" u="none" strike="noStrike">
                                  <a:solidFill>
                                    <a:schemeClr val="tx1"/>
                                  </a:solidFill>
                                  <a:effectLst/>
                                  <a:latin typeface="Cambria Math" panose="02040503050406030204" pitchFamily="18" charset="0"/>
                                  <a:ea typeface="Cambria Math" panose="02040503050406030204" pitchFamily="18" charset="0"/>
                                  <a:cs typeface="+mn-cs"/>
                                </a:rPr>
                                <m:t>𝑡</m:t>
                              </m:r>
                            </m:sub>
                          </m:sSub>
                        </m:den>
                      </m:f>
                    </m:e>
                  </m:func>
                </m:oMath>
              </a14:m>
              <a:r>
                <a:rPr lang="en-GB" sz="1100" b="1" i="0" u="sng" strike="noStrike">
                  <a:solidFill>
                    <a:schemeClr val="tx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where:</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i="0" u="none" strike="noStrike">
                  <a:solidFill>
                    <a:schemeClr val="tx1"/>
                  </a:solidFill>
                  <a:effectLst/>
                  <a:latin typeface="+mn-lt"/>
                  <a:ea typeface="+mn-ea"/>
                  <a:cs typeface="+mn-cs"/>
                </a:rPr>
                <a:t>T-t </a:t>
              </a:r>
              <a:r>
                <a:rPr lang="en-GB" sz="1100" b="1" i="0" u="none" strike="noStrike">
                  <a:solidFill>
                    <a:schemeClr val="tx1"/>
                  </a:solidFill>
                  <a:effectLst/>
                  <a:latin typeface="+mn-lt"/>
                  <a:ea typeface="+mn-ea"/>
                  <a:cs typeface="+mn-cs"/>
                </a:rPr>
                <a:t>= </a:t>
              </a:r>
              <a:r>
                <a:rPr lang="en-GB" sz="1100" b="0" i="0" u="none" strike="noStrike">
                  <a:solidFill>
                    <a:schemeClr val="tx1"/>
                  </a:solidFill>
                  <a:effectLst/>
                  <a:latin typeface="+mn-lt"/>
                  <a:ea typeface="+mn-ea"/>
                  <a:cs typeface="+mn-cs"/>
                </a:rPr>
                <a:t>1 week</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0"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1"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a:solidFill>
                  <a:schemeClr val="tx1"/>
                </a:solidFill>
                <a:effectLst/>
              </a:endParaRPr>
            </a:p>
          </xdr:txBody>
        </xdr:sp>
      </mc:Choice>
      <mc:Fallback xmlns="">
        <xdr:sp macro="" textlink="">
          <xdr:nvSpPr>
            <xdr:cNvPr id="3" name="Rectangle: Rounded Corners 1">
              <a:extLst>
                <a:ext uri="{FF2B5EF4-FFF2-40B4-BE49-F238E27FC236}">
                  <a16:creationId xmlns:a16="http://schemas.microsoft.com/office/drawing/2014/main" id="{480F8F14-982D-6A49-907D-C9618C282212}"/>
                </a:ext>
              </a:extLst>
            </xdr:cNvPr>
            <xdr:cNvSpPr/>
          </xdr:nvSpPr>
          <xdr:spPr>
            <a:xfrm>
              <a:off x="8426818" y="4161093"/>
              <a:ext cx="7290000" cy="1251150"/>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sng" strike="noStrike">
                  <a:solidFill>
                    <a:schemeClr val="tx1"/>
                  </a:solidFill>
                  <a:effectLst/>
                  <a:latin typeface="+mn-lt"/>
                  <a:ea typeface="+mn-ea"/>
                  <a:cs typeface="+mn-cs"/>
                </a:rPr>
                <a:t>Relevant</a:t>
              </a:r>
              <a:r>
                <a:rPr lang="en-GB" sz="1100" b="1" i="0" u="sng" strike="noStrike" baseline="0">
                  <a:solidFill>
                    <a:schemeClr val="tx1"/>
                  </a:solidFill>
                  <a:effectLst/>
                  <a:latin typeface="+mn-lt"/>
                  <a:ea typeface="+mn-ea"/>
                  <a:cs typeface="+mn-cs"/>
                </a:rPr>
                <a:t> risk factors:</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i="0">
                  <a:solidFill>
                    <a:schemeClr val="tx1"/>
                  </a:solidFill>
                  <a:effectLst/>
                  <a:latin typeface="+mn-lt"/>
                  <a:ea typeface="+mn-ea"/>
                  <a:cs typeface="+mn-cs"/>
                </a:rPr>
                <a:t>The logarithmic</a:t>
              </a:r>
              <a:r>
                <a:rPr lang="en-GB" sz="1100" b="0" i="0" baseline="0">
                  <a:solidFill>
                    <a:schemeClr val="tx1"/>
                  </a:solidFill>
                  <a:effectLst/>
                  <a:latin typeface="+mn-lt"/>
                  <a:ea typeface="+mn-ea"/>
                  <a:cs typeface="+mn-cs"/>
                </a:rPr>
                <a:t> </a:t>
              </a:r>
              <a:r>
                <a:rPr lang="en-GB" sz="1100" b="0" i="0">
                  <a:solidFill>
                    <a:schemeClr val="tx1"/>
                  </a:solidFill>
                  <a:effectLst/>
                  <a:latin typeface="+mn-lt"/>
                  <a:ea typeface="+mn-ea"/>
                  <a:cs typeface="+mn-cs"/>
                </a:rPr>
                <a:t>returns computed on the zero-coupon prices are the relevant risk factors used for</a:t>
              </a:r>
              <a:r>
                <a:rPr lang="en-GB" sz="1100" b="0" i="0" baseline="0">
                  <a:solidFill>
                    <a:schemeClr val="tx1"/>
                  </a:solidFill>
                  <a:effectLst/>
                  <a:latin typeface="+mn-lt"/>
                  <a:ea typeface="+mn-ea"/>
                  <a:cs typeface="+mn-cs"/>
                </a:rPr>
                <a:t> </a:t>
              </a:r>
              <a:r>
                <a:rPr lang="en-GB" sz="1100" b="0" i="0">
                  <a:solidFill>
                    <a:schemeClr val="tx1"/>
                  </a:solidFill>
                  <a:effectLst/>
                  <a:latin typeface="+mn-lt"/>
                  <a:ea typeface="+mn-ea"/>
                  <a:cs typeface="+mn-cs"/>
                </a:rPr>
                <a:t>the computation of VaR</a:t>
              </a:r>
            </a:p>
            <a:p>
              <a:pPr marL="0" marR="0" lvl="0" indent="0" algn="ctr" defTabSz="914400" eaLnBrk="1" fontAlgn="auto" latinLnBrk="0" hangingPunct="1">
                <a:lnSpc>
                  <a:spcPct val="100000"/>
                </a:lnSpc>
                <a:spcBef>
                  <a:spcPts val="0"/>
                </a:spcBef>
                <a:spcAft>
                  <a:spcPts val="0"/>
                </a:spcAft>
                <a:buClrTx/>
                <a:buSzTx/>
                <a:buFontTx/>
                <a:buNone/>
                <a:tabLst/>
                <a:defRPr/>
              </a:pP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𝒓_(𝒍𝒐𝒈_𝒘  ≡)  </a:t>
              </a:r>
              <a:r>
                <a:rPr lang="it-IT" sz="1100" b="0" i="0" u="none" strike="noStrike">
                  <a:solidFill>
                    <a:schemeClr val="tx1"/>
                  </a:solidFill>
                  <a:effectLst/>
                  <a:latin typeface="Cambria Math" panose="02040503050406030204" pitchFamily="18" charset="0"/>
                  <a:ea typeface="Cambria Math" panose="02040503050406030204" pitchFamily="18" charset="0"/>
                  <a:cs typeface="+mn-cs"/>
                </a:rPr>
                <a:t> ln</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a:t>
              </a:r>
              <a:r>
                <a:rPr lang="it-IT" sz="1100" b="0" i="0" u="none" strike="noStrike">
                  <a:solidFill>
                    <a:schemeClr val="tx1"/>
                  </a:solidFill>
                  <a:effectLst/>
                  <a:latin typeface="Cambria Math" panose="02040503050406030204" pitchFamily="18" charset="0"/>
                  <a:ea typeface="Cambria Math" panose="02040503050406030204" pitchFamily="18" charset="0"/>
                  <a:cs typeface="+mn-cs"/>
                </a:rPr>
                <a:t>𝑃_𝑇/𝑃_𝑡 </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a:t>
              </a:r>
              <a:r>
                <a:rPr lang="en-GB" sz="1100" b="1" i="0" u="sng" strike="noStrike">
                  <a:solidFill>
                    <a:schemeClr val="tx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where:</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i="0" u="none" strike="noStrike">
                  <a:solidFill>
                    <a:schemeClr val="tx1"/>
                  </a:solidFill>
                  <a:effectLst/>
                  <a:latin typeface="+mn-lt"/>
                  <a:ea typeface="+mn-ea"/>
                  <a:cs typeface="+mn-cs"/>
                </a:rPr>
                <a:t>T-t </a:t>
              </a:r>
              <a:r>
                <a:rPr lang="en-GB" sz="1100" b="1" i="0" u="none" strike="noStrike">
                  <a:solidFill>
                    <a:schemeClr val="tx1"/>
                  </a:solidFill>
                  <a:effectLst/>
                  <a:latin typeface="+mn-lt"/>
                  <a:ea typeface="+mn-ea"/>
                  <a:cs typeface="+mn-cs"/>
                </a:rPr>
                <a:t>= </a:t>
              </a:r>
              <a:r>
                <a:rPr lang="en-GB" sz="1100" b="0" i="0" u="none" strike="noStrike">
                  <a:solidFill>
                    <a:schemeClr val="tx1"/>
                  </a:solidFill>
                  <a:effectLst/>
                  <a:latin typeface="+mn-lt"/>
                  <a:ea typeface="+mn-ea"/>
                  <a:cs typeface="+mn-cs"/>
                </a:rPr>
                <a:t>1 week</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0"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1"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a:solidFill>
                  <a:schemeClr val="tx1"/>
                </a:solidFill>
                <a:effectLst/>
              </a:endParaRPr>
            </a:p>
          </xdr:txBody>
        </xdr:sp>
      </mc:Fallback>
    </mc:AlternateContent>
    <xdr:clientData/>
  </xdr:twoCellAnchor>
  <xdr:twoCellAnchor>
    <xdr:from>
      <xdr:col>1</xdr:col>
      <xdr:colOff>537303</xdr:colOff>
      <xdr:row>35</xdr:row>
      <xdr:rowOff>16268</xdr:rowOff>
    </xdr:from>
    <xdr:to>
      <xdr:col>11</xdr:col>
      <xdr:colOff>572091</xdr:colOff>
      <xdr:row>88</xdr:row>
      <xdr:rowOff>190977</xdr:rowOff>
    </xdr:to>
    <mc:AlternateContent xmlns:mc="http://schemas.openxmlformats.org/markup-compatibility/2006" xmlns:a14="http://schemas.microsoft.com/office/drawing/2010/main">
      <mc:Choice Requires="a14">
        <xdr:sp macro="" textlink="">
          <xdr:nvSpPr>
            <xdr:cNvPr id="16" name="Rectangle: Rounded Corners 1">
              <a:extLst>
                <a:ext uri="{FF2B5EF4-FFF2-40B4-BE49-F238E27FC236}">
                  <a16:creationId xmlns:a16="http://schemas.microsoft.com/office/drawing/2014/main" id="{C7D47465-3750-4445-A17B-DACFF7CF8E01}"/>
                </a:ext>
              </a:extLst>
            </xdr:cNvPr>
            <xdr:cNvSpPr/>
          </xdr:nvSpPr>
          <xdr:spPr>
            <a:xfrm>
              <a:off x="651889" y="5850629"/>
              <a:ext cx="8151330" cy="8806889"/>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sng" strike="noStrike">
                  <a:solidFill>
                    <a:schemeClr val="tx1"/>
                  </a:solidFill>
                  <a:effectLst/>
                  <a:latin typeface="+mn-lt"/>
                  <a:ea typeface="+mn-ea"/>
                  <a:cs typeface="+mn-cs"/>
                </a:rPr>
                <a:t>Parametric</a:t>
              </a:r>
              <a:r>
                <a:rPr lang="en-GB" sz="1100" b="1" i="0" u="sng" strike="noStrike" baseline="0">
                  <a:solidFill>
                    <a:schemeClr val="tx1"/>
                  </a:solidFill>
                  <a:effectLst/>
                  <a:latin typeface="+mn-lt"/>
                  <a:ea typeface="+mn-ea"/>
                  <a:cs typeface="+mn-cs"/>
                </a:rPr>
                <a:t> Approach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1" i="0" u="sng" strike="noStrike"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baseline="0">
                  <a:solidFill>
                    <a:schemeClr val="tx1"/>
                  </a:solidFill>
                  <a:effectLst/>
                  <a:latin typeface="+mn-lt"/>
                  <a:ea typeface="Cambria Math" panose="02040503050406030204" pitchFamily="18" charset="0"/>
                  <a:cs typeface="+mn-cs"/>
                </a:rPr>
                <a:t>Main Assumptions:</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 </a:t>
              </a:r>
              <a:r>
                <a:rPr lang="it-IT" sz="1100" b="0" i="0" u="none" strike="noStrike" baseline="0">
                  <a:solidFill>
                    <a:schemeClr val="tx1"/>
                  </a:solidFill>
                  <a:effectLst/>
                  <a:latin typeface="+mn-lt"/>
                  <a:ea typeface="Cambria Math" panose="02040503050406030204" pitchFamily="18" charset="0"/>
                  <a:cs typeface="+mn-cs"/>
                </a:rPr>
                <a:t>The risk factors are normally distributed:  </a:t>
              </a:r>
              <a14:m>
                <m:oMath xmlns:m="http://schemas.openxmlformats.org/officeDocument/2006/math">
                  <m:limLow>
                    <m:limLowPr>
                      <m:ctrlP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ctrlPr>
                    </m:limLowPr>
                    <m:e>
                      <m:groupChr>
                        <m:groupChrPr>
                          <m:chr m:val="⏟"/>
                          <m:ctrlP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ctrlPr>
                        </m:groupChrPr>
                        <m:e>
                          <m:sSub>
                            <m:sSubPr>
                              <m:ctrlP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ctrlPr>
                            </m:sSubPr>
                            <m:e>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𝒓</m:t>
                              </m:r>
                            </m:e>
                            <m:sub>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𝒍𝒐</m:t>
                              </m:r>
                              <m:sSub>
                                <m:sSubPr>
                                  <m:ctrlP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ctrlPr>
                                </m:sSubPr>
                                <m:e>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𝒈</m:t>
                                  </m:r>
                                </m:e>
                                <m:sub>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𝒘</m:t>
                                  </m:r>
                                </m:sub>
                              </m:sSub>
                            </m:sub>
                          </m:sSub>
                        </m:e>
                      </m:groupChr>
                    </m:e>
                    <m:lim>
                      <m:eqArr>
                        <m:eqArrPr>
                          <m:ctrlP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ctrlPr>
                        </m:eqArrPr>
                        <m:e>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 </m:t>
                          </m:r>
                        </m:e>
                        <m:e>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 </m:t>
                          </m:r>
                        </m:e>
                        <m:e>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𝒏</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𝟏</m:t>
                          </m:r>
                        </m:e>
                      </m:eqArr>
                    </m:lim>
                  </m:limLow>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 </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𝑵</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𝝁</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m:t>
                  </m:r>
                  <m:r>
                    <a:rPr lang="el-GR" sz="1100" b="1" i="1" u="none" strike="noStrike" baseline="0">
                      <a:solidFill>
                        <a:schemeClr val="tx1"/>
                      </a:solidFill>
                      <a:effectLst/>
                      <a:latin typeface="Cambria Math" panose="02040503050406030204" pitchFamily="18" charset="0"/>
                      <a:ea typeface="Cambria Math" panose="02040503050406030204" pitchFamily="18" charset="0"/>
                      <a:cs typeface="+mn-cs"/>
                    </a:rPr>
                    <m:t>𝜮</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 (</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𝑻</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𝒕</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m:t>
                  </m:r>
                </m:oMath>
              </a14:m>
              <a:endPar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with</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a:solidFill>
                    <a:schemeClr val="tx1"/>
                  </a:solidFill>
                  <a:effectLst/>
                  <a:latin typeface="+mn-lt"/>
                  <a:ea typeface="Cambria Math" panose="02040503050406030204" pitchFamily="18" charset="0"/>
                  <a:cs typeface="+mn-cs"/>
                </a:rPr>
                <a:t>-</a:t>
              </a:r>
              <a:r>
                <a:rPr lang="it-IT" sz="1100" b="0" i="0" u="none" strike="noStrike" baseline="0">
                  <a:solidFill>
                    <a:schemeClr val="tx1"/>
                  </a:solidFill>
                  <a:effectLst/>
                  <a:latin typeface="+mn-lt"/>
                  <a:ea typeface="Cambria Math" panose="02040503050406030204" pitchFamily="18" charset="0"/>
                  <a:cs typeface="+mn-cs"/>
                </a:rPr>
                <a:t> The Zero mean assumption  </a:t>
              </a:r>
              <a14:m>
                <m:oMath xmlns:m="http://schemas.openxmlformats.org/officeDocument/2006/math">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𝝁</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𝟎</m:t>
                  </m:r>
                </m:oMath>
              </a14:m>
              <a:r>
                <a:rPr lang="it-IT" sz="1100" b="0" i="0" u="none" strike="noStrike" baseline="0">
                  <a:solidFill>
                    <a:schemeClr val="tx1"/>
                  </a:solidFill>
                  <a:effectLst/>
                  <a:latin typeface="+mn-lt"/>
                  <a:ea typeface="Cambria Math" panose="02040503050406030204" pitchFamily="18" charset="0"/>
                  <a:cs typeface="+mn-cs"/>
                </a:rPr>
                <a:t> since for a very short risk horizon there is no better estimate than 0 </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 </a:t>
              </a:r>
              <a:r>
                <a:rPr lang="en-GB" sz="1100">
                  <a:solidFill>
                    <a:schemeClr val="tx1"/>
                  </a:solidFill>
                  <a:effectLst/>
                  <a:latin typeface="+mn-lt"/>
                  <a:ea typeface="+mn-ea"/>
                  <a:cs typeface="+mn-cs"/>
                </a:rPr>
                <a:t>The covariance matrix </a:t>
              </a:r>
              <a:r>
                <a:rPr lang="el-GR" sz="1100" b="1">
                  <a:solidFill>
                    <a:schemeClr val="tx1"/>
                  </a:solidFill>
                  <a:effectLst/>
                  <a:latin typeface="+mn-lt"/>
                  <a:ea typeface="+mn-ea"/>
                  <a:cs typeface="+mn-cs"/>
                </a:rPr>
                <a:t>Σ</a:t>
              </a:r>
              <a:r>
                <a:rPr lang="it-IT" sz="1100" baseline="0">
                  <a:solidFill>
                    <a:schemeClr val="tx1"/>
                  </a:solidFill>
                  <a:effectLst/>
                  <a:latin typeface="+mn-lt"/>
                  <a:ea typeface="+mn-ea"/>
                  <a:cs typeface="+mn-cs"/>
                </a:rPr>
                <a:t> </a:t>
              </a:r>
              <a:r>
                <a:rPr lang="en-GB" sz="1100">
                  <a:solidFill>
                    <a:schemeClr val="tx1"/>
                  </a:solidFill>
                  <a:effectLst/>
                  <a:latin typeface="+mn-lt"/>
                  <a:ea typeface="+mn-ea"/>
                  <a:cs typeface="+mn-cs"/>
                </a:rPr>
                <a:t>estimated using an </a:t>
              </a:r>
              <a:r>
                <a:rPr lang="en-GB" sz="1100" b="1">
                  <a:solidFill>
                    <a:schemeClr val="tx1"/>
                  </a:solidFill>
                  <a:effectLst/>
                  <a:latin typeface="+mn-lt"/>
                  <a:ea typeface="+mn-ea"/>
                  <a:cs typeface="+mn-cs"/>
                </a:rPr>
                <a:t>EWMA</a:t>
              </a:r>
              <a:r>
                <a:rPr lang="en-GB" sz="1100">
                  <a:solidFill>
                    <a:schemeClr val="tx1"/>
                  </a:solidFill>
                  <a:effectLst/>
                  <a:latin typeface="+mn-lt"/>
                  <a:ea typeface="+mn-ea"/>
                  <a:cs typeface="+mn-cs"/>
                </a:rPr>
                <a:t> approach with </a:t>
              </a:r>
              <a:r>
                <a:rPr lang="el-GR" sz="1100" b="1">
                  <a:solidFill>
                    <a:schemeClr val="tx1"/>
                  </a:solidFill>
                  <a:effectLst/>
                  <a:latin typeface="+mn-lt"/>
                  <a:ea typeface="+mn-ea"/>
                  <a:cs typeface="+mn-cs"/>
                </a:rPr>
                <a:t>λ = 0.94</a:t>
              </a:r>
              <a:r>
                <a:rPr lang="el-GR" sz="1100">
                  <a:solidFill>
                    <a:schemeClr val="tx1"/>
                  </a:solidFill>
                  <a:effectLst/>
                  <a:latin typeface="+mn-lt"/>
                  <a:ea typeface="+mn-ea"/>
                  <a:cs typeface="+mn-cs"/>
                </a:rPr>
                <a:t>, </a:t>
              </a:r>
              <a:r>
                <a:rPr lang="en-GB" sz="1100">
                  <a:solidFill>
                    <a:schemeClr val="tx1"/>
                  </a:solidFill>
                  <a:effectLst/>
                  <a:latin typeface="+mn-lt"/>
                  <a:ea typeface="+mn-ea"/>
                  <a:cs typeface="+mn-cs"/>
                </a:rPr>
                <a:t>assigning greater weight to recent observations and  allows volatility and correlations to vary over time. This method also mitigates the echo effect associated with simple moving averages, whereby past shocks may have an artificial and abrupt impact on volatility estimates when they enter or leave the estimation window.</a:t>
              </a:r>
              <a:endParaRPr lang="en-GB" sz="1100" b="0" i="0" u="none" strike="noStrike"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000" b="1" i="0" u="none" strike="noStrike" baseline="0">
                  <a:solidFill>
                    <a:schemeClr val="tx1"/>
                  </a:solidFill>
                  <a:effectLst/>
                  <a:latin typeface="+mn-lt"/>
                  <a:ea typeface="Cambria Math" panose="02040503050406030204" pitchFamily="18" charset="0"/>
                  <a:cs typeface="+mn-cs"/>
                </a:rPr>
                <a:t>Note:</a:t>
              </a:r>
            </a:p>
            <a:p>
              <a:pPr marL="0" marR="0" lvl="0" indent="0" algn="l" defTabSz="914400" eaLnBrk="1" fontAlgn="auto" latinLnBrk="0" hangingPunct="1">
                <a:lnSpc>
                  <a:spcPct val="100000"/>
                </a:lnSpc>
                <a:spcBef>
                  <a:spcPts val="0"/>
                </a:spcBef>
                <a:spcAft>
                  <a:spcPts val="0"/>
                </a:spcAft>
                <a:buClrTx/>
                <a:buSzTx/>
                <a:buFontTx/>
                <a:buNone/>
                <a:tabLst/>
                <a:defRPr/>
              </a:pPr>
              <a:r>
                <a:rPr lang="it-IT" sz="900" b="0" i="0" u="none" strike="noStrike" baseline="0">
                  <a:solidFill>
                    <a:schemeClr val="tx1"/>
                  </a:solidFill>
                  <a:effectLst/>
                  <a:latin typeface="+mn-lt"/>
                  <a:ea typeface="Cambria Math" panose="02040503050406030204" pitchFamily="18" charset="0"/>
                  <a:cs typeface="+mn-cs"/>
                </a:rPr>
                <a:t>Since the decay factor applied in the EWMA framework may excessively penalize past observations, an alternative estimation of the variance–covariance matrix of weekly log returns has been implemented using a simple moving average. The objective is to identify potential weaknesses or critical aspects of the EWMA approach.</a:t>
              </a:r>
            </a:p>
            <a:p>
              <a:pPr marL="0" marR="0" lvl="0" indent="0" algn="l" defTabSz="914400" eaLnBrk="1" fontAlgn="auto" latinLnBrk="0" hangingPunct="1">
                <a:lnSpc>
                  <a:spcPct val="100000"/>
                </a:lnSpc>
                <a:spcBef>
                  <a:spcPts val="0"/>
                </a:spcBef>
                <a:spcAft>
                  <a:spcPts val="0"/>
                </a:spcAft>
                <a:buClrTx/>
                <a:buSzTx/>
                <a:buFontTx/>
                <a:buNone/>
                <a:tabLst/>
                <a:defRPr/>
              </a:pPr>
              <a:endParaRPr lang="it-IT" sz="1100" b="1"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Methodology:</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0" i="0" u="none" strike="noStrike" baseline="0">
                  <a:solidFill>
                    <a:schemeClr val="tx1"/>
                  </a:solidFill>
                  <a:effectLst/>
                  <a:latin typeface="+mn-lt"/>
                  <a:ea typeface="Cambria Math" panose="02040503050406030204" pitchFamily="18" charset="0"/>
                  <a:cs typeface="+mn-cs"/>
                </a:rPr>
                <a:t>According to the Taylor's formula and stopping at the first derivative (since the</a:t>
              </a:r>
              <a14:m>
                <m:oMath xmlns:m="http://schemas.openxmlformats.org/officeDocument/2006/math">
                  <m:r>
                    <a:rPr lang="it-IT" sz="1100" b="0" i="0" u="none" strike="noStrike" baseline="0">
                      <a:solidFill>
                        <a:schemeClr val="tx1"/>
                      </a:solidFill>
                      <a:effectLst/>
                      <a:latin typeface="Cambria Math" panose="02040503050406030204" pitchFamily="18" charset="0"/>
                      <a:ea typeface="+mn-ea"/>
                      <a:cs typeface="+mn-cs"/>
                    </a:rPr>
                    <m:t> </m:t>
                  </m:r>
                  <m:r>
                    <a:rPr lang="en-GB" sz="1100" b="0" i="1" u="none" strike="noStrike" baseline="0">
                      <a:solidFill>
                        <a:schemeClr val="tx1"/>
                      </a:solidFill>
                      <a:effectLst/>
                      <a:latin typeface="Cambria Math" panose="02040503050406030204" pitchFamily="18" charset="0"/>
                      <a:ea typeface="+mn-ea"/>
                      <a:cs typeface="+mn-cs"/>
                    </a:rPr>
                    <m:t>𝑉</m:t>
                  </m:r>
                  <m:r>
                    <a:rPr lang="en-GB" sz="1100" b="0" i="1" u="none" strike="noStrike" baseline="0">
                      <a:solidFill>
                        <a:schemeClr val="tx1"/>
                      </a:solidFill>
                      <a:effectLst/>
                      <a:latin typeface="Cambria Math" panose="02040503050406030204" pitchFamily="18" charset="0"/>
                      <a:ea typeface="+mn-ea"/>
                      <a:cs typeface="+mn-cs"/>
                    </a:rPr>
                    <m:t>(</m:t>
                  </m:r>
                  <m:r>
                    <a:rPr lang="en-GB" sz="1100" b="0" i="1" u="none" strike="noStrike" baseline="0">
                      <a:solidFill>
                        <a:schemeClr val="tx1"/>
                      </a:solidFill>
                      <a:effectLst/>
                      <a:latin typeface="Cambria Math" panose="02040503050406030204" pitchFamily="18" charset="0"/>
                      <a:ea typeface="+mn-ea"/>
                      <a:cs typeface="+mn-cs"/>
                    </a:rPr>
                    <m:t>𝑃</m:t>
                  </m:r>
                  <m:r>
                    <a:rPr lang="en-GB" sz="1100" b="0" i="1" u="none" strike="noStrike" baseline="0">
                      <a:solidFill>
                        <a:schemeClr val="tx1"/>
                      </a:solidFill>
                      <a:effectLst/>
                      <a:latin typeface="Cambria Math" panose="02040503050406030204" pitchFamily="18" charset="0"/>
                      <a:ea typeface="+mn-ea"/>
                      <a:cs typeface="+mn-cs"/>
                    </a:rPr>
                    <m:t>) </m:t>
                  </m:r>
                </m:oMath>
              </a14:m>
              <a:r>
                <a:rPr lang="it-IT" sz="1100" b="0" i="0" u="none" strike="noStrike" baseline="0">
                  <a:solidFill>
                    <a:schemeClr val="tx1"/>
                  </a:solidFill>
                  <a:effectLst/>
                  <a:latin typeface="+mn-lt"/>
                  <a:ea typeface="Cambria Math" panose="02040503050406030204" pitchFamily="18" charset="0"/>
                  <a:cs typeface="+mn-cs"/>
                </a:rPr>
                <a:t>is perfectly linear in the discount factors) the change in the value of the portfolio can be approximated as:</a:t>
              </a: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d>
                      <m:dPr>
                        <m:ctrlPr>
                          <a:rPr lang="it-IT" sz="1100" b="1" i="1" dirty="0" smtClean="0">
                            <a:solidFill>
                              <a:schemeClr val="tx1"/>
                            </a:solidFill>
                            <a:latin typeface="Cambria Math" panose="02040503050406030204" pitchFamily="18" charset="0"/>
                            <a:cs typeface="Times New Roman" panose="02020603050405020304" pitchFamily="18" charset="0"/>
                          </a:rPr>
                        </m:ctrlPr>
                      </m:dPr>
                      <m:e>
                        <m:r>
                          <a:rPr lang="it-IT" sz="1100" b="1" i="1" dirty="0" smtClean="0">
                            <a:solidFill>
                              <a:schemeClr val="tx1"/>
                            </a:solidFill>
                            <a:latin typeface="Cambria Math" panose="02040503050406030204" pitchFamily="18" charset="0"/>
                            <a:cs typeface="Times New Roman" panose="02020603050405020304" pitchFamily="18" charset="0"/>
                          </a:rPr>
                          <m:t>𝑷</m:t>
                        </m:r>
                      </m:e>
                    </m:d>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cs typeface="Times New Roman" panose="02020603050405020304" pitchFamily="18" charset="0"/>
                      </a:rPr>
                      <m:t> </m:t>
                    </m:r>
                    <m:nary>
                      <m:naryPr>
                        <m:chr m:val="∑"/>
                        <m:ctrlPr>
                          <a:rPr lang="it-IT" sz="1100" b="1" i="1" dirty="0" smtClean="0">
                            <a:solidFill>
                              <a:schemeClr val="tx1"/>
                            </a:solidFill>
                            <a:latin typeface="Cambria Math" panose="02040503050406030204" pitchFamily="18" charset="0"/>
                            <a:cs typeface="Times New Roman" panose="02020603050405020304" pitchFamily="18" charset="0"/>
                          </a:rPr>
                        </m:ctrlPr>
                      </m:naryPr>
                      <m:sub>
                        <m:r>
                          <m:rPr>
                            <m:brk m:alnAt="23"/>
                          </m:rPr>
                          <a:rPr lang="it-IT" sz="1100" b="1" i="1" dirty="0" smtClean="0">
                            <a:solidFill>
                              <a:schemeClr val="tx1"/>
                            </a:solidFill>
                            <a:latin typeface="Cambria Math" panose="02040503050406030204" pitchFamily="18" charset="0"/>
                            <a:cs typeface="Times New Roman" panose="02020603050405020304" pitchFamily="18" charset="0"/>
                          </a:rPr>
                          <m:t>𝒊</m:t>
                        </m:r>
                        <m:r>
                          <a:rPr lang="it-IT" sz="1100" b="1" i="1" dirty="0" smtClean="0">
                            <a:solidFill>
                              <a:schemeClr val="tx1"/>
                            </a:solidFill>
                            <a:latin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cs typeface="Times New Roman" panose="02020603050405020304" pitchFamily="18" charset="0"/>
                          </a:rPr>
                          <m:t>𝟏</m:t>
                        </m:r>
                      </m:sub>
                      <m:sup>
                        <m:r>
                          <a:rPr lang="it-IT" sz="1100" b="1" i="1" dirty="0" smtClean="0">
                            <a:solidFill>
                              <a:schemeClr val="tx1"/>
                            </a:solidFill>
                            <a:latin typeface="Cambria Math" panose="02040503050406030204" pitchFamily="18" charset="0"/>
                            <a:cs typeface="Times New Roman" panose="02020603050405020304" pitchFamily="18" charset="0"/>
                          </a:rPr>
                          <m:t>𝒏</m:t>
                        </m:r>
                      </m:sup>
                      <m:e>
                        <m:f>
                          <m:f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fPr>
                          <m:num>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𝑽</m:t>
                            </m:r>
                          </m:num>
                          <m:den>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d>
                                  <m:d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d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e>
                                </m:d>
                              </m:sup>
                            </m:sSup>
                          </m:den>
                        </m:f>
                      </m:e>
                    </m:nary>
                    <m:r>
                      <a:rPr lang="it-IT" sz="1100" b="1" i="1" dirty="0" smtClean="0">
                        <a:solidFill>
                          <a:schemeClr val="tx1"/>
                        </a:solidFill>
                        <a:latin typeface="Cambria Math" panose="02040503050406030204" pitchFamily="18" charset="0"/>
                        <a:cs typeface="Times New Roman" panose="02020603050405020304" pitchFamily="18" charset="0"/>
                      </a:rPr>
                      <m:t> </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up>
                    </m:sSup>
                  </m:oMath>
                </m:oMathPara>
              </a14:m>
              <a:endParaRPr lang="it-IT" sz="1100" b="0"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a:solidFill>
                    <a:schemeClr val="tx1"/>
                  </a:solidFill>
                  <a:effectLst/>
                  <a:latin typeface="+mn-lt"/>
                  <a:ea typeface="+mn-ea"/>
                  <a:cs typeface="+mn-cs"/>
                </a:rPr>
                <a:t>Moreover:</a:t>
              </a:r>
              <a:endParaRPr lang="it-IT" sz="1100" b="0"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limLow>
                      <m:limLowPr>
                        <m:ctrlP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limLowPr>
                      <m:e>
                        <m:groupChr>
                          <m:groupChrPr>
                            <m:chr m:val="⏟"/>
                            <m:ctrlP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groupChr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𝜟</m:t>
                            </m:r>
                            <m:func>
                              <m:funcPr>
                                <m:ctrlP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funcPr>
                              <m:fName>
                                <m:r>
                                  <a:rPr lang="it-IT" sz="1100" b="1" i="0"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𝐥𝐧</m:t>
                                </m:r>
                              </m:fName>
                              <m:e>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up>
                                </m:sSup>
                              </m:e>
                            </m:func>
                          </m:e>
                        </m:groupChr>
                      </m:e>
                      <m:lim>
                        <m:eqArr>
                          <m:eqArrPr>
                            <m:ctrlP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eqArr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m:t>
                            </m:r>
                          </m:e>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m:t>
                            </m:r>
                          </m:e>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e>
                          <m:e>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𝒓</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𝒍𝒐𝒈𝒘</m:t>
                                </m:r>
                              </m:sub>
                              <m: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𝒊</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up>
                            </m:sSubSup>
                          </m:e>
                        </m:eqArr>
                      </m:lim>
                    </m:limLow>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f>
                      <m:fPr>
                        <m:ctrlP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fPr>
                      <m:num>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𝟏</m:t>
                        </m:r>
                      </m:num>
                      <m:den>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up>
                        </m:sSup>
                      </m:den>
                    </m:f>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 </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up>
                    </m:sSup>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m:t>
                    </m:r>
                  </m:oMath>
                </m:oMathPara>
              </a14:m>
              <a:endParaRPr lang="it-IT" sz="1100" b="0"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0" i="0" u="none" strike="noStrike" baseline="0">
                  <a:solidFill>
                    <a:schemeClr val="tx1"/>
                  </a:solidFill>
                  <a:effectLst/>
                  <a:latin typeface="+mn-lt"/>
                  <a:ea typeface="Cambria Math" panose="02040503050406030204" pitchFamily="18" charset="0"/>
                  <a:cs typeface="+mn-cs"/>
                </a:rPr>
                <a:t>We can rewrite: </a:t>
              </a: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d>
                      <m:dPr>
                        <m:ctrlPr>
                          <a:rPr lang="it-IT" sz="1100" b="1" i="1" dirty="0" smtClean="0">
                            <a:solidFill>
                              <a:schemeClr val="tx1"/>
                            </a:solidFill>
                            <a:latin typeface="Cambria Math" panose="02040503050406030204" pitchFamily="18" charset="0"/>
                            <a:cs typeface="Times New Roman" panose="02020603050405020304" pitchFamily="18" charset="0"/>
                          </a:rPr>
                        </m:ctrlPr>
                      </m:dPr>
                      <m:e>
                        <m:r>
                          <a:rPr lang="it-IT" sz="1100" b="1" i="1" dirty="0" smtClean="0">
                            <a:solidFill>
                              <a:schemeClr val="tx1"/>
                            </a:solidFill>
                            <a:latin typeface="Cambria Math" panose="02040503050406030204" pitchFamily="18" charset="0"/>
                            <a:cs typeface="Times New Roman" panose="02020603050405020304" pitchFamily="18" charset="0"/>
                          </a:rPr>
                          <m:t>𝑷</m:t>
                        </m:r>
                      </m:e>
                    </m:d>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cs typeface="Times New Roman" panose="02020603050405020304" pitchFamily="18" charset="0"/>
                      </a:rPr>
                      <m:t> </m:t>
                    </m:r>
                    <m:nary>
                      <m:naryPr>
                        <m:chr m:val="∑"/>
                        <m:ctrlPr>
                          <a:rPr lang="it-IT" sz="1100" b="1" i="1" dirty="0" smtClean="0">
                            <a:solidFill>
                              <a:schemeClr val="tx1"/>
                            </a:solidFill>
                            <a:latin typeface="Cambria Math" panose="02040503050406030204" pitchFamily="18" charset="0"/>
                            <a:cs typeface="Times New Roman" panose="02020603050405020304" pitchFamily="18" charset="0"/>
                          </a:rPr>
                        </m:ctrlPr>
                      </m:naryPr>
                      <m:sub>
                        <m:r>
                          <m:rPr>
                            <m:brk m:alnAt="23"/>
                          </m:rPr>
                          <a:rPr lang="it-IT" sz="1100" b="1" i="1" dirty="0" smtClean="0">
                            <a:solidFill>
                              <a:schemeClr val="tx1"/>
                            </a:solidFill>
                            <a:latin typeface="Cambria Math" panose="02040503050406030204" pitchFamily="18" charset="0"/>
                            <a:cs typeface="Times New Roman" panose="02020603050405020304" pitchFamily="18" charset="0"/>
                          </a:rPr>
                          <m:t>𝒊</m:t>
                        </m:r>
                        <m:r>
                          <a:rPr lang="it-IT" sz="1100" b="1" i="1" dirty="0" smtClean="0">
                            <a:solidFill>
                              <a:schemeClr val="tx1"/>
                            </a:solidFill>
                            <a:latin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cs typeface="Times New Roman" panose="02020603050405020304" pitchFamily="18" charset="0"/>
                          </a:rPr>
                          <m:t>𝟏</m:t>
                        </m:r>
                      </m:sub>
                      <m:sup>
                        <m:r>
                          <a:rPr lang="it-IT" sz="1100" b="1" i="1" dirty="0" smtClean="0">
                            <a:solidFill>
                              <a:schemeClr val="tx1"/>
                            </a:solidFill>
                            <a:latin typeface="Cambria Math" panose="02040503050406030204" pitchFamily="18" charset="0"/>
                            <a:cs typeface="Times New Roman" panose="02020603050405020304" pitchFamily="18" charset="0"/>
                          </a:rPr>
                          <m:t>𝒏</m:t>
                        </m:r>
                      </m:sup>
                      <m:e>
                        <m:limLow>
                          <m:limLowPr>
                            <m:ctrlPr>
                              <a:rPr lang="it-IT" sz="1100" b="1" i="1" dirty="0" smtClean="0">
                                <a:solidFill>
                                  <a:schemeClr val="tx1"/>
                                </a:solidFill>
                                <a:latin typeface="Cambria Math" panose="02040503050406030204" pitchFamily="18" charset="0"/>
                                <a:cs typeface="Times New Roman" panose="02020603050405020304" pitchFamily="18" charset="0"/>
                              </a:rPr>
                            </m:ctrlPr>
                          </m:limLowPr>
                          <m:e>
                            <m:groupChr>
                              <m:groupChrPr>
                                <m:chr m:val="⏟"/>
                                <m:ctrlPr>
                                  <a:rPr lang="it-IT" sz="1100" b="1" i="1" dirty="0" smtClean="0">
                                    <a:solidFill>
                                      <a:schemeClr val="tx1"/>
                                    </a:solidFill>
                                    <a:latin typeface="Cambria Math" panose="02040503050406030204" pitchFamily="18" charset="0"/>
                                    <a:cs typeface="Times New Roman" panose="02020603050405020304" pitchFamily="18" charset="0"/>
                                  </a:rPr>
                                </m:ctrlPr>
                              </m:groupChrPr>
                              <m:e>
                                <m:f>
                                  <m:f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fPr>
                                  <m:num>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𝑽</m:t>
                                    </m:r>
                                  </m:num>
                                  <m:den>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d>
                                          <m:d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d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e>
                                        </m:d>
                                      </m:sup>
                                    </m:sSup>
                                  </m:den>
                                </m:f>
                              </m:e>
                            </m:groupChr>
                          </m:e>
                          <m:lim>
                            <m:eqArr>
                              <m:eqArrPr>
                                <m:ctrlPr>
                                  <a:rPr lang="it-IT" sz="1100" b="1" i="1" dirty="0" smtClean="0">
                                    <a:solidFill>
                                      <a:schemeClr val="tx1"/>
                                    </a:solidFill>
                                    <a:latin typeface="Cambria Math" panose="02040503050406030204" pitchFamily="18" charset="0"/>
                                    <a:cs typeface="Times New Roman" panose="02020603050405020304" pitchFamily="18" charset="0"/>
                                  </a:rPr>
                                </m:ctrlPr>
                              </m:eqArrPr>
                              <m:e>
                                <m:r>
                                  <a:rPr lang="it-IT" sz="1100" b="1" i="1" dirty="0" smtClean="0">
                                    <a:solidFill>
                                      <a:schemeClr val="tx1"/>
                                    </a:solidFill>
                                    <a:latin typeface="Cambria Math" panose="02040503050406030204" pitchFamily="18" charset="0"/>
                                    <a:cs typeface="Times New Roman" panose="02020603050405020304" pitchFamily="18" charset="0"/>
                                  </a:rPr>
                                  <m:t> </m:t>
                                </m:r>
                              </m:e>
                              <m:e>
                                <m:r>
                                  <a:rPr lang="it-IT" sz="1100" b="1" i="1" dirty="0" smtClean="0">
                                    <a:solidFill>
                                      <a:schemeClr val="tx1"/>
                                    </a:solidFill>
                                    <a:latin typeface="Cambria Math" panose="02040503050406030204" pitchFamily="18" charset="0"/>
                                    <a:cs typeface="Times New Roman" panose="02020603050405020304" pitchFamily="18" charset="0"/>
                                  </a:rPr>
                                  <m:t> </m:t>
                                </m:r>
                              </m:e>
                              <m:e>
                                <m:r>
                                  <a:rPr lang="it-IT" sz="1100" b="1" i="1" dirty="0" smtClean="0">
                                    <a:solidFill>
                                      <a:schemeClr val="tx1"/>
                                    </a:solidFill>
                                    <a:latin typeface="Cambria Math" panose="02040503050406030204" pitchFamily="18" charset="0"/>
                                    <a:cs typeface="Times New Roman" panose="02020603050405020304" pitchFamily="18" charset="0"/>
                                  </a:rPr>
                                  <m:t> </m:t>
                                </m:r>
                              </m:e>
                              <m:e>
                                <m:sSub>
                                  <m:sSubPr>
                                    <m:ctrlPr>
                                      <a:rPr lang="it-IT" sz="1100" b="1" i="1" dirty="0">
                                        <a:solidFill>
                                          <a:schemeClr val="tx1"/>
                                        </a:solidFill>
                                        <a:latin typeface="Cambria Math" panose="02040503050406030204" pitchFamily="18" charset="0"/>
                                        <a:cs typeface="Times New Roman" panose="02020603050405020304" pitchFamily="18" charset="0"/>
                                      </a:rPr>
                                    </m:ctrlPr>
                                  </m:sSubPr>
                                  <m:e>
                                    <m:r>
                                      <a:rPr lang="it-IT" sz="1100" b="1" i="1" dirty="0">
                                        <a:solidFill>
                                          <a:schemeClr val="tx1"/>
                                        </a:solidFill>
                                        <a:latin typeface="Cambria Math" panose="02040503050406030204" pitchFamily="18" charset="0"/>
                                        <a:cs typeface="Times New Roman" panose="02020603050405020304" pitchFamily="18" charset="0"/>
                                      </a:rPr>
                                      <m:t>𝑪</m:t>
                                    </m:r>
                                  </m:e>
                                  <m:sub>
                                    <m:r>
                                      <a:rPr lang="it-IT" sz="1100" b="1" i="1" dirty="0">
                                        <a:solidFill>
                                          <a:schemeClr val="tx1"/>
                                        </a:solidFill>
                                        <a:latin typeface="Cambria Math" panose="02040503050406030204" pitchFamily="18" charset="0"/>
                                        <a:cs typeface="Times New Roman" panose="02020603050405020304" pitchFamily="18" charset="0"/>
                                      </a:rPr>
                                      <m:t>𝒊</m:t>
                                    </m:r>
                                  </m:sub>
                                </m:sSub>
                              </m:e>
                            </m:eqArr>
                          </m:lim>
                        </m:limLow>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d>
                              <m:d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d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e>
                            </m:d>
                          </m:sup>
                        </m:sSup>
                      </m:e>
                    </m:nary>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m:t>
                    </m:r>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𝒓</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𝒍𝒐𝒈𝒘</m:t>
                        </m:r>
                      </m:sub>
                      <m: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𝒊</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up>
                    </m:sSubSup>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nary>
                      <m:naryPr>
                        <m:chr m:val="∑"/>
                        <m:ctrlPr>
                          <a:rPr lang="it-IT" sz="1100" b="1" i="1" dirty="0" smtClean="0">
                            <a:solidFill>
                              <a:schemeClr val="tx1"/>
                            </a:solidFill>
                            <a:latin typeface="Cambria Math" panose="02040503050406030204" pitchFamily="18" charset="0"/>
                            <a:cs typeface="Times New Roman" panose="02020603050405020304" pitchFamily="18" charset="0"/>
                          </a:rPr>
                        </m:ctrlPr>
                      </m:naryPr>
                      <m:sub>
                        <m:r>
                          <m:rPr>
                            <m:brk m:alnAt="23"/>
                          </m:rPr>
                          <a:rPr lang="it-IT" sz="1100" b="1" i="1" dirty="0" smtClean="0">
                            <a:solidFill>
                              <a:schemeClr val="tx1"/>
                            </a:solidFill>
                            <a:latin typeface="Cambria Math" panose="02040503050406030204" pitchFamily="18" charset="0"/>
                            <a:cs typeface="Times New Roman" panose="02020603050405020304" pitchFamily="18" charset="0"/>
                          </a:rPr>
                          <m:t>𝒊</m:t>
                        </m:r>
                        <m:r>
                          <a:rPr lang="it-IT" sz="1100" b="1" i="1" dirty="0" smtClean="0">
                            <a:solidFill>
                              <a:schemeClr val="tx1"/>
                            </a:solidFill>
                            <a:latin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cs typeface="Times New Roman" panose="02020603050405020304" pitchFamily="18" charset="0"/>
                          </a:rPr>
                          <m:t>𝟏</m:t>
                        </m:r>
                      </m:sub>
                      <m:sup>
                        <m:r>
                          <a:rPr lang="it-IT" sz="1100" b="1" i="1" dirty="0" smtClean="0">
                            <a:solidFill>
                              <a:schemeClr val="tx1"/>
                            </a:solidFill>
                            <a:latin typeface="Cambria Math" panose="02040503050406030204" pitchFamily="18" charset="0"/>
                            <a:cs typeface="Times New Roman" panose="02020603050405020304" pitchFamily="18" charset="0"/>
                          </a:rPr>
                          <m:t>𝒏</m:t>
                        </m:r>
                      </m:sup>
                      <m:e>
                        <m:sSup>
                          <m:sSupPr>
                            <m:ctrlPr>
                              <a:rPr lang="it-IT" sz="1100" b="1" i="1" dirty="0" smtClean="0">
                                <a:solidFill>
                                  <a:schemeClr val="tx1"/>
                                </a:solidFill>
                                <a:latin typeface="Cambria Math" panose="02040503050406030204" pitchFamily="18" charset="0"/>
                                <a:cs typeface="Times New Roman" panose="02020603050405020304" pitchFamily="18" charset="0"/>
                              </a:rPr>
                            </m:ctrlPr>
                          </m:sSup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𝜹</m:t>
                            </m:r>
                          </m:e>
                          <m:sup>
                            <m:d>
                              <m:dPr>
                                <m:ctrlP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dPr>
                              <m:e>
                                <m:r>
                                  <a:rPr lang="it-IT" sz="1100" b="1" i="1" dirty="0" smtClean="0">
                                    <a:solidFill>
                                      <a:schemeClr val="tx1"/>
                                    </a:solidFill>
                                    <a:latin typeface="Cambria Math" panose="02040503050406030204" pitchFamily="18" charset="0"/>
                                    <a:cs typeface="Times New Roman" panose="02020603050405020304" pitchFamily="18" charset="0"/>
                                  </a:rPr>
                                  <m:t>𝒊</m:t>
                                </m:r>
                              </m:e>
                            </m:d>
                          </m:sup>
                        </m:s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𝒓</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𝒍𝒐𝒈𝒘</m:t>
                            </m:r>
                          </m:sub>
                          <m: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𝒊</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up>
                        </m:sSubSup>
                      </m:e>
                    </m:nary>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𝜹</m:t>
                        </m:r>
                      </m:e>
                      <m: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up>
                    </m:s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m:t>
                    </m:r>
                    <m:sSub>
                      <m:sSub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𝒓</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𝒍𝒐</m:t>
                        </m:r>
                        <m:sSub>
                          <m:sSub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𝒈</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𝒘</m:t>
                            </m:r>
                          </m:sub>
                        </m:s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 </m:t>
                        </m:r>
                      </m:sub>
                    </m:s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m:t>
                    </m:r>
                  </m:oMath>
                </m:oMathPara>
              </a14:m>
              <a:endParaRPr lang="it-IT" sz="1100" b="0"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0" i="0" u="none" strike="noStrike" baseline="0">
                  <a:solidFill>
                    <a:schemeClr val="tx1"/>
                  </a:solidFill>
                  <a:effectLst/>
                  <a:latin typeface="+mn-lt"/>
                  <a:ea typeface="Cambria Math" panose="02040503050406030204" pitchFamily="18" charset="0"/>
                  <a:cs typeface="+mn-cs"/>
                </a:rPr>
                <a:t>Distribution of </a:t>
              </a:r>
              <a14:m>
                <m:oMath xmlns:m="http://schemas.openxmlformats.org/officeDocument/2006/math">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d>
                    <m:dPr>
                      <m:ctrlPr>
                        <a:rPr lang="it-IT" sz="1100" b="1" i="1" dirty="0" smtClean="0">
                          <a:solidFill>
                            <a:schemeClr val="tx1"/>
                          </a:solidFill>
                          <a:latin typeface="Cambria Math" panose="02040503050406030204" pitchFamily="18" charset="0"/>
                          <a:cs typeface="Times New Roman" panose="02020603050405020304" pitchFamily="18" charset="0"/>
                        </a:rPr>
                      </m:ctrlPr>
                    </m:dPr>
                    <m:e>
                      <m:r>
                        <a:rPr lang="it-IT" sz="1100" b="1" i="1" dirty="0" smtClean="0">
                          <a:solidFill>
                            <a:schemeClr val="tx1"/>
                          </a:solidFill>
                          <a:latin typeface="Cambria Math" panose="02040503050406030204" pitchFamily="18" charset="0"/>
                          <a:cs typeface="Times New Roman" panose="02020603050405020304" pitchFamily="18" charset="0"/>
                        </a:rPr>
                        <m:t>𝑷</m:t>
                      </m:r>
                    </m:e>
                  </m:d>
                  <m:r>
                    <a:rPr lang="it-IT" sz="1100" b="0" i="0" dirty="0" smtClean="0">
                      <a:solidFill>
                        <a:schemeClr val="tx1"/>
                      </a:solidFill>
                      <a:latin typeface="Cambria Math" panose="02040503050406030204" pitchFamily="18" charset="0"/>
                      <a:cs typeface="Times New Roman" panose="02020603050405020304" pitchFamily="18" charset="0"/>
                    </a:rPr>
                    <m:t>:</m:t>
                  </m:r>
                </m:oMath>
              </a14:m>
              <a:endParaRPr lang="it-IT" sz="1100" b="0" i="0" dirty="0">
                <a:solidFill>
                  <a:schemeClr val="tx1"/>
                </a:solidFill>
                <a:latin typeface="+mn-lt"/>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0" i="0" u="none" strike="noStrike" baseline="0">
                  <a:solidFill>
                    <a:schemeClr val="tx1"/>
                  </a:solidFill>
                  <a:effectLst/>
                  <a:latin typeface="+mn-lt"/>
                  <a:ea typeface="Cambria Math" panose="02040503050406030204" pitchFamily="18" charset="0"/>
                  <a:cs typeface="+mn-cs"/>
                </a:rPr>
                <a:t>if our assumptions are correct </a:t>
              </a:r>
              <a:r>
                <a:rPr lang="en-GB" sz="1100">
                  <a:solidFill>
                    <a:schemeClr val="tx1"/>
                  </a:solidFill>
                  <a:effectLst/>
                  <a:latin typeface="+mn-lt"/>
                  <a:ea typeface="+mn-ea"/>
                  <a:cs typeface="+mn-cs"/>
                </a:rPr>
                <a:t>we know the entire probability distribution of the possible future changes in the value of</a:t>
              </a:r>
              <a:r>
                <a:rPr lang="en-GB" sz="1100" baseline="0">
                  <a:solidFill>
                    <a:schemeClr val="tx1"/>
                  </a:solidFill>
                  <a:effectLst/>
                  <a:latin typeface="+mn-lt"/>
                  <a:ea typeface="+mn-ea"/>
                  <a:cs typeface="+mn-cs"/>
                </a:rPr>
                <a:t> the portfolio (any linear combination of a normal is a normal):</a:t>
              </a:r>
            </a:p>
            <a:p>
              <a:pPr marL="0" marR="0" lvl="0" indent="0" algn="l" defTabSz="914400" eaLnBrk="1" fontAlgn="auto" latinLnBrk="0" hangingPunct="1">
                <a:lnSpc>
                  <a:spcPct val="100000"/>
                </a:lnSpc>
                <a:spcBef>
                  <a:spcPts val="0"/>
                </a:spcBef>
                <a:spcAft>
                  <a:spcPts val="0"/>
                </a:spcAft>
                <a:buClrTx/>
                <a:buSzTx/>
                <a:buFontTx/>
                <a:buNone/>
                <a:tabLst/>
                <a:defRPr/>
              </a:pPr>
              <a:endParaRPr lang="it-IT" sz="1100" b="0"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d>
                      <m:dPr>
                        <m:ctrlPr>
                          <a:rPr lang="it-IT" sz="1100" b="1" i="1" dirty="0" smtClean="0">
                            <a:solidFill>
                              <a:schemeClr val="tx1"/>
                            </a:solidFill>
                            <a:latin typeface="Cambria Math" panose="02040503050406030204" pitchFamily="18" charset="0"/>
                            <a:cs typeface="Times New Roman" panose="02020603050405020304" pitchFamily="18" charset="0"/>
                          </a:rPr>
                        </m:ctrlPr>
                      </m:dPr>
                      <m:e>
                        <m:r>
                          <a:rPr lang="it-IT" sz="1100" b="1" i="1" dirty="0" smtClean="0">
                            <a:solidFill>
                              <a:schemeClr val="tx1"/>
                            </a:solidFill>
                            <a:latin typeface="Cambria Math" panose="02040503050406030204" pitchFamily="18" charset="0"/>
                            <a:cs typeface="Times New Roman" panose="02020603050405020304" pitchFamily="18" charset="0"/>
                          </a:rPr>
                          <m:t>𝑷</m:t>
                        </m:r>
                      </m:e>
                    </m:d>
                    <m:r>
                      <a:rPr lang="it-IT" sz="1100" b="1" i="1" dirty="0" smtClean="0">
                        <a:solidFill>
                          <a:schemeClr val="tx1"/>
                        </a:solidFill>
                        <a:latin typeface="Cambria Math" panose="02040503050406030204" pitchFamily="18" charset="0"/>
                        <a:cs typeface="Times New Roman" panose="02020603050405020304" pitchFamily="18" charset="0"/>
                      </a:rPr>
                      <m:t> </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𝑵</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smtClean="0">
                            <a:solidFill>
                              <a:schemeClr val="tx1"/>
                            </a:solidFill>
                            <a:latin typeface="Cambria Math" panose="02040503050406030204" pitchFamily="18" charset="0"/>
                            <a:cs typeface="Times New Roman" panose="02020603050405020304" pitchFamily="18" charset="0"/>
                          </a:rPr>
                        </m:ctrlPr>
                      </m:sSup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𝜹</m:t>
                        </m:r>
                      </m:e>
                      <m:sup>
                        <m:r>
                          <a:rPr lang="it-IT" sz="1100" b="1" i="1" dirty="0" smtClean="0">
                            <a:solidFill>
                              <a:schemeClr val="tx1"/>
                            </a:solidFill>
                            <a:latin typeface="Cambria Math" panose="02040503050406030204" pitchFamily="18" charset="0"/>
                            <a:cs typeface="Times New Roman" panose="02020603050405020304" pitchFamily="18" charset="0"/>
                          </a:rPr>
                          <m:t>𝒊</m:t>
                        </m:r>
                      </m:sup>
                    </m:s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𝟎</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smtClean="0">
                            <a:solidFill>
                              <a:schemeClr val="tx1"/>
                            </a:solidFill>
                            <a:latin typeface="Cambria Math" panose="02040503050406030204" pitchFamily="18" charset="0"/>
                            <a:cs typeface="Times New Roman" panose="02020603050405020304" pitchFamily="18" charset="0"/>
                          </a:rPr>
                        </m:ctrlPr>
                      </m:sSup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𝜹</m:t>
                        </m:r>
                      </m:e>
                      <m: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up>
                    </m:s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el-GR" sz="1100" b="1" i="1" u="none" strike="noStrike" baseline="0">
                        <a:solidFill>
                          <a:schemeClr val="tx1"/>
                        </a:solidFill>
                        <a:effectLst/>
                        <a:latin typeface="Cambria Math" panose="02040503050406030204" pitchFamily="18" charset="0"/>
                        <a:ea typeface="Cambria Math" panose="02040503050406030204" pitchFamily="18" charset="0"/>
                        <a:cs typeface="+mn-cs"/>
                      </a:rPr>
                      <m:t>𝜮</m:t>
                    </m:r>
                    <m:r>
                      <a:rPr lang="el-GR" sz="1100" b="1" i="1" u="none" strike="noStrike" baseline="0">
                        <a:solidFill>
                          <a:schemeClr val="tx1"/>
                        </a:solidFill>
                        <a:effectLst/>
                        <a:latin typeface="Cambria Math" panose="02040503050406030204" pitchFamily="18" charset="0"/>
                        <a:ea typeface="Cambria Math" panose="02040503050406030204" pitchFamily="18" charset="0"/>
                        <a:cs typeface="+mn-cs"/>
                      </a:rPr>
                      <m:t>×</m:t>
                    </m:r>
                    <m:sSup>
                      <m:sSupPr>
                        <m:ctrlPr>
                          <a:rPr lang="it-IT" sz="1100" b="1" i="1" dirty="0" smtClean="0">
                            <a:solidFill>
                              <a:schemeClr val="tx1"/>
                            </a:solidFill>
                            <a:latin typeface="Cambria Math" panose="02040503050406030204" pitchFamily="18" charset="0"/>
                            <a:cs typeface="Times New Roman" panose="02020603050405020304" pitchFamily="18" charset="0"/>
                          </a:rPr>
                        </m:ctrlPr>
                      </m:sSup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𝜹</m:t>
                        </m:r>
                      </m:e>
                      <m: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m:t>
                        </m:r>
                      </m:sup>
                    </m:sSup>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 (</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𝑻</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𝒕</m:t>
                    </m:r>
                    <m:r>
                      <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rPr>
                      <m:t>))</m:t>
                    </m:r>
                  </m:oMath>
                </m:oMathPara>
              </a14:m>
              <a:endParaRPr lang="it-IT" sz="1100" b="0"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Var computation:</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 </a:t>
              </a:r>
              <a:r>
                <a:rPr lang="it-IT" sz="1100" b="0" i="0" u="none" strike="noStrike" baseline="0">
                  <a:solidFill>
                    <a:schemeClr val="tx1"/>
                  </a:solidFill>
                  <a:effectLst/>
                  <a:latin typeface="+mn-lt"/>
                  <a:ea typeface="Cambria Math" panose="02040503050406030204" pitchFamily="18" charset="0"/>
                  <a:cs typeface="+mn-cs"/>
                </a:rPr>
                <a:t>General formula:</a:t>
              </a: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𝑽𝒂𝒓</m:t>
                        </m:r>
                      </m:e>
                      <m:sub>
                        <m:r>
                          <a:rPr lang="it-IT" sz="1100" b="1" i="1" dirty="0" smtClean="0">
                            <a:solidFill>
                              <a:schemeClr val="tx1"/>
                            </a:solidFill>
                            <a:latin typeface="Cambria Math" panose="02040503050406030204" pitchFamily="18" charset="0"/>
                            <a:cs typeface="Times New Roman" panose="02020603050405020304" pitchFamily="18" charset="0"/>
                          </a:rPr>
                          <m:t>𝒑</m:t>
                        </m:r>
                      </m:sub>
                    </m:sSub>
                    <m:r>
                      <a:rPr lang="it-IT" sz="1100" b="1" i="1" dirty="0" smtClean="0">
                        <a:solidFill>
                          <a:schemeClr val="tx1"/>
                        </a:solidFill>
                        <a:latin typeface="Cambria Math" panose="02040503050406030204" pitchFamily="18" charset="0"/>
                        <a:cs typeface="Times New Roman" panose="02020603050405020304" pitchFamily="18" charset="0"/>
                      </a:rPr>
                      <m:t>= </m:t>
                    </m:r>
                    <m:d>
                      <m:dPr>
                        <m:begChr m:val="|"/>
                        <m:endChr m:val="|"/>
                        <m:ctrlPr>
                          <a:rPr lang="it-IT" sz="1100" b="1" i="1" dirty="0" smtClean="0">
                            <a:solidFill>
                              <a:schemeClr val="tx1"/>
                            </a:solidFill>
                            <a:latin typeface="Cambria Math" panose="02040503050406030204" pitchFamily="18" charset="0"/>
                            <a:cs typeface="Times New Roman" panose="02020603050405020304" pitchFamily="18" charset="0"/>
                          </a:rPr>
                        </m:ctrlPr>
                      </m:dPr>
                      <m:e>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e>
                          <m:sub>
                            <m:r>
                              <a:rPr lang="it-IT" sz="1100" b="1" i="1" dirty="0" smtClean="0">
                                <a:solidFill>
                                  <a:schemeClr val="tx1"/>
                                </a:solidFill>
                                <a:latin typeface="Cambria Math" panose="02040503050406030204" pitchFamily="18" charset="0"/>
                                <a:cs typeface="Times New Roman" panose="02020603050405020304" pitchFamily="18" charset="0"/>
                              </a:rPr>
                              <m:t>𝒑</m:t>
                            </m:r>
                          </m:sub>
                        </m:sSub>
                        <m:r>
                          <m:rPr>
                            <m:nor/>
                          </m:rPr>
                          <a:rPr lang="en-GB" sz="1100" b="1" i="0" u="none" strike="noStrike">
                            <a:solidFill>
                              <a:schemeClr val="tx1"/>
                            </a:solidFill>
                            <a:effectLst/>
                            <a:latin typeface="+mn-lt"/>
                            <a:ea typeface="+mn-ea"/>
                            <a:cs typeface="+mn-cs"/>
                          </a:rPr>
                          <m:t> </m:t>
                        </m:r>
                        <m:r>
                          <m:rPr>
                            <m:nor/>
                          </m:rPr>
                          <a:rPr lang="it-IT" sz="1100" b="1" i="0" u="none" strike="noStrike">
                            <a:solidFill>
                              <a:schemeClr val="tx1"/>
                            </a:solidFill>
                            <a:effectLst/>
                            <a:latin typeface="+mn-lt"/>
                            <a:ea typeface="+mn-ea"/>
                            <a:cs typeface="+mn-cs"/>
                          </a:rPr>
                          <m:t>−</m:t>
                        </m:r>
                        <m:sSub>
                          <m:sSubPr>
                            <m:ctrlPr>
                              <a:rPr lang="it-IT" sz="1100" b="1" i="1" u="none" strike="noStrike">
                                <a:solidFill>
                                  <a:schemeClr val="tx1"/>
                                </a:solidFill>
                                <a:effectLst/>
                                <a:latin typeface="Cambria Math" panose="02040503050406030204" pitchFamily="18" charset="0"/>
                                <a:ea typeface="+mn-ea"/>
                                <a:cs typeface="+mn-cs"/>
                              </a:rPr>
                            </m:ctrlPr>
                          </m:sSub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𝝁</m:t>
                            </m:r>
                          </m:e>
                          <m: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sub>
                        </m:sSub>
                      </m:e>
                    </m:d>
                  </m:oMath>
                </m:oMathPara>
              </a14:m>
              <a:endParaRPr lang="en-GB">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b="1">
                  <a:solidFill>
                    <a:schemeClr val="tx1"/>
                  </a:solidFill>
                  <a:effectLst/>
                </a:rPr>
                <a:t>where:</a:t>
              </a:r>
            </a:p>
            <a:p>
              <a:pPr marL="0" marR="0" lvl="0" indent="0" algn="l" defTabSz="914400" eaLnBrk="1" fontAlgn="auto" latinLnBrk="0" hangingPunct="1">
                <a:lnSpc>
                  <a:spcPct val="100000"/>
                </a:lnSpc>
                <a:spcBef>
                  <a:spcPts val="0"/>
                </a:spcBef>
                <a:spcAft>
                  <a:spcPts val="0"/>
                </a:spcAft>
                <a:buClrTx/>
                <a:buSzTx/>
                <a:buFontTx/>
                <a:buNone/>
                <a:tabLst/>
                <a:defRPr/>
              </a:pPr>
              <a:r>
                <a:rPr lang="en-GB">
                  <a:solidFill>
                    <a:schemeClr val="tx1"/>
                  </a:solidFill>
                  <a:effectLst/>
                </a:rPr>
                <a:t>the p-th percentile of a continuous distribution:</a:t>
              </a: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e>
                      <m:sub>
                        <m:r>
                          <a:rPr lang="it-IT" sz="1100" b="1" i="1" dirty="0" smtClean="0">
                            <a:solidFill>
                              <a:schemeClr val="tx1"/>
                            </a:solidFill>
                            <a:latin typeface="Cambria Math" panose="02040503050406030204" pitchFamily="18" charset="0"/>
                            <a:cs typeface="Times New Roman" panose="02020603050405020304" pitchFamily="18" charset="0"/>
                          </a:rPr>
                          <m:t>𝒑</m:t>
                        </m:r>
                      </m:sub>
                    </m:sSub>
                    <m:r>
                      <m:rPr>
                        <m:nor/>
                      </m:rPr>
                      <a:rPr lang="en-GB" sz="1100" b="1" i="0" u="none" strike="noStrike">
                        <a:solidFill>
                          <a:schemeClr val="tx1"/>
                        </a:solidFill>
                        <a:effectLst/>
                        <a:latin typeface="+mn-lt"/>
                        <a:ea typeface="+mn-ea"/>
                        <a:cs typeface="+mn-cs"/>
                      </a:rPr>
                      <m:t> </m:t>
                    </m:r>
                    <m:r>
                      <m:rPr>
                        <m:nor/>
                      </m:rPr>
                      <a:rPr lang="it-IT" sz="1100" b="1" i="0" u="none" strike="noStrike">
                        <a:solidFill>
                          <a:schemeClr val="tx1"/>
                        </a:solidFill>
                        <a:effectLst/>
                        <a:latin typeface="+mn-lt"/>
                        <a:ea typeface="+mn-ea"/>
                        <a:cs typeface="+mn-cs"/>
                      </a:rPr>
                      <m:t>= </m:t>
                    </m:r>
                    <m:r>
                      <m:rPr>
                        <m:nor/>
                      </m:rPr>
                      <a:rPr lang="it-IT" sz="1100" b="1" i="0" u="none" strike="noStrike">
                        <a:solidFill>
                          <a:schemeClr val="tx1"/>
                        </a:solidFill>
                        <a:effectLst/>
                        <a:latin typeface="+mn-lt"/>
                        <a:ea typeface="+mn-ea"/>
                        <a:cs typeface="+mn-cs"/>
                      </a:rPr>
                      <m:t>x</m:t>
                    </m:r>
                    <m:r>
                      <m:rPr>
                        <m:nor/>
                      </m:rPr>
                      <a:rPr lang="it-IT" sz="1100" b="1" i="0" u="none" strike="noStrike">
                        <a:solidFill>
                          <a:schemeClr val="tx1"/>
                        </a:solidFill>
                        <a:effectLst/>
                        <a:latin typeface="+mn-lt"/>
                        <a:ea typeface="+mn-ea"/>
                        <a:cs typeface="+mn-cs"/>
                      </a:rPr>
                      <m:t>| </m:t>
                    </m:r>
                    <m:r>
                      <m:rPr>
                        <m:nor/>
                      </m:rPr>
                      <a:rPr lang="it-IT" sz="1100" b="1" i="0" u="none" strike="noStrike">
                        <a:solidFill>
                          <a:schemeClr val="tx1"/>
                        </a:solidFill>
                        <a:effectLst/>
                        <a:latin typeface="+mn-lt"/>
                        <a:ea typeface="+mn-ea"/>
                        <a:cs typeface="+mn-cs"/>
                      </a:rPr>
                      <m:t>Prob</m:t>
                    </m:r>
                    <m:r>
                      <m:rPr>
                        <m:nor/>
                      </m:rPr>
                      <a:rPr lang="it-IT" sz="1100" b="1" i="0" u="none" strike="noStrike">
                        <a:solidFill>
                          <a:schemeClr val="tx1"/>
                        </a:solidFill>
                        <a:effectLst/>
                        <a:latin typeface="+mn-lt"/>
                        <a:ea typeface="+mn-ea"/>
                        <a:cs typeface="+mn-cs"/>
                      </a:rPr>
                      <m:t>(</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r>
                      <m:rPr>
                        <m:nor/>
                      </m:rPr>
                      <a:rPr lang="it-IT" sz="1100" b="1" i="0" dirty="0" smtClean="0">
                        <a:solidFill>
                          <a:schemeClr val="tx1"/>
                        </a:solidFill>
                        <a:latin typeface="Cambria Math" panose="02040503050406030204" pitchFamily="18" charset="0"/>
                        <a:cs typeface="Times New Roman" panose="02020603050405020304" pitchFamily="18" charset="0"/>
                      </a:rPr>
                      <m:t> ≤ </m:t>
                    </m:r>
                    <m:r>
                      <m:rPr>
                        <m:nor/>
                      </m:rPr>
                      <a:rPr lang="it-IT" sz="1100" b="1" i="0" dirty="0" smtClean="0">
                        <a:solidFill>
                          <a:schemeClr val="tx1"/>
                        </a:solidFill>
                        <a:latin typeface="Cambria Math" panose="02040503050406030204" pitchFamily="18" charset="0"/>
                        <a:cs typeface="Times New Roman" panose="02020603050405020304" pitchFamily="18" charset="0"/>
                      </a:rPr>
                      <m:t>x</m:t>
                    </m:r>
                    <m:r>
                      <m:rPr>
                        <m:nor/>
                      </m:rPr>
                      <a:rPr lang="it-IT" sz="1100" b="1" i="0" u="none" strike="noStrike">
                        <a:solidFill>
                          <a:schemeClr val="tx1"/>
                        </a:solidFill>
                        <a:effectLst/>
                        <a:latin typeface="+mn-lt"/>
                        <a:ea typeface="+mn-ea"/>
                        <a:cs typeface="+mn-cs"/>
                      </a:rPr>
                      <m:t>) = </m:t>
                    </m:r>
                    <m:r>
                      <m:rPr>
                        <m:nor/>
                      </m:rPr>
                      <a:rPr lang="it-IT" sz="1100" b="1" i="0" u="none" strike="noStrike">
                        <a:solidFill>
                          <a:schemeClr val="tx1"/>
                        </a:solidFill>
                        <a:effectLst/>
                        <a:latin typeface="+mn-lt"/>
                        <a:ea typeface="+mn-ea"/>
                        <a:cs typeface="+mn-cs"/>
                      </a:rPr>
                      <m:t>p</m:t>
                    </m:r>
                  </m:oMath>
                </m:oMathPara>
              </a14:m>
              <a:endParaRPr lang="en-GB">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 </a:t>
              </a:r>
              <a:r>
                <a:rPr lang="it-IT" sz="1100" b="0" i="0" u="none" strike="noStrike" baseline="0">
                  <a:solidFill>
                    <a:schemeClr val="tx1"/>
                  </a:solidFill>
                  <a:effectLst/>
                  <a:latin typeface="+mn-lt"/>
                  <a:ea typeface="Cambria Math" panose="02040503050406030204" pitchFamily="18" charset="0"/>
                  <a:cs typeface="+mn-cs"/>
                </a:rPr>
                <a:t>For any zero mean normal distribution:</a:t>
              </a: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𝑽𝒂𝒓</m:t>
                        </m:r>
                      </m:e>
                      <m:sub>
                        <m:r>
                          <a:rPr lang="it-IT" sz="1100" b="1" i="1" dirty="0" smtClean="0">
                            <a:solidFill>
                              <a:schemeClr val="tx1"/>
                            </a:solidFill>
                            <a:latin typeface="Cambria Math" panose="02040503050406030204" pitchFamily="18" charset="0"/>
                            <a:cs typeface="Times New Roman" panose="02020603050405020304" pitchFamily="18" charset="0"/>
                          </a:rPr>
                          <m:t>𝒑</m:t>
                        </m:r>
                      </m:sub>
                    </m:sSub>
                    <m:r>
                      <a:rPr lang="it-IT" sz="1100" b="1" i="1" dirty="0" smtClean="0">
                        <a:solidFill>
                          <a:schemeClr val="tx1"/>
                        </a:solidFill>
                        <a:latin typeface="Cambria Math" panose="02040503050406030204" pitchFamily="18" charset="0"/>
                        <a:cs typeface="Times New Roman" panose="02020603050405020304" pitchFamily="18" charset="0"/>
                      </a:rPr>
                      <m:t>= </m:t>
                    </m:r>
                    <m:d>
                      <m:dPr>
                        <m:begChr m:val="|"/>
                        <m:endChr m:val="|"/>
                        <m:ctrlPr>
                          <a:rPr lang="it-IT" sz="1100" b="1" i="1" dirty="0" smtClean="0">
                            <a:solidFill>
                              <a:schemeClr val="tx1"/>
                            </a:solidFill>
                            <a:latin typeface="Cambria Math" panose="02040503050406030204" pitchFamily="18" charset="0"/>
                            <a:cs typeface="Times New Roman" panose="02020603050405020304" pitchFamily="18" charset="0"/>
                          </a:rPr>
                        </m:ctrlPr>
                      </m:dPr>
                      <m:e>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e>
                          <m:sub>
                            <m:r>
                              <a:rPr lang="it-IT" sz="1100" b="1" i="1" dirty="0" smtClean="0">
                                <a:solidFill>
                                  <a:schemeClr val="tx1"/>
                                </a:solidFill>
                                <a:latin typeface="Cambria Math" panose="02040503050406030204" pitchFamily="18" charset="0"/>
                                <a:cs typeface="Times New Roman" panose="02020603050405020304" pitchFamily="18" charset="0"/>
                              </a:rPr>
                              <m:t>𝒑</m:t>
                            </m:r>
                          </m:sub>
                        </m:sSub>
                      </m:e>
                    </m:d>
                    <m:r>
                      <a:rPr lang="it-IT" sz="1100" b="1" i="1" dirty="0" smtClean="0">
                        <a:solidFill>
                          <a:schemeClr val="tx1"/>
                        </a:solidFill>
                        <a:latin typeface="Cambria Math" panose="02040503050406030204" pitchFamily="18" charset="0"/>
                        <a:cs typeface="Times New Roman" panose="02020603050405020304" pitchFamily="18" charset="0"/>
                      </a:rPr>
                      <m:t>=</m:t>
                    </m:r>
                    <m:d>
                      <m:dPr>
                        <m:begChr m:val="|"/>
                        <m:endChr m:val="|"/>
                        <m:ctrlPr>
                          <a:rPr lang="it-IT" sz="1100" b="1" i="1" dirty="0" smtClean="0">
                            <a:solidFill>
                              <a:schemeClr val="tx1"/>
                            </a:solidFill>
                            <a:latin typeface="Cambria Math" panose="02040503050406030204" pitchFamily="18" charset="0"/>
                            <a:cs typeface="Times New Roman" panose="02020603050405020304" pitchFamily="18" charset="0"/>
                          </a:rPr>
                        </m:ctrlPr>
                      </m:dPr>
                      <m:e>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𝒛</m:t>
                            </m:r>
                          </m:e>
                          <m:sub>
                            <m:r>
                              <a:rPr lang="it-IT" sz="1100" b="1" i="1" dirty="0" smtClean="0">
                                <a:solidFill>
                                  <a:schemeClr val="tx1"/>
                                </a:solidFill>
                                <a:latin typeface="Cambria Math" panose="02040503050406030204" pitchFamily="18" charset="0"/>
                                <a:cs typeface="Times New Roman" panose="02020603050405020304" pitchFamily="18" charset="0"/>
                              </a:rPr>
                              <m:t>𝒑</m:t>
                            </m:r>
                            <m:r>
                              <a:rPr lang="it-IT" sz="1100" b="1" i="1" dirty="0" smtClean="0">
                                <a:solidFill>
                                  <a:schemeClr val="tx1"/>
                                </a:solidFill>
                                <a:latin typeface="Cambria Math" panose="02040503050406030204" pitchFamily="18" charset="0"/>
                                <a:cs typeface="Times New Roman" panose="02020603050405020304" pitchFamily="18" charset="0"/>
                              </a:rPr>
                              <m:t> </m:t>
                            </m:r>
                          </m:sub>
                        </m:s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𝝈</m:t>
                            </m:r>
                          </m:e>
                          <m: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𝑽</m:t>
                            </m:r>
                          </m:sub>
                        </m:sSub>
                      </m:e>
                    </m:d>
                  </m:oMath>
                </m:oMathPara>
              </a14:m>
              <a:endParaRPr lang="en-GB" b="0">
                <a:solidFill>
                  <a:schemeClr val="tx1"/>
                </a:solidFill>
                <a:effectLst/>
              </a:endParaRPr>
            </a:p>
            <a:p>
              <a:endParaRPr lang="en-GB" b="1">
                <a:solidFill>
                  <a:schemeClr val="tx1"/>
                </a:solidFill>
                <a:effectLst/>
              </a:endParaRPr>
            </a:p>
            <a:p>
              <a:endParaRPr lang="en-US" sz="1100" b="1" dirty="0">
                <a:solidFill>
                  <a:schemeClr val="tx1"/>
                </a:solidFill>
                <a:latin typeface="Times New Roman" panose="02020603050405020304" pitchFamily="18" charset="0"/>
                <a:cs typeface="Times New Roman" panose="02020603050405020304" pitchFamily="18" charset="0"/>
              </a:endParaRPr>
            </a:p>
          </xdr:txBody>
        </xdr:sp>
      </mc:Choice>
      <mc:Fallback xmlns="">
        <xdr:sp macro="" textlink="">
          <xdr:nvSpPr>
            <xdr:cNvPr id="16" name="Rectangle: Rounded Corners 1">
              <a:extLst>
                <a:ext uri="{FF2B5EF4-FFF2-40B4-BE49-F238E27FC236}">
                  <a16:creationId xmlns:a16="http://schemas.microsoft.com/office/drawing/2014/main" id="{C7D47465-3750-4445-A17B-DACFF7CF8E01}"/>
                </a:ext>
              </a:extLst>
            </xdr:cNvPr>
            <xdr:cNvSpPr/>
          </xdr:nvSpPr>
          <xdr:spPr>
            <a:xfrm>
              <a:off x="651889" y="5850629"/>
              <a:ext cx="8151330" cy="8806889"/>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sng" strike="noStrike">
                  <a:solidFill>
                    <a:schemeClr val="tx1"/>
                  </a:solidFill>
                  <a:effectLst/>
                  <a:latin typeface="+mn-lt"/>
                  <a:ea typeface="+mn-ea"/>
                  <a:cs typeface="+mn-cs"/>
                </a:rPr>
                <a:t>Parametric</a:t>
              </a:r>
              <a:r>
                <a:rPr lang="en-GB" sz="1100" b="1" i="0" u="sng" strike="noStrike" baseline="0">
                  <a:solidFill>
                    <a:schemeClr val="tx1"/>
                  </a:solidFill>
                  <a:effectLst/>
                  <a:latin typeface="+mn-lt"/>
                  <a:ea typeface="+mn-ea"/>
                  <a:cs typeface="+mn-cs"/>
                </a:rPr>
                <a:t> Approach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1" i="0" u="sng" strike="noStrike"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baseline="0">
                  <a:solidFill>
                    <a:schemeClr val="tx1"/>
                  </a:solidFill>
                  <a:effectLst/>
                  <a:latin typeface="+mn-lt"/>
                  <a:ea typeface="Cambria Math" panose="02040503050406030204" pitchFamily="18" charset="0"/>
                  <a:cs typeface="+mn-cs"/>
                </a:rPr>
                <a:t>Main Assumptions:</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 </a:t>
              </a:r>
              <a:r>
                <a:rPr lang="it-IT" sz="1100" b="0" i="0" u="none" strike="noStrike" baseline="0">
                  <a:solidFill>
                    <a:schemeClr val="tx1"/>
                  </a:solidFill>
                  <a:effectLst/>
                  <a:latin typeface="+mn-lt"/>
                  <a:ea typeface="Cambria Math" panose="02040503050406030204" pitchFamily="18" charset="0"/>
                  <a:cs typeface="+mn-cs"/>
                </a:rPr>
                <a:t>The risk factors are normally distributed:  </a:t>
              </a:r>
              <a:r>
                <a:rPr lang="it-IT" sz="1100" b="1" i="0" u="none" strike="noStrike" baseline="0">
                  <a:solidFill>
                    <a:schemeClr val="tx1"/>
                  </a:solidFill>
                  <a:effectLst/>
                  <a:latin typeface="Cambria Math" panose="02040503050406030204" pitchFamily="18" charset="0"/>
                  <a:ea typeface="Cambria Math" panose="02040503050406030204" pitchFamily="18" charset="0"/>
                  <a:cs typeface="+mn-cs"/>
                </a:rPr>
                <a:t>⏟(𝒓_(𝒍𝒐𝒈_𝒘 ) )┬█( @ @𝒏×𝟏)~ 𝑵(𝝁,</a:t>
              </a:r>
              <a:r>
                <a:rPr lang="el-GR" sz="1100" b="1" i="0" u="none" strike="noStrike" baseline="0">
                  <a:solidFill>
                    <a:schemeClr val="tx1"/>
                  </a:solidFill>
                  <a:effectLst/>
                  <a:latin typeface="Cambria Math" panose="02040503050406030204" pitchFamily="18" charset="0"/>
                  <a:ea typeface="Cambria Math" panose="02040503050406030204" pitchFamily="18" charset="0"/>
                  <a:cs typeface="+mn-cs"/>
                </a:rPr>
                <a:t>𝜮</a:t>
              </a:r>
              <a:r>
                <a:rPr lang="it-IT" sz="1100" b="1" i="0" u="none" strike="noStrike" baseline="0">
                  <a:solidFill>
                    <a:schemeClr val="tx1"/>
                  </a:solidFill>
                  <a:effectLst/>
                  <a:latin typeface="Cambria Math" panose="02040503050406030204" pitchFamily="18" charset="0"/>
                  <a:ea typeface="Cambria Math" panose="02040503050406030204" pitchFamily="18" charset="0"/>
                  <a:cs typeface="+mn-cs"/>
                </a:rPr>
                <a:t> (𝑻−𝒕))</a:t>
              </a:r>
              <a:endParaRPr lang="it-IT" sz="1100" b="1" i="1" u="none" strike="noStrike" baseline="0">
                <a:solidFill>
                  <a:schemeClr val="tx1"/>
                </a:solidFill>
                <a:effectLst/>
                <a:latin typeface="Cambria Math" panose="02040503050406030204" pitchFamily="18" charset="0"/>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with</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a:solidFill>
                    <a:schemeClr val="tx1"/>
                  </a:solidFill>
                  <a:effectLst/>
                  <a:latin typeface="+mn-lt"/>
                  <a:ea typeface="Cambria Math" panose="02040503050406030204" pitchFamily="18" charset="0"/>
                  <a:cs typeface="+mn-cs"/>
                </a:rPr>
                <a:t>-</a:t>
              </a:r>
              <a:r>
                <a:rPr lang="it-IT" sz="1100" b="0" i="0" u="none" strike="noStrike" baseline="0">
                  <a:solidFill>
                    <a:schemeClr val="tx1"/>
                  </a:solidFill>
                  <a:effectLst/>
                  <a:latin typeface="+mn-lt"/>
                  <a:ea typeface="Cambria Math" panose="02040503050406030204" pitchFamily="18" charset="0"/>
                  <a:cs typeface="+mn-cs"/>
                </a:rPr>
                <a:t> The Zero mean assumption  </a:t>
              </a:r>
              <a:r>
                <a:rPr lang="it-IT" sz="1100" b="1" i="0" u="none" strike="noStrike" baseline="0">
                  <a:solidFill>
                    <a:schemeClr val="tx1"/>
                  </a:solidFill>
                  <a:effectLst/>
                  <a:latin typeface="Cambria Math" panose="02040503050406030204" pitchFamily="18" charset="0"/>
                  <a:ea typeface="Cambria Math" panose="02040503050406030204" pitchFamily="18" charset="0"/>
                  <a:cs typeface="+mn-cs"/>
                </a:rPr>
                <a:t>𝝁=𝟎</a:t>
              </a:r>
              <a:r>
                <a:rPr lang="it-IT" sz="1100" b="0" i="0" u="none" strike="noStrike" baseline="0">
                  <a:solidFill>
                    <a:schemeClr val="tx1"/>
                  </a:solidFill>
                  <a:effectLst/>
                  <a:latin typeface="+mn-lt"/>
                  <a:ea typeface="Cambria Math" panose="02040503050406030204" pitchFamily="18" charset="0"/>
                  <a:cs typeface="+mn-cs"/>
                </a:rPr>
                <a:t> since for a very short risk horizon there is no better estimate than 0 </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 </a:t>
              </a:r>
              <a:r>
                <a:rPr lang="en-GB" sz="1100">
                  <a:solidFill>
                    <a:schemeClr val="tx1"/>
                  </a:solidFill>
                  <a:effectLst/>
                  <a:latin typeface="+mn-lt"/>
                  <a:ea typeface="+mn-ea"/>
                  <a:cs typeface="+mn-cs"/>
                </a:rPr>
                <a:t>The covariance matrix </a:t>
              </a:r>
              <a:r>
                <a:rPr lang="el-GR" sz="1100" b="1">
                  <a:solidFill>
                    <a:schemeClr val="tx1"/>
                  </a:solidFill>
                  <a:effectLst/>
                  <a:latin typeface="+mn-lt"/>
                  <a:ea typeface="+mn-ea"/>
                  <a:cs typeface="+mn-cs"/>
                </a:rPr>
                <a:t>Σ</a:t>
              </a:r>
              <a:r>
                <a:rPr lang="it-IT" sz="1100" baseline="0">
                  <a:solidFill>
                    <a:schemeClr val="tx1"/>
                  </a:solidFill>
                  <a:effectLst/>
                  <a:latin typeface="+mn-lt"/>
                  <a:ea typeface="+mn-ea"/>
                  <a:cs typeface="+mn-cs"/>
                </a:rPr>
                <a:t> </a:t>
              </a:r>
              <a:r>
                <a:rPr lang="en-GB" sz="1100">
                  <a:solidFill>
                    <a:schemeClr val="tx1"/>
                  </a:solidFill>
                  <a:effectLst/>
                  <a:latin typeface="+mn-lt"/>
                  <a:ea typeface="+mn-ea"/>
                  <a:cs typeface="+mn-cs"/>
                </a:rPr>
                <a:t>estimated using an </a:t>
              </a:r>
              <a:r>
                <a:rPr lang="en-GB" sz="1100" b="1">
                  <a:solidFill>
                    <a:schemeClr val="tx1"/>
                  </a:solidFill>
                  <a:effectLst/>
                  <a:latin typeface="+mn-lt"/>
                  <a:ea typeface="+mn-ea"/>
                  <a:cs typeface="+mn-cs"/>
                </a:rPr>
                <a:t>EWMA</a:t>
              </a:r>
              <a:r>
                <a:rPr lang="en-GB" sz="1100">
                  <a:solidFill>
                    <a:schemeClr val="tx1"/>
                  </a:solidFill>
                  <a:effectLst/>
                  <a:latin typeface="+mn-lt"/>
                  <a:ea typeface="+mn-ea"/>
                  <a:cs typeface="+mn-cs"/>
                </a:rPr>
                <a:t> approach with </a:t>
              </a:r>
              <a:r>
                <a:rPr lang="el-GR" sz="1100" b="1">
                  <a:solidFill>
                    <a:schemeClr val="tx1"/>
                  </a:solidFill>
                  <a:effectLst/>
                  <a:latin typeface="+mn-lt"/>
                  <a:ea typeface="+mn-ea"/>
                  <a:cs typeface="+mn-cs"/>
                </a:rPr>
                <a:t>λ = 0.94</a:t>
              </a:r>
              <a:r>
                <a:rPr lang="el-GR" sz="1100">
                  <a:solidFill>
                    <a:schemeClr val="tx1"/>
                  </a:solidFill>
                  <a:effectLst/>
                  <a:latin typeface="+mn-lt"/>
                  <a:ea typeface="+mn-ea"/>
                  <a:cs typeface="+mn-cs"/>
                </a:rPr>
                <a:t>, </a:t>
              </a:r>
              <a:r>
                <a:rPr lang="en-GB" sz="1100">
                  <a:solidFill>
                    <a:schemeClr val="tx1"/>
                  </a:solidFill>
                  <a:effectLst/>
                  <a:latin typeface="+mn-lt"/>
                  <a:ea typeface="+mn-ea"/>
                  <a:cs typeface="+mn-cs"/>
                </a:rPr>
                <a:t>assigning greater weight to recent observations and  allows volatility and correlations to vary over time. This method also mitigates the echo effect associated with simple moving averages, whereby past shocks may have an artificial and abrupt impact on volatility estimates when they enter or leave the estimation window.</a:t>
              </a:r>
              <a:endParaRPr lang="en-GB" sz="1100" b="0" i="0" u="none" strike="noStrike"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000" b="1" i="0" u="none" strike="noStrike" baseline="0">
                  <a:solidFill>
                    <a:schemeClr val="tx1"/>
                  </a:solidFill>
                  <a:effectLst/>
                  <a:latin typeface="+mn-lt"/>
                  <a:ea typeface="Cambria Math" panose="02040503050406030204" pitchFamily="18" charset="0"/>
                  <a:cs typeface="+mn-cs"/>
                </a:rPr>
                <a:t>Note:</a:t>
              </a:r>
            </a:p>
            <a:p>
              <a:pPr marL="0" marR="0" lvl="0" indent="0" algn="l" defTabSz="914400" eaLnBrk="1" fontAlgn="auto" latinLnBrk="0" hangingPunct="1">
                <a:lnSpc>
                  <a:spcPct val="100000"/>
                </a:lnSpc>
                <a:spcBef>
                  <a:spcPts val="0"/>
                </a:spcBef>
                <a:spcAft>
                  <a:spcPts val="0"/>
                </a:spcAft>
                <a:buClrTx/>
                <a:buSzTx/>
                <a:buFontTx/>
                <a:buNone/>
                <a:tabLst/>
                <a:defRPr/>
              </a:pPr>
              <a:r>
                <a:rPr lang="it-IT" sz="900" b="0" i="0" u="none" strike="noStrike" baseline="0">
                  <a:solidFill>
                    <a:schemeClr val="tx1"/>
                  </a:solidFill>
                  <a:effectLst/>
                  <a:latin typeface="+mn-lt"/>
                  <a:ea typeface="Cambria Math" panose="02040503050406030204" pitchFamily="18" charset="0"/>
                  <a:cs typeface="+mn-cs"/>
                </a:rPr>
                <a:t>Since the decay factor applied in the EWMA framework may excessively penalize past observations, an alternative estimation of the variance–covariance matrix of weekly log returns has been implemented using a simple moving average. The objective is to identify potential weaknesses or critical aspects of the EWMA approach.</a:t>
              </a:r>
            </a:p>
            <a:p>
              <a:pPr marL="0" marR="0" lvl="0" indent="0" algn="l" defTabSz="914400" eaLnBrk="1" fontAlgn="auto" latinLnBrk="0" hangingPunct="1">
                <a:lnSpc>
                  <a:spcPct val="100000"/>
                </a:lnSpc>
                <a:spcBef>
                  <a:spcPts val="0"/>
                </a:spcBef>
                <a:spcAft>
                  <a:spcPts val="0"/>
                </a:spcAft>
                <a:buClrTx/>
                <a:buSzTx/>
                <a:buFontTx/>
                <a:buNone/>
                <a:tabLst/>
                <a:defRPr/>
              </a:pPr>
              <a:endParaRPr lang="it-IT" sz="1100" b="1"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Methodology:</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0" i="0" u="none" strike="noStrike" baseline="0">
                  <a:solidFill>
                    <a:schemeClr val="tx1"/>
                  </a:solidFill>
                  <a:effectLst/>
                  <a:latin typeface="+mn-lt"/>
                  <a:ea typeface="Cambria Math" panose="02040503050406030204" pitchFamily="18" charset="0"/>
                  <a:cs typeface="+mn-cs"/>
                </a:rPr>
                <a:t>According to the Taylor's formula and stopping at the first derivative (since the</a:t>
              </a:r>
              <a:r>
                <a:rPr lang="it-IT" sz="1100" b="0" i="0" u="none" strike="noStrike" baseline="0">
                  <a:solidFill>
                    <a:schemeClr val="tx1"/>
                  </a:solidFill>
                  <a:effectLst/>
                  <a:latin typeface="Cambria Math" panose="02040503050406030204" pitchFamily="18" charset="0"/>
                  <a:ea typeface="+mn-ea"/>
                  <a:cs typeface="+mn-cs"/>
                </a:rPr>
                <a:t> </a:t>
              </a:r>
              <a:r>
                <a:rPr lang="en-GB" sz="1100" b="0" i="0" u="none" strike="noStrike" baseline="0">
                  <a:solidFill>
                    <a:schemeClr val="tx1"/>
                  </a:solidFill>
                  <a:effectLst/>
                  <a:latin typeface="Cambria Math" panose="02040503050406030204" pitchFamily="18" charset="0"/>
                  <a:ea typeface="+mn-ea"/>
                  <a:cs typeface="+mn-cs"/>
                </a:rPr>
                <a:t>𝑉(𝑃) </a:t>
              </a:r>
              <a:r>
                <a:rPr lang="it-IT" sz="1100" b="0" i="0" u="none" strike="noStrike" baseline="0">
                  <a:solidFill>
                    <a:schemeClr val="tx1"/>
                  </a:solidFill>
                  <a:effectLst/>
                  <a:latin typeface="+mn-lt"/>
                  <a:ea typeface="Cambria Math" panose="02040503050406030204" pitchFamily="18" charset="0"/>
                  <a:cs typeface="+mn-cs"/>
                </a:rPr>
                <a:t>is perfectly linear in the discount factors) the change in the value of the portfolio can be approximated as:</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𝑽(𝑷)</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a:t>
              </a:r>
              <a:r>
                <a:rPr lang="it-IT" sz="1100" b="1" i="0" dirty="0">
                  <a:solidFill>
                    <a:schemeClr val="tx1"/>
                  </a:solidFill>
                  <a:latin typeface="Cambria Math" panose="02040503050406030204" pitchFamily="18" charset="0"/>
                  <a:cs typeface="Times New Roman" panose="02020603050405020304" pitchFamily="18" charset="0"/>
                </a:rPr>
                <a:t> ∑_(𝒊=𝟏)^𝒏</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▒𝝏𝑽/(𝝏𝑷^((𝒊) ) ) </a:t>
              </a:r>
              <a:r>
                <a:rPr lang="it-IT" sz="1100" b="1" i="0" dirty="0">
                  <a:solidFill>
                    <a:schemeClr val="tx1"/>
                  </a:solidFill>
                  <a:latin typeface="Cambria Math" panose="02040503050406030204" pitchFamily="18" charset="0"/>
                  <a:cs typeface="Times New Roman" panose="02020603050405020304" pitchFamily="18" charset="0"/>
                </a:rPr>
                <a:t>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 𝚫𝑷^((𝒊))</a:t>
              </a:r>
              <a:endParaRPr lang="it-IT" sz="1100" b="0"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a:solidFill>
                    <a:schemeClr val="tx1"/>
                  </a:solidFill>
                  <a:effectLst/>
                  <a:latin typeface="+mn-lt"/>
                  <a:ea typeface="+mn-ea"/>
                  <a:cs typeface="+mn-cs"/>
                </a:rPr>
                <a:t>Moreover:</a:t>
              </a:r>
              <a:endParaRPr lang="it-IT" sz="1100" b="0"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⏟(𝜟 𝐥𝐧⁡〖𝑷^((𝒊)) 〗 )┬█( @ @≡@</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𝒓_𝒍𝒐𝒈𝒘^((𝒊))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≅𝟏/𝑷^((𝒊))   × 𝚫𝑷^((𝒊))  </a:t>
              </a:r>
              <a:endParaRPr lang="it-IT" sz="1100" b="0"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0" i="0" u="none" strike="noStrike" baseline="0">
                  <a:solidFill>
                    <a:schemeClr val="tx1"/>
                  </a:solidFill>
                  <a:effectLst/>
                  <a:latin typeface="+mn-lt"/>
                  <a:ea typeface="Cambria Math" panose="02040503050406030204" pitchFamily="18" charset="0"/>
                  <a:cs typeface="+mn-cs"/>
                </a:rPr>
                <a:t>We can rewrite: </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𝑽(𝑷)</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a:t>
              </a:r>
              <a:r>
                <a:rPr lang="it-IT" sz="1100" b="1" i="0" dirty="0">
                  <a:solidFill>
                    <a:schemeClr val="tx1"/>
                  </a:solidFill>
                  <a:latin typeface="Cambria Math" panose="02040503050406030204" pitchFamily="18" charset="0"/>
                  <a:cs typeface="Times New Roman" panose="02020603050405020304" pitchFamily="18" charset="0"/>
                </a:rPr>
                <a:t> ∑_(𝒊=𝟏)^𝒏</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▒〖⏟(𝝏𝑽/(𝝏𝑷^((𝒊) ) ))┬█(</a:t>
              </a:r>
              <a:r>
                <a:rPr lang="it-IT" sz="1100" b="1" i="0" dirty="0">
                  <a:solidFill>
                    <a:schemeClr val="tx1"/>
                  </a:solidFill>
                  <a:latin typeface="Cambria Math" panose="02040503050406030204" pitchFamily="18" charset="0"/>
                  <a:cs typeface="Times New Roman" panose="02020603050405020304" pitchFamily="18" charset="0"/>
                </a:rPr>
                <a:t> @ @ @𝑪_𝒊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×𝑷^((𝒊) ) 〗× </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𝒓_𝒍𝒐𝒈𝒘^((𝒊))</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a:t>
              </a:r>
              <a:r>
                <a:rPr lang="it-IT" sz="1100" b="1" i="0" dirty="0">
                  <a:solidFill>
                    <a:schemeClr val="tx1"/>
                  </a:solidFill>
                  <a:latin typeface="Cambria Math" panose="02040503050406030204" pitchFamily="18" charset="0"/>
                  <a:cs typeface="Times New Roman" panose="02020603050405020304" pitchFamily="18" charset="0"/>
                </a:rPr>
                <a:t>∑_(𝒊=𝟏)^𝒏</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a:t>
              </a:r>
              <a:r>
                <a:rPr lang="it-IT" sz="1100" b="1" i="0" u="none" strike="noStrike" dirty="0">
                  <a:solidFill>
                    <a:schemeClr val="tx1"/>
                  </a:solidFill>
                  <a:effectLst/>
                  <a:latin typeface="Cambria Math" panose="02040503050406030204" pitchFamily="18" charset="0"/>
                  <a:ea typeface="Cambria Math" panose="02040503050406030204" pitchFamily="18" charset="0"/>
                  <a:cs typeface="+mn-cs"/>
                </a:rPr>
                <a:t>〖</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𝜹^((</a:t>
              </a:r>
              <a:r>
                <a:rPr lang="it-IT" sz="1100" b="1" i="0" dirty="0">
                  <a:solidFill>
                    <a:schemeClr val="tx1"/>
                  </a:solidFill>
                  <a:latin typeface="Cambria Math" panose="02040503050406030204" pitchFamily="18" charset="0"/>
                  <a:cs typeface="Times New Roman" panose="02020603050405020304" pitchFamily="18" charset="0"/>
                </a:rPr>
                <a:t>𝒊)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𝒓_𝒍𝒐𝒈𝒘^((𝒊)) </a:t>
              </a:r>
              <a:r>
                <a:rPr lang="it-IT" sz="1100" b="1" i="0" u="none" strike="noStrike" dirty="0">
                  <a:solidFill>
                    <a:schemeClr val="tx1"/>
                  </a:solidFill>
                  <a:effectLst/>
                  <a:latin typeface="Cambria Math" panose="02040503050406030204" pitchFamily="18" charset="0"/>
                  <a:ea typeface="Cambria Math" panose="02040503050406030204" pitchFamily="18" charset="0"/>
                  <a:cs typeface="+mn-cs"/>
                </a:rPr>
                <a:t>〗</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=𝜹^′× </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𝒓_(𝒍𝒐𝒈_𝒘  )</a:t>
              </a:r>
              <a:r>
                <a:rPr lang="it-IT" sz="1100" b="1" i="0" u="none" strike="noStrike" dirty="0">
                  <a:solidFill>
                    <a:schemeClr val="tx1"/>
                  </a:solidFill>
                  <a:effectLst/>
                  <a:latin typeface="Cambria Math" panose="02040503050406030204" pitchFamily="18" charset="0"/>
                  <a:ea typeface="Cambria Math" panose="02040503050406030204" pitchFamily="18" charset="0"/>
                  <a:cs typeface="+mn-cs"/>
                </a:rPr>
                <a:t>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 </a:t>
              </a:r>
              <a:endParaRPr lang="it-IT" sz="1100" b="0"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0" i="0" u="none" strike="noStrike" baseline="0">
                  <a:solidFill>
                    <a:schemeClr val="tx1"/>
                  </a:solidFill>
                  <a:effectLst/>
                  <a:latin typeface="+mn-lt"/>
                  <a:ea typeface="Cambria Math" panose="02040503050406030204" pitchFamily="18" charset="0"/>
                  <a:cs typeface="+mn-cs"/>
                </a:rPr>
                <a:t>Distribution of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𝑽(𝑷)</a:t>
              </a:r>
              <a:r>
                <a:rPr lang="it-IT" sz="1100" b="0" i="0" dirty="0">
                  <a:solidFill>
                    <a:schemeClr val="tx1"/>
                  </a:solidFill>
                  <a:latin typeface="Cambria Math" panose="02040503050406030204" pitchFamily="18" charset="0"/>
                  <a:cs typeface="Times New Roman" panose="02020603050405020304" pitchFamily="18" charset="0"/>
                </a:rPr>
                <a:t>:</a:t>
              </a:r>
              <a:endParaRPr lang="it-IT" sz="1100" b="0" i="0" dirty="0">
                <a:solidFill>
                  <a:schemeClr val="tx1"/>
                </a:solidFill>
                <a:latin typeface="+mn-lt"/>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0" i="0" u="none" strike="noStrike" baseline="0">
                  <a:solidFill>
                    <a:schemeClr val="tx1"/>
                  </a:solidFill>
                  <a:effectLst/>
                  <a:latin typeface="+mn-lt"/>
                  <a:ea typeface="Cambria Math" panose="02040503050406030204" pitchFamily="18" charset="0"/>
                  <a:cs typeface="+mn-cs"/>
                </a:rPr>
                <a:t>if our assumptions are correct </a:t>
              </a:r>
              <a:r>
                <a:rPr lang="en-GB" sz="1100">
                  <a:solidFill>
                    <a:schemeClr val="tx1"/>
                  </a:solidFill>
                  <a:effectLst/>
                  <a:latin typeface="+mn-lt"/>
                  <a:ea typeface="+mn-ea"/>
                  <a:cs typeface="+mn-cs"/>
                </a:rPr>
                <a:t>we know the entire probability distribution of the possible future changes in the value of</a:t>
              </a:r>
              <a:r>
                <a:rPr lang="en-GB" sz="1100" baseline="0">
                  <a:solidFill>
                    <a:schemeClr val="tx1"/>
                  </a:solidFill>
                  <a:effectLst/>
                  <a:latin typeface="+mn-lt"/>
                  <a:ea typeface="+mn-ea"/>
                  <a:cs typeface="+mn-cs"/>
                </a:rPr>
                <a:t> the portfolio (any linear combination of a normal is a normal):</a:t>
              </a:r>
            </a:p>
            <a:p>
              <a:pPr marL="0" marR="0" lvl="0" indent="0" algn="l" defTabSz="914400" eaLnBrk="1" fontAlgn="auto" latinLnBrk="0" hangingPunct="1">
                <a:lnSpc>
                  <a:spcPct val="100000"/>
                </a:lnSpc>
                <a:spcBef>
                  <a:spcPts val="0"/>
                </a:spcBef>
                <a:spcAft>
                  <a:spcPts val="0"/>
                </a:spcAft>
                <a:buClrTx/>
                <a:buSzTx/>
                <a:buFontTx/>
                <a:buNone/>
                <a:tabLst/>
                <a:defRPr/>
              </a:pPr>
              <a:endParaRPr lang="it-IT" sz="1100" b="0"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𝑽(𝑷)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 𝑵(𝜹^</a:t>
              </a:r>
              <a:r>
                <a:rPr lang="it-IT" sz="1100" b="1" i="0" dirty="0">
                  <a:solidFill>
                    <a:schemeClr val="tx1"/>
                  </a:solidFill>
                  <a:latin typeface="Cambria Math" panose="02040503050406030204" pitchFamily="18" charset="0"/>
                  <a:cs typeface="Times New Roman" panose="02020603050405020304" pitchFamily="18" charset="0"/>
                </a:rPr>
                <a:t>𝒊</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×𝟎,𝜹^′×</a:t>
              </a:r>
              <a:r>
                <a:rPr lang="el-GR" sz="1100" b="1" i="0" u="none" strike="noStrike" baseline="0">
                  <a:solidFill>
                    <a:schemeClr val="tx1"/>
                  </a:solidFill>
                  <a:effectLst/>
                  <a:latin typeface="Cambria Math" panose="02040503050406030204" pitchFamily="18" charset="0"/>
                  <a:ea typeface="Cambria Math" panose="02040503050406030204" pitchFamily="18" charset="0"/>
                  <a:cs typeface="+mn-cs"/>
                </a:rPr>
                <a:t>𝜮×</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𝜹^ </a:t>
              </a:r>
              <a:r>
                <a:rPr lang="it-IT" sz="1100" b="1" i="0" u="none" strike="noStrike" baseline="0">
                  <a:solidFill>
                    <a:schemeClr val="tx1"/>
                  </a:solidFill>
                  <a:effectLst/>
                  <a:latin typeface="Cambria Math" panose="02040503050406030204" pitchFamily="18" charset="0"/>
                  <a:ea typeface="Cambria Math" panose="02040503050406030204" pitchFamily="18" charset="0"/>
                  <a:cs typeface="+mn-cs"/>
                </a:rPr>
                <a:t>× (𝑻−𝒕))</a:t>
              </a:r>
              <a:endParaRPr lang="it-IT" sz="1100" b="0" i="0" u="none" strike="noStrike" baseline="0">
                <a:solidFill>
                  <a:schemeClr val="tx1"/>
                </a:solidFill>
                <a:effectLst/>
                <a:latin typeface="+mn-lt"/>
                <a:ea typeface="Cambria Math"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Var computation:</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 </a:t>
              </a:r>
              <a:r>
                <a:rPr lang="it-IT" sz="1100" b="0" i="0" u="none" strike="noStrike" baseline="0">
                  <a:solidFill>
                    <a:schemeClr val="tx1"/>
                  </a:solidFill>
                  <a:effectLst/>
                  <a:latin typeface="+mn-lt"/>
                  <a:ea typeface="Cambria Math" panose="02040503050406030204" pitchFamily="18" charset="0"/>
                  <a:cs typeface="+mn-cs"/>
                </a:rPr>
                <a:t>General formula:</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cs typeface="Times New Roman" panose="02020603050405020304" pitchFamily="18" charset="0"/>
                </a:rPr>
                <a:t>〖𝑽𝒂𝒓〗_𝒑=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𝑽〗_𝒑</a:t>
              </a:r>
              <a:r>
                <a:rPr lang="en-GB" sz="1100" b="1" i="0" u="none" strike="noStrike">
                  <a:solidFill>
                    <a:schemeClr val="tx1"/>
                  </a:solidFill>
                  <a:effectLst/>
                  <a:latin typeface="+mn-lt"/>
                  <a:ea typeface="+mn-ea"/>
                  <a:cs typeface="+mn-cs"/>
                </a:rPr>
                <a:t> " </a:t>
              </a:r>
              <a:r>
                <a:rPr lang="it-IT" sz="1100" b="1" i="0" u="none" strike="noStrike">
                  <a:solidFill>
                    <a:schemeClr val="tx1"/>
                  </a:solidFill>
                  <a:effectLst/>
                  <a:latin typeface="+mn-lt"/>
                  <a:ea typeface="+mn-ea"/>
                  <a:cs typeface="+mn-cs"/>
                </a:rPr>
                <a:t>−</a:t>
              </a:r>
              <a:r>
                <a:rPr lang="it-IT" sz="1100" b="1" i="0" u="none" strike="noStrike">
                  <a:solidFill>
                    <a:schemeClr val="tx1"/>
                  </a:solidFill>
                  <a:effectLst/>
                  <a:latin typeface="Cambria Math" panose="02040503050406030204" pitchFamily="18" charset="0"/>
                  <a:ea typeface="+mn-ea"/>
                  <a:cs typeface="+mn-cs"/>
                </a:rPr>
                <a:t>" </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𝝁</a:t>
              </a:r>
              <a:r>
                <a:rPr lang="it-IT" sz="1100" b="1" i="0" u="none" strike="noStrike">
                  <a:solidFill>
                    <a:schemeClr val="tx1"/>
                  </a:solidFill>
                  <a:effectLst/>
                  <a:latin typeface="Cambria Math" panose="02040503050406030204" pitchFamily="18" charset="0"/>
                  <a:ea typeface="+mn-ea"/>
                  <a:cs typeface="+mn-cs"/>
                </a:rPr>
                <a:t>_</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 |</a:t>
              </a:r>
              <a:endParaRPr lang="en-GB">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b="1">
                  <a:solidFill>
                    <a:schemeClr val="tx1"/>
                  </a:solidFill>
                  <a:effectLst/>
                </a:rPr>
                <a:t>where:</a:t>
              </a:r>
            </a:p>
            <a:p>
              <a:pPr marL="0" marR="0" lvl="0" indent="0" algn="l" defTabSz="914400" eaLnBrk="1" fontAlgn="auto" latinLnBrk="0" hangingPunct="1">
                <a:lnSpc>
                  <a:spcPct val="100000"/>
                </a:lnSpc>
                <a:spcBef>
                  <a:spcPts val="0"/>
                </a:spcBef>
                <a:spcAft>
                  <a:spcPts val="0"/>
                </a:spcAft>
                <a:buClrTx/>
                <a:buSzTx/>
                <a:buFontTx/>
                <a:buNone/>
                <a:tabLst/>
                <a:defRPr/>
              </a:pPr>
              <a:r>
                <a:rPr lang="en-GB">
                  <a:solidFill>
                    <a:schemeClr val="tx1"/>
                  </a:solidFill>
                  <a:effectLst/>
                </a:rPr>
                <a:t>the p-th percentile of a continuous distribution:</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cs typeface="Times New Roman" panose="02020603050405020304" pitchFamily="18" charset="0"/>
                </a:rPr>
                <a:t>〖</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𝑽〗_𝒑</a:t>
              </a:r>
              <a:r>
                <a:rPr lang="en-GB" sz="1100" b="1" i="0" u="none" strike="noStrike">
                  <a:solidFill>
                    <a:schemeClr val="tx1"/>
                  </a:solidFill>
                  <a:effectLst/>
                  <a:latin typeface="+mn-lt"/>
                  <a:ea typeface="+mn-ea"/>
                  <a:cs typeface="+mn-cs"/>
                </a:rPr>
                <a:t> </a:t>
              </a:r>
              <a:r>
                <a:rPr lang="en-GB" sz="1100" b="1" i="0" u="none" strike="noStrike">
                  <a:solidFill>
                    <a:schemeClr val="tx1"/>
                  </a:solidFill>
                  <a:effectLst/>
                  <a:latin typeface="Cambria Math" panose="02040503050406030204" pitchFamily="18" charset="0"/>
                  <a:ea typeface="+mn-ea"/>
                  <a:cs typeface="+mn-cs"/>
                </a:rPr>
                <a:t>" </a:t>
              </a:r>
              <a:r>
                <a:rPr lang="it-IT" sz="1100" b="1" i="0" u="none" strike="noStrike">
                  <a:solidFill>
                    <a:schemeClr val="tx1"/>
                  </a:solidFill>
                  <a:effectLst/>
                  <a:latin typeface="Cambria Math" panose="02040503050406030204" pitchFamily="18" charset="0"/>
                  <a:ea typeface="+mn-ea"/>
                  <a:cs typeface="+mn-cs"/>
                </a:rPr>
                <a:t>= x| Prob(</a:t>
              </a:r>
              <a:r>
                <a:rPr lang="it-IT" sz="1100" b="1" i="0" u="none" strike="noStrike" dirty="0">
                  <a:solidFill>
                    <a:schemeClr val="tx1"/>
                  </a:solidFill>
                  <a:effectLst/>
                  <a:latin typeface="Cambria Math" panose="02040503050406030204" pitchFamily="18" charset="0"/>
                  <a:ea typeface="Cambria Math" panose="02040503050406030204" pitchFamily="18" charset="0"/>
                  <a:cs typeface="+mn-cs"/>
                </a:rPr>
                <a:t>"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 ≤ x</a:t>
              </a:r>
              <a:r>
                <a:rPr lang="it-IT" sz="1100" b="1" i="0" u="none" strike="noStrike">
                  <a:solidFill>
                    <a:schemeClr val="tx1"/>
                  </a:solidFill>
                  <a:effectLst/>
                  <a:latin typeface="Cambria Math" panose="02040503050406030204" pitchFamily="18" charset="0"/>
                  <a:ea typeface="+mn-ea"/>
                  <a:cs typeface="+mn-cs"/>
                </a:rPr>
                <a:t>) = p</a:t>
              </a:r>
              <a:r>
                <a:rPr lang="en-GB" sz="1100" b="1" i="0" u="none" strike="noStrike">
                  <a:solidFill>
                    <a:schemeClr val="tx1"/>
                  </a:solidFill>
                  <a:effectLst/>
                  <a:latin typeface="+mn-lt"/>
                  <a:ea typeface="+mn-ea"/>
                  <a:cs typeface="+mn-cs"/>
                </a:rPr>
                <a:t>"</a:t>
              </a:r>
              <a:endParaRPr lang="en-GB">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 </a:t>
              </a:r>
              <a:r>
                <a:rPr lang="it-IT" sz="1100" b="0" i="0" u="none" strike="noStrike" baseline="0">
                  <a:solidFill>
                    <a:schemeClr val="tx1"/>
                  </a:solidFill>
                  <a:effectLst/>
                  <a:latin typeface="+mn-lt"/>
                  <a:ea typeface="Cambria Math" panose="02040503050406030204" pitchFamily="18" charset="0"/>
                  <a:cs typeface="+mn-cs"/>
                </a:rPr>
                <a:t>For any zero mean normal distribution:</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cs typeface="Times New Roman" panose="02020603050405020304" pitchFamily="18" charset="0"/>
                </a:rPr>
                <a:t>〖𝑽𝒂𝒓〗_𝒑=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𝑽〗_𝒑 |=|𝒛_(𝒑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×𝝈_𝚫𝑽 |</a:t>
              </a:r>
              <a:endParaRPr lang="en-GB" b="0">
                <a:solidFill>
                  <a:schemeClr val="tx1"/>
                </a:solidFill>
                <a:effectLst/>
              </a:endParaRPr>
            </a:p>
            <a:p>
              <a:endParaRPr lang="en-GB" b="1">
                <a:solidFill>
                  <a:schemeClr val="tx1"/>
                </a:solidFill>
                <a:effectLst/>
              </a:endParaRPr>
            </a:p>
            <a:p>
              <a:endParaRPr lang="en-US" sz="1100" b="1" dirty="0">
                <a:solidFill>
                  <a:schemeClr val="tx1"/>
                </a:solidFill>
                <a:latin typeface="Times New Roman" panose="02020603050405020304" pitchFamily="18" charset="0"/>
                <a:cs typeface="Times New Roman" panose="02020603050405020304" pitchFamily="18" charset="0"/>
              </a:endParaRPr>
            </a:p>
          </xdr:txBody>
        </xdr:sp>
      </mc:Fallback>
    </mc:AlternateContent>
    <xdr:clientData/>
  </xdr:twoCellAnchor>
  <xdr:twoCellAnchor>
    <xdr:from>
      <xdr:col>12</xdr:col>
      <xdr:colOff>337688</xdr:colOff>
      <xdr:row>31</xdr:row>
      <xdr:rowOff>109649</xdr:rowOff>
    </xdr:from>
    <xdr:to>
      <xdr:col>22</xdr:col>
      <xdr:colOff>249839</xdr:colOff>
      <xdr:row>89</xdr:row>
      <xdr:rowOff>0</xdr:rowOff>
    </xdr:to>
    <mc:AlternateContent xmlns:mc="http://schemas.openxmlformats.org/markup-compatibility/2006" xmlns:a14="http://schemas.microsoft.com/office/drawing/2010/main">
      <mc:Choice Requires="a14">
        <xdr:sp macro="" textlink="">
          <xdr:nvSpPr>
            <xdr:cNvPr id="39" name="Rectangle: Rounded Corners 1">
              <a:extLst>
                <a:ext uri="{FF2B5EF4-FFF2-40B4-BE49-F238E27FC236}">
                  <a16:creationId xmlns:a16="http://schemas.microsoft.com/office/drawing/2014/main" id="{F3AC6CC8-ADBE-5D43-BFC1-D289E6B815A2}"/>
                </a:ext>
              </a:extLst>
            </xdr:cNvPr>
            <xdr:cNvSpPr/>
          </xdr:nvSpPr>
          <xdr:spPr>
            <a:xfrm>
              <a:off x="9390019" y="5294687"/>
              <a:ext cx="8124181" cy="9362832"/>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sng" strike="noStrike">
                  <a:solidFill>
                    <a:schemeClr val="tx1"/>
                  </a:solidFill>
                  <a:effectLst/>
                  <a:latin typeface="+mn-lt"/>
                  <a:ea typeface="+mn-ea"/>
                  <a:cs typeface="+mn-cs"/>
                </a:rPr>
                <a:t>Hybrid </a:t>
              </a:r>
              <a:r>
                <a:rPr lang="en-GB" sz="1100" b="1" i="0" u="sng" strike="noStrike" baseline="0">
                  <a:solidFill>
                    <a:schemeClr val="tx1"/>
                  </a:solidFill>
                  <a:effectLst/>
                  <a:latin typeface="+mn-lt"/>
                  <a:ea typeface="+mn-ea"/>
                  <a:cs typeface="+mn-cs"/>
                </a:rPr>
                <a:t>Approach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1" i="0" u="sng" strike="noStrike"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Methodology:</a:t>
              </a:r>
              <a:endParaRPr lang="en-GB" sz="1100" b="1" i="0" u="sng" strike="noStrike" baseline="0">
                <a:solidFill>
                  <a:schemeClr val="tx1"/>
                </a:solidFill>
                <a:effectLst/>
                <a:latin typeface="+mn-lt"/>
                <a:ea typeface="+mn-ea"/>
                <a:cs typeface="+mn-cs"/>
              </a:endParaRPr>
            </a:p>
            <a:p>
              <a:r>
                <a:rPr lang="en-GB" b="0">
                  <a:solidFill>
                    <a:schemeClr val="tx1"/>
                  </a:solidFill>
                </a:rPr>
                <a:t>(1)</a:t>
              </a:r>
              <a:r>
                <a:rPr lang="en-GB">
                  <a:solidFill>
                    <a:schemeClr val="tx1"/>
                  </a:solidFill>
                </a:rPr>
                <a:t> For each past sub-period (each week), we compute the (log) changes in the discount factors:</a:t>
              </a:r>
            </a:p>
            <a:p>
              <a:endParaRPr lang="en-GB" sz="100">
                <a:solidFill>
                  <a:schemeClr val="tx1"/>
                </a:solidFill>
              </a:endParaRPr>
            </a:p>
            <a:p>
              <a:pPr marL="0" marR="0" lvl="0" indent="0" algn="ctr"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sSub>
                    <m:sSub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𝒓</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𝒍𝒐</m:t>
                      </m:r>
                      <m:sSub>
                        <m:sSub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𝒈</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𝒘</m:t>
                          </m:r>
                        </m:sub>
                      </m:s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 </m:t>
                      </m:r>
                    </m:sub>
                  </m:s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 </m:t>
                  </m:r>
                  <m:func>
                    <m:func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funcPr>
                    <m:fName>
                      <m:r>
                        <m:rPr>
                          <m:sty m:val="p"/>
                        </m:rPr>
                        <a:rPr lang="it-IT" sz="1100" b="0" i="0" u="none" strike="noStrike">
                          <a:solidFill>
                            <a:schemeClr val="tx1"/>
                          </a:solidFill>
                          <a:effectLst/>
                          <a:latin typeface="Cambria Math" panose="02040503050406030204" pitchFamily="18" charset="0"/>
                          <a:ea typeface="Cambria Math" panose="02040503050406030204" pitchFamily="18" charset="0"/>
                          <a:cs typeface="+mn-cs"/>
                        </a:rPr>
                        <m:t>ln</m:t>
                      </m:r>
                    </m:fName>
                    <m:e>
                      <m:f>
                        <m:fPr>
                          <m:ctrlPr>
                            <a:rPr lang="it-IT" sz="1100" b="0" i="1" u="none" strike="noStrike">
                              <a:solidFill>
                                <a:schemeClr val="tx1"/>
                              </a:solidFill>
                              <a:effectLst/>
                              <a:latin typeface="Cambria Math" panose="02040503050406030204" pitchFamily="18" charset="0"/>
                              <a:ea typeface="Cambria Math" panose="02040503050406030204" pitchFamily="18" charset="0"/>
                              <a:cs typeface="+mn-cs"/>
                            </a:rPr>
                          </m:ctrlPr>
                        </m:fPr>
                        <m:num>
                          <m:sSub>
                            <m:sSubPr>
                              <m:ctrlPr>
                                <a:rPr lang="it-IT" sz="1100" b="0" i="1" u="none" strike="noStrike">
                                  <a:solidFill>
                                    <a:schemeClr val="tx1"/>
                                  </a:solidFill>
                                  <a:effectLst/>
                                  <a:latin typeface="Cambria Math" panose="02040503050406030204" pitchFamily="18" charset="0"/>
                                  <a:ea typeface="Cambria Math" panose="02040503050406030204" pitchFamily="18" charset="0"/>
                                  <a:cs typeface="+mn-cs"/>
                                </a:rPr>
                              </m:ctrlPr>
                            </m:sSubPr>
                            <m:e>
                              <m:r>
                                <a:rPr lang="it-IT" sz="1100" b="0" i="1" u="none" strike="noStrike">
                                  <a:solidFill>
                                    <a:schemeClr val="tx1"/>
                                  </a:solidFill>
                                  <a:effectLst/>
                                  <a:latin typeface="Cambria Math" panose="02040503050406030204" pitchFamily="18" charset="0"/>
                                  <a:ea typeface="Cambria Math" panose="02040503050406030204" pitchFamily="18" charset="0"/>
                                  <a:cs typeface="+mn-cs"/>
                                </a:rPr>
                                <m:t>𝑃</m:t>
                              </m:r>
                            </m:e>
                            <m:sub>
                              <m:r>
                                <a:rPr lang="it-IT" sz="1100" b="0" i="1" u="none" strike="noStrike">
                                  <a:solidFill>
                                    <a:schemeClr val="tx1"/>
                                  </a:solidFill>
                                  <a:effectLst/>
                                  <a:latin typeface="Cambria Math" panose="02040503050406030204" pitchFamily="18" charset="0"/>
                                  <a:ea typeface="Cambria Math" panose="02040503050406030204" pitchFamily="18" charset="0"/>
                                  <a:cs typeface="+mn-cs"/>
                                </a:rPr>
                                <m:t>𝑇</m:t>
                              </m:r>
                            </m:sub>
                          </m:sSub>
                        </m:num>
                        <m:den>
                          <m:sSub>
                            <m:sSubPr>
                              <m:ctrlPr>
                                <a:rPr lang="it-IT" sz="1100" b="0" i="1" u="none" strike="noStrike">
                                  <a:solidFill>
                                    <a:schemeClr val="tx1"/>
                                  </a:solidFill>
                                  <a:effectLst/>
                                  <a:latin typeface="Cambria Math" panose="02040503050406030204" pitchFamily="18" charset="0"/>
                                  <a:ea typeface="Cambria Math" panose="02040503050406030204" pitchFamily="18" charset="0"/>
                                  <a:cs typeface="+mn-cs"/>
                                </a:rPr>
                              </m:ctrlPr>
                            </m:sSubPr>
                            <m:e>
                              <m:r>
                                <a:rPr lang="it-IT" sz="1100" b="0" i="1" u="none" strike="noStrike">
                                  <a:solidFill>
                                    <a:schemeClr val="tx1"/>
                                  </a:solidFill>
                                  <a:effectLst/>
                                  <a:latin typeface="Cambria Math" panose="02040503050406030204" pitchFamily="18" charset="0"/>
                                  <a:ea typeface="Cambria Math" panose="02040503050406030204" pitchFamily="18" charset="0"/>
                                  <a:cs typeface="+mn-cs"/>
                                </a:rPr>
                                <m:t>𝑃</m:t>
                              </m:r>
                            </m:e>
                            <m:sub>
                              <m:r>
                                <a:rPr lang="it-IT" sz="1100" b="0" i="1" u="none" strike="noStrike">
                                  <a:solidFill>
                                    <a:schemeClr val="tx1"/>
                                  </a:solidFill>
                                  <a:effectLst/>
                                  <a:latin typeface="Cambria Math" panose="02040503050406030204" pitchFamily="18" charset="0"/>
                                  <a:ea typeface="Cambria Math" panose="02040503050406030204" pitchFamily="18" charset="0"/>
                                  <a:cs typeface="+mn-cs"/>
                                </a:rPr>
                                <m:t>𝑡</m:t>
                              </m:r>
                            </m:sub>
                          </m:sSub>
                        </m:den>
                      </m:f>
                    </m:e>
                  </m:func>
                </m:oMath>
              </a14:m>
              <a:r>
                <a:rPr lang="en-GB" sz="1100" b="1" i="0" u="sng" strike="noStrike">
                  <a:solidFill>
                    <a:schemeClr val="tx1"/>
                  </a:solidFill>
                  <a:effectLst/>
                  <a:latin typeface="+mn-lt"/>
                  <a:ea typeface="+mn-ea"/>
                  <a:cs typeface="+mn-cs"/>
                </a:rPr>
                <a:t> </a:t>
              </a:r>
            </a:p>
            <a:p>
              <a:pPr marL="0" marR="0" lvl="0" indent="0" algn="ctr" defTabSz="914400" eaLnBrk="1" fontAlgn="auto" latinLnBrk="0" hangingPunct="1">
                <a:lnSpc>
                  <a:spcPct val="100000"/>
                </a:lnSpc>
                <a:spcBef>
                  <a:spcPts val="0"/>
                </a:spcBef>
                <a:spcAft>
                  <a:spcPts val="0"/>
                </a:spcAft>
                <a:buClrTx/>
                <a:buSzTx/>
                <a:buFontTx/>
                <a:buNone/>
                <a:tabLst/>
                <a:defRPr/>
              </a:pPr>
              <a:endParaRPr lang="en-GB">
                <a:solidFill>
                  <a:schemeClr val="tx1"/>
                </a:solidFill>
              </a:endParaRPr>
            </a:p>
            <a:p>
              <a:r>
                <a:rPr lang="en-GB" b="0">
                  <a:solidFill>
                    <a:schemeClr val="tx1"/>
                  </a:solidFill>
                </a:rPr>
                <a:t>(2)</a:t>
              </a:r>
              <a:r>
                <a:rPr lang="en-GB" b="1">
                  <a:solidFill>
                    <a:schemeClr val="tx1"/>
                  </a:solidFill>
                </a:rPr>
                <a:t> </a:t>
              </a:r>
              <a:r>
                <a:rPr lang="en-GB">
                  <a:solidFill>
                    <a:schemeClr val="tx1"/>
                  </a:solidFill>
                </a:rPr>
                <a:t>We apply these changes to the current values of the discount factors, obtaining a set of possible future values:</a:t>
              </a:r>
            </a:p>
            <a:p>
              <a:endParaRPr lang="en-GB" sz="100">
                <a:solidFill>
                  <a:schemeClr val="tx1"/>
                </a:solidFill>
              </a:endParaRPr>
            </a:p>
            <a:p>
              <a:pPr/>
              <a14:m>
                <m:oMathPara xmlns:m="http://schemas.openxmlformats.org/officeDocument/2006/math">
                  <m:oMathParaPr>
                    <m:jc m:val="centerGroup"/>
                  </m:oMathParaPr>
                  <m:oMath xmlns:m="http://schemas.openxmlformats.org/officeDocument/2006/math">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𝑷</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𝑻</m:t>
                        </m:r>
                      </m:sub>
                      <m: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𝒊</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up>
                    </m:sSub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𝑷</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𝒕</m:t>
                        </m:r>
                      </m:sub>
                      <m: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𝒊</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up>
                    </m:sSub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Sup>
                      <m:s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𝒆</m:t>
                        </m:r>
                      </m:e>
                      <m:sup>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𝒓</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𝒍𝒐𝒈𝒘</m:t>
                            </m:r>
                          </m:sub>
                          <m: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𝒊</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up>
                        </m:sSubSup>
                      </m:sup>
                    </m:sSup>
                  </m:oMath>
                </m:oMathPara>
              </a14:m>
              <a:endParaRPr lang="en-GB" b="1">
                <a:solidFill>
                  <a:schemeClr val="tx1"/>
                </a:solidFill>
              </a:endParaRPr>
            </a:p>
            <a:p>
              <a:endParaRPr lang="en-GB" b="1">
                <a:solidFill>
                  <a:schemeClr val="tx1"/>
                </a:solidFill>
              </a:endParaRPr>
            </a:p>
            <a:p>
              <a:r>
                <a:rPr lang="en-GB" b="0">
                  <a:solidFill>
                    <a:schemeClr val="tx1"/>
                  </a:solidFill>
                </a:rPr>
                <a:t>(3)</a:t>
              </a:r>
              <a:r>
                <a:rPr lang="en-GB" b="0" baseline="0">
                  <a:solidFill>
                    <a:schemeClr val="tx1"/>
                  </a:solidFill>
                </a:rPr>
                <a:t> </a:t>
              </a:r>
              <a:r>
                <a:rPr lang="en-GB" b="0">
                  <a:solidFill>
                    <a:schemeClr val="tx1"/>
                  </a:solidFill>
                </a:rPr>
                <a:t> </a:t>
              </a:r>
              <a:r>
                <a:rPr lang="en-GB">
                  <a:solidFill>
                    <a:schemeClr val="tx1"/>
                  </a:solidFill>
                </a:rPr>
                <a:t>We then discount the future cash flows (after clumping) using these simulated discount factors, consistently with a static revaluation perspective, thus obtaining a set of possible future portfolio values.</a:t>
              </a:r>
            </a:p>
            <a:p>
              <a:endParaRPr lang="en-GB" sz="100">
                <a:solidFill>
                  <a:schemeClr val="tx1"/>
                </a:solidFill>
              </a:endParaRPr>
            </a:p>
            <a:p>
              <a:pPr marL="0" marR="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𝑽</m:t>
                        </m:r>
                        <m:d>
                          <m:dPr>
                            <m:ctrlPr>
                              <a:rPr lang="it-IT" sz="1100" b="1" i="1" dirty="0" smtClean="0">
                                <a:solidFill>
                                  <a:schemeClr val="tx1"/>
                                </a:solidFill>
                                <a:latin typeface="Cambria Math" panose="02040503050406030204" pitchFamily="18" charset="0"/>
                                <a:cs typeface="Times New Roman" panose="02020603050405020304" pitchFamily="18" charset="0"/>
                              </a:rPr>
                            </m:ctrlPr>
                          </m:dPr>
                          <m:e>
                            <m:r>
                              <a:rPr lang="it-IT" sz="1100" b="1" i="1" dirty="0" smtClean="0">
                                <a:solidFill>
                                  <a:schemeClr val="tx1"/>
                                </a:solidFill>
                                <a:latin typeface="Cambria Math" panose="02040503050406030204" pitchFamily="18" charset="0"/>
                                <a:cs typeface="Times New Roman" panose="02020603050405020304" pitchFamily="18" charset="0"/>
                              </a:rPr>
                              <m:t>𝑷</m:t>
                            </m:r>
                          </m:e>
                        </m:d>
                      </m:e>
                      <m:sub>
                        <m:r>
                          <a:rPr lang="it-IT" sz="1100" b="1" i="1" dirty="0" smtClean="0">
                            <a:solidFill>
                              <a:schemeClr val="tx1"/>
                            </a:solidFill>
                            <a:latin typeface="Cambria Math" panose="02040503050406030204" pitchFamily="18" charset="0"/>
                            <a:cs typeface="Times New Roman" panose="02020603050405020304" pitchFamily="18" charset="0"/>
                          </a:rPr>
                          <m:t>𝑻</m:t>
                        </m:r>
                      </m:sub>
                    </m:sSub>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𝑪</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r>
                      <a:rPr lang="el-GR" sz="1100" b="1" i="1" dirty="0">
                        <a:solidFill>
                          <a:schemeClr val="tx1"/>
                        </a:solidFill>
                        <a:latin typeface="Cambria Math" panose="02040503050406030204" pitchFamily="18" charset="0"/>
                        <a:cs typeface="Times New Roman" panose="02020603050405020304" pitchFamily="18" charset="0"/>
                      </a:rPr>
                      <m:t>×</m:t>
                    </m:r>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𝑷</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𝑻</m:t>
                        </m:r>
                      </m:sub>
                      <m: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𝟏</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up>
                    </m:sSub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Sub>
                      <m:sSubPr>
                        <m:ctrlPr>
                          <a:rPr lang="it-IT" sz="1100" b="1" i="1" dirty="0">
                            <a:solidFill>
                              <a:schemeClr val="tx1"/>
                            </a:solidFill>
                            <a:latin typeface="Cambria Math" panose="02040503050406030204" pitchFamily="18" charset="0"/>
                            <a:cs typeface="Times New Roman" panose="02020603050405020304" pitchFamily="18" charset="0"/>
                          </a:rPr>
                        </m:ctrlPr>
                      </m:sSubPr>
                      <m:e>
                        <m:r>
                          <a:rPr lang="it-IT" sz="1100" b="1" i="1" dirty="0">
                            <a:solidFill>
                              <a:schemeClr val="tx1"/>
                            </a:solidFill>
                            <a:latin typeface="Cambria Math" panose="02040503050406030204" pitchFamily="18" charset="0"/>
                            <a:cs typeface="Times New Roman" panose="02020603050405020304" pitchFamily="18" charset="0"/>
                          </a:rPr>
                          <m:t>𝑪</m:t>
                        </m:r>
                      </m:e>
                      <m:sub>
                        <m:r>
                          <a:rPr lang="it-IT" sz="1100" b="1" i="1" dirty="0">
                            <a:solidFill>
                              <a:schemeClr val="tx1"/>
                            </a:solidFill>
                            <a:latin typeface="Cambria Math" panose="02040503050406030204" pitchFamily="18" charset="0"/>
                            <a:cs typeface="Times New Roman" panose="02020603050405020304" pitchFamily="18" charset="0"/>
                          </a:rPr>
                          <m:t>𝒊</m:t>
                        </m:r>
                      </m:sub>
                    </m:sSub>
                    <m:r>
                      <a:rPr lang="el-GR" sz="1100" b="1" i="1" dirty="0">
                        <a:solidFill>
                          <a:schemeClr val="tx1"/>
                        </a:solidFill>
                        <a:latin typeface="Cambria Math" panose="02040503050406030204" pitchFamily="18" charset="0"/>
                        <a:cs typeface="Times New Roman" panose="02020603050405020304" pitchFamily="18" charset="0"/>
                      </a:rPr>
                      <m:t>×</m:t>
                    </m:r>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𝑷</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𝑻</m:t>
                        </m:r>
                      </m:sub>
                      <m:sup>
                        <m:d>
                          <m:d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d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𝒊</m:t>
                            </m:r>
                          </m:e>
                        </m:d>
                      </m:sup>
                    </m:sSubSup>
                    <m:r>
                      <a:rPr lang="it-IT" sz="1100" b="1" i="1" dirty="0">
                        <a:solidFill>
                          <a:schemeClr val="tx1"/>
                        </a:solidFill>
                        <a:latin typeface="Cambria Math" panose="02040503050406030204" pitchFamily="18" charset="0"/>
                        <a:cs typeface="Times New Roman" panose="02020603050405020304" pitchFamily="18" charset="0"/>
                      </a:rPr>
                      <m:t>+…+</m:t>
                    </m:r>
                    <m:sSub>
                      <m:sSubPr>
                        <m:ctrlPr>
                          <a:rPr lang="it-IT" sz="1100" b="1" i="1" dirty="0">
                            <a:solidFill>
                              <a:schemeClr val="tx1"/>
                            </a:solidFill>
                            <a:latin typeface="Cambria Math" panose="02040503050406030204" pitchFamily="18" charset="0"/>
                            <a:cs typeface="Times New Roman" panose="02020603050405020304" pitchFamily="18" charset="0"/>
                          </a:rPr>
                        </m:ctrlPr>
                      </m:sSubPr>
                      <m:e>
                        <m:r>
                          <a:rPr lang="it-IT" sz="1100" b="1" i="1" dirty="0">
                            <a:solidFill>
                              <a:schemeClr val="tx1"/>
                            </a:solidFill>
                            <a:latin typeface="Cambria Math" panose="02040503050406030204" pitchFamily="18" charset="0"/>
                            <a:cs typeface="Times New Roman" panose="02020603050405020304" pitchFamily="18" charset="0"/>
                          </a:rPr>
                          <m:t>𝑪</m:t>
                        </m:r>
                      </m:e>
                      <m:sub>
                        <m:r>
                          <a:rPr lang="it-IT" sz="1100" b="1" i="1" dirty="0">
                            <a:solidFill>
                              <a:schemeClr val="tx1"/>
                            </a:solidFill>
                            <a:latin typeface="Cambria Math" panose="02040503050406030204" pitchFamily="18" charset="0"/>
                            <a:cs typeface="Times New Roman" panose="02020603050405020304" pitchFamily="18" charset="0"/>
                          </a:rPr>
                          <m:t>𝒏</m:t>
                        </m:r>
                      </m:sub>
                    </m:sSub>
                    <m:r>
                      <a:rPr lang="el-GR" sz="1100" b="1" i="1" dirty="0">
                        <a:solidFill>
                          <a:schemeClr val="tx1"/>
                        </a:solidFill>
                        <a:latin typeface="Cambria Math" panose="02040503050406030204" pitchFamily="18" charset="0"/>
                        <a:cs typeface="Times New Roman" panose="02020603050405020304" pitchFamily="18" charset="0"/>
                      </a:rPr>
                      <m:t>×</m:t>
                    </m:r>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𝑷</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𝑻</m:t>
                        </m:r>
                      </m:sub>
                      <m:sup>
                        <m:d>
                          <m:d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d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𝒏</m:t>
                            </m:r>
                          </m:e>
                        </m:d>
                      </m:sup>
                    </m:sSubSup>
                  </m:oMath>
                </m:oMathPara>
              </a14:m>
              <a:endParaRPr lang="it-IT" sz="1100" b="1" u="none" strike="noStrike">
                <a:solidFill>
                  <a:schemeClr val="tx1"/>
                </a:solidFill>
                <a:effectLst/>
                <a:ea typeface="Cambria Math" panose="02040503050406030204" pitchFamily="18" charset="0"/>
                <a:cs typeface="+mn-cs"/>
              </a:endParaRPr>
            </a:p>
            <a:p>
              <a:r>
                <a:rPr lang="en-GB" b="1">
                  <a:solidFill>
                    <a:schemeClr val="tx1"/>
                  </a:solidFill>
                </a:rPr>
                <a:t>N.B. </a:t>
              </a:r>
            </a:p>
            <a:p>
              <a:r>
                <a:rPr lang="en-GB">
                  <a:solidFill>
                    <a:schemeClr val="tx1"/>
                  </a:solidFill>
                </a:rPr>
                <a:t>Discounting cash flows using the new (simulated) discount factors is equivalent to first discounting the cash flows using the current discount factors and then compounding them using the historical log weekly returns observed in the past:</a:t>
              </a:r>
            </a:p>
            <a:p>
              <a:pPr/>
              <a14:m>
                <m:oMathPara xmlns:m="http://schemas.openxmlformats.org/officeDocument/2006/math">
                  <m:oMathParaPr>
                    <m:jc m:val="centerGroup"/>
                  </m:oMathParaPr>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𝑽</m:t>
                        </m:r>
                        <m:d>
                          <m:dPr>
                            <m:ctrlPr>
                              <a:rPr lang="it-IT" sz="1100" b="1" i="1" dirty="0" smtClean="0">
                                <a:solidFill>
                                  <a:schemeClr val="tx1"/>
                                </a:solidFill>
                                <a:latin typeface="Cambria Math" panose="02040503050406030204" pitchFamily="18" charset="0"/>
                                <a:cs typeface="Times New Roman" panose="02020603050405020304" pitchFamily="18" charset="0"/>
                              </a:rPr>
                            </m:ctrlPr>
                          </m:dPr>
                          <m:e>
                            <m:r>
                              <a:rPr lang="it-IT" sz="1100" b="1" i="1" dirty="0" smtClean="0">
                                <a:solidFill>
                                  <a:schemeClr val="tx1"/>
                                </a:solidFill>
                                <a:latin typeface="Cambria Math" panose="02040503050406030204" pitchFamily="18" charset="0"/>
                                <a:cs typeface="Times New Roman" panose="02020603050405020304" pitchFamily="18" charset="0"/>
                              </a:rPr>
                              <m:t>𝑷</m:t>
                            </m:r>
                          </m:e>
                        </m:d>
                      </m:e>
                      <m:sub>
                        <m:r>
                          <a:rPr lang="it-IT" sz="1100" b="1" i="1" dirty="0" smtClean="0">
                            <a:solidFill>
                              <a:schemeClr val="tx1"/>
                            </a:solidFill>
                            <a:latin typeface="Cambria Math" panose="02040503050406030204" pitchFamily="18" charset="0"/>
                            <a:cs typeface="Times New Roman" panose="02020603050405020304" pitchFamily="18" charset="0"/>
                          </a:rPr>
                          <m:t>𝑻</m:t>
                        </m:r>
                      </m:sub>
                    </m:sSub>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𝑪</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r>
                      <a:rPr lang="el-GR" sz="1100" b="1" i="1" dirty="0">
                        <a:solidFill>
                          <a:schemeClr val="tx1"/>
                        </a:solidFill>
                        <a:latin typeface="Cambria Math" panose="02040503050406030204" pitchFamily="18" charset="0"/>
                        <a:cs typeface="Times New Roman" panose="02020603050405020304" pitchFamily="18" charset="0"/>
                      </a:rPr>
                      <m:t>×</m:t>
                    </m:r>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𝑷</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𝒕</m:t>
                        </m:r>
                      </m:sub>
                      <m: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𝒊</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up>
                    </m:sSub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Sup>
                      <m:s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𝒆</m:t>
                        </m:r>
                      </m:e>
                      <m:sup>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𝒓</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𝒍𝒐𝒈𝒘</m:t>
                            </m:r>
                          </m:sub>
                          <m: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𝟏</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up>
                        </m:sSubSup>
                      </m:sup>
                    </m:s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r>
                      <a:rPr lang="it-IT" sz="1100" b="1" i="1" dirty="0" smtClean="0">
                        <a:solidFill>
                          <a:schemeClr val="tx1"/>
                        </a:solidFill>
                        <a:latin typeface="Cambria Math" panose="02040503050406030204" pitchFamily="18" charset="0"/>
                        <a:cs typeface="Times New Roman" panose="02020603050405020304" pitchFamily="18" charset="0"/>
                      </a:rPr>
                      <m:t>…+</m:t>
                    </m:r>
                    <m:limLow>
                      <m:limLowPr>
                        <m:ctrlPr>
                          <a:rPr lang="it-IT" sz="1100" b="1" i="1" dirty="0" smtClean="0">
                            <a:solidFill>
                              <a:schemeClr val="tx1"/>
                            </a:solidFill>
                            <a:latin typeface="Cambria Math" panose="02040503050406030204" pitchFamily="18" charset="0"/>
                            <a:cs typeface="Times New Roman" panose="02020603050405020304" pitchFamily="18" charset="0"/>
                          </a:rPr>
                        </m:ctrlPr>
                      </m:limLowPr>
                      <m:e>
                        <m:groupChr>
                          <m:groupChrPr>
                            <m:chr m:val="⏟"/>
                            <m:ctrlPr>
                              <a:rPr lang="it-IT" sz="1100" b="1" i="1" dirty="0" smtClean="0">
                                <a:solidFill>
                                  <a:schemeClr val="tx1"/>
                                </a:solidFill>
                                <a:latin typeface="Cambria Math" panose="02040503050406030204" pitchFamily="18" charset="0"/>
                                <a:cs typeface="Times New Roman" panose="02020603050405020304" pitchFamily="18" charset="0"/>
                              </a:rPr>
                            </m:ctrlPr>
                          </m:groupChrPr>
                          <m:e>
                            <m:sSub>
                              <m:sSubPr>
                                <m:ctrlPr>
                                  <a:rPr lang="it-IT" sz="1100" b="1" i="1" dirty="0">
                                    <a:solidFill>
                                      <a:schemeClr val="tx1"/>
                                    </a:solidFill>
                                    <a:latin typeface="Cambria Math" panose="02040503050406030204" pitchFamily="18" charset="0"/>
                                    <a:cs typeface="Times New Roman" panose="02020603050405020304" pitchFamily="18" charset="0"/>
                                  </a:rPr>
                                </m:ctrlPr>
                              </m:sSubPr>
                              <m:e>
                                <m:r>
                                  <a:rPr lang="it-IT" sz="1100" b="1" i="1" dirty="0">
                                    <a:solidFill>
                                      <a:schemeClr val="tx1"/>
                                    </a:solidFill>
                                    <a:latin typeface="Cambria Math" panose="02040503050406030204" pitchFamily="18" charset="0"/>
                                    <a:cs typeface="Times New Roman" panose="02020603050405020304" pitchFamily="18" charset="0"/>
                                  </a:rPr>
                                  <m:t>𝑪</m:t>
                                </m:r>
                              </m:e>
                              <m:sub>
                                <m:r>
                                  <a:rPr lang="it-IT" sz="1100" b="1" i="1" dirty="0">
                                    <a:solidFill>
                                      <a:schemeClr val="tx1"/>
                                    </a:solidFill>
                                    <a:latin typeface="Cambria Math" panose="02040503050406030204" pitchFamily="18" charset="0"/>
                                    <a:cs typeface="Times New Roman" panose="02020603050405020304" pitchFamily="18" charset="0"/>
                                  </a:rPr>
                                  <m:t>𝒊</m:t>
                                </m:r>
                              </m:sub>
                            </m:sSub>
                            <m:r>
                              <a:rPr lang="el-GR" sz="1100" b="1" i="1" dirty="0">
                                <a:solidFill>
                                  <a:schemeClr val="tx1"/>
                                </a:solidFill>
                                <a:latin typeface="Cambria Math" panose="02040503050406030204" pitchFamily="18" charset="0"/>
                                <a:cs typeface="Times New Roman" panose="02020603050405020304" pitchFamily="18" charset="0"/>
                              </a:rPr>
                              <m:t>×</m:t>
                            </m:r>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𝑷</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𝒕</m:t>
                                </m:r>
                              </m:sub>
                              <m:sup>
                                <m:d>
                                  <m:d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d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𝒊</m:t>
                                    </m:r>
                                  </m:e>
                                </m:d>
                              </m:sup>
                            </m:sSubSup>
                          </m:e>
                        </m:groupChr>
                      </m:e>
                      <m:lim>
                        <m:eqArr>
                          <m:eqArrPr>
                            <m:ctrlPr>
                              <a:rPr lang="it-IT" sz="1100" b="1" i="1" dirty="0" smtClean="0">
                                <a:solidFill>
                                  <a:schemeClr val="tx1"/>
                                </a:solidFill>
                                <a:latin typeface="Cambria Math" panose="02040503050406030204" pitchFamily="18" charset="0"/>
                                <a:cs typeface="Times New Roman" panose="02020603050405020304" pitchFamily="18" charset="0"/>
                              </a:rPr>
                            </m:ctrlPr>
                          </m:eqArrPr>
                          <m:e>
                            <m:r>
                              <a:rPr lang="it-IT" sz="1100" b="0" i="1" dirty="0" smtClean="0">
                                <a:solidFill>
                                  <a:schemeClr val="tx1"/>
                                </a:solidFill>
                                <a:latin typeface="Cambria Math" panose="02040503050406030204" pitchFamily="18" charset="0"/>
                                <a:cs typeface="Times New Roman" panose="02020603050405020304" pitchFamily="18" charset="0"/>
                              </a:rPr>
                              <m:t> </m:t>
                            </m:r>
                          </m:e>
                          <m:e>
                            <m:r>
                              <a:rPr lang="it-IT" sz="1100" b="0" i="1" dirty="0" smtClean="0">
                                <a:solidFill>
                                  <a:schemeClr val="tx1"/>
                                </a:solidFill>
                                <a:latin typeface="Cambria Math" panose="02040503050406030204" pitchFamily="18" charset="0"/>
                                <a:cs typeface="Times New Roman" panose="02020603050405020304" pitchFamily="18" charset="0"/>
                              </a:rPr>
                              <m:t> </m:t>
                            </m:r>
                          </m:e>
                          <m:e>
                            <m:sSup>
                              <m:sSupPr>
                                <m:ctrlPr>
                                  <a:rPr lang="en-GB" i="1">
                                    <a:solidFill>
                                      <a:schemeClr val="tx1"/>
                                    </a:solidFill>
                                    <a:latin typeface="Cambria Math" panose="02040503050406030204" pitchFamily="18" charset="0"/>
                                  </a:rPr>
                                </m:ctrlPr>
                              </m:sSupPr>
                              <m:e>
                                <m:r>
                                  <a:rPr lang="it-IT" b="0" i="1">
                                    <a:solidFill>
                                      <a:schemeClr val="tx1"/>
                                    </a:solidFill>
                                    <a:latin typeface="Cambria Math" panose="02040503050406030204" pitchFamily="18" charset="0"/>
                                  </a:rPr>
                                  <m:t>𝑃𝑉</m:t>
                                </m:r>
                              </m:e>
                              <m:sup>
                                <m:d>
                                  <m:dPr>
                                    <m:ctrlPr>
                                      <a:rPr lang="it-IT" b="0" i="1">
                                        <a:solidFill>
                                          <a:schemeClr val="tx1"/>
                                        </a:solidFill>
                                        <a:latin typeface="Cambria Math" panose="02040503050406030204" pitchFamily="18" charset="0"/>
                                      </a:rPr>
                                    </m:ctrlPr>
                                  </m:dPr>
                                  <m:e>
                                    <m:r>
                                      <a:rPr lang="it-IT" b="0" i="1">
                                        <a:solidFill>
                                          <a:schemeClr val="tx1"/>
                                        </a:solidFill>
                                        <a:latin typeface="Cambria Math" panose="02040503050406030204" pitchFamily="18" charset="0"/>
                                      </a:rPr>
                                      <m:t>𝑖</m:t>
                                    </m:r>
                                  </m:e>
                                </m:d>
                              </m:sup>
                            </m:sSup>
                          </m:e>
                        </m:eqArr>
                      </m:lim>
                    </m:limLow>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Sup>
                      <m:s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𝒆</m:t>
                        </m:r>
                      </m:e>
                      <m:sup>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𝒓</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𝒍𝒐𝒈𝒘</m:t>
                            </m:r>
                          </m:sub>
                          <m:sup>
                            <m:d>
                              <m:d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d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𝒊</m:t>
                                </m:r>
                              </m:e>
                            </m:d>
                          </m:sup>
                        </m:sSubSup>
                      </m:sup>
                    </m:sSup>
                    <m:r>
                      <a:rPr lang="it-IT" sz="1100" b="1" i="1" dirty="0">
                        <a:solidFill>
                          <a:schemeClr val="tx1"/>
                        </a:solidFill>
                        <a:latin typeface="Cambria Math" panose="02040503050406030204" pitchFamily="18" charset="0"/>
                        <a:cs typeface="Times New Roman" panose="02020603050405020304" pitchFamily="18" charset="0"/>
                      </a:rPr>
                      <m:t>+…+</m:t>
                    </m:r>
                    <m:sSub>
                      <m:sSubPr>
                        <m:ctrlPr>
                          <a:rPr lang="it-IT" sz="1100" b="1" i="1" dirty="0">
                            <a:solidFill>
                              <a:schemeClr val="tx1"/>
                            </a:solidFill>
                            <a:latin typeface="Cambria Math" panose="02040503050406030204" pitchFamily="18" charset="0"/>
                            <a:cs typeface="Times New Roman" panose="02020603050405020304" pitchFamily="18" charset="0"/>
                          </a:rPr>
                        </m:ctrlPr>
                      </m:sSubPr>
                      <m:e>
                        <m:r>
                          <a:rPr lang="it-IT" sz="1100" b="1" i="1" dirty="0">
                            <a:solidFill>
                              <a:schemeClr val="tx1"/>
                            </a:solidFill>
                            <a:latin typeface="Cambria Math" panose="02040503050406030204" pitchFamily="18" charset="0"/>
                            <a:cs typeface="Times New Roman" panose="02020603050405020304" pitchFamily="18" charset="0"/>
                          </a:rPr>
                          <m:t>𝑪</m:t>
                        </m:r>
                      </m:e>
                      <m:sub>
                        <m:r>
                          <a:rPr lang="it-IT" sz="1100" b="1" i="1" dirty="0">
                            <a:solidFill>
                              <a:schemeClr val="tx1"/>
                            </a:solidFill>
                            <a:latin typeface="Cambria Math" panose="02040503050406030204" pitchFamily="18" charset="0"/>
                            <a:cs typeface="Times New Roman" panose="02020603050405020304" pitchFamily="18" charset="0"/>
                          </a:rPr>
                          <m:t>𝒏</m:t>
                        </m:r>
                      </m:sub>
                    </m:sSub>
                    <m:r>
                      <a:rPr lang="el-GR" sz="1100" b="1" i="1" dirty="0">
                        <a:solidFill>
                          <a:schemeClr val="tx1"/>
                        </a:solidFill>
                        <a:latin typeface="Cambria Math" panose="02040503050406030204" pitchFamily="18" charset="0"/>
                        <a:cs typeface="Times New Roman" panose="02020603050405020304" pitchFamily="18" charset="0"/>
                      </a:rPr>
                      <m:t>×</m:t>
                    </m:r>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𝑷</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𝒕</m:t>
                        </m:r>
                      </m:sub>
                      <m: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𝒊</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up>
                    </m:sSub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Sup>
                      <m:s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𝒆</m:t>
                        </m:r>
                      </m:e>
                      <m:sup>
                        <m:sSubSup>
                          <m:sSubSupPr>
                            <m:ctrlPr>
                              <a:rPr lang="it-IT" sz="1100" b="1" i="1" u="none" strike="noStrike">
                                <a:solidFill>
                                  <a:schemeClr val="tx1"/>
                                </a:solidFill>
                                <a:effectLst/>
                                <a:latin typeface="Cambria Math" panose="02040503050406030204" pitchFamily="18" charset="0"/>
                                <a:ea typeface="Cambria Math" panose="02040503050406030204" pitchFamily="18" charset="0"/>
                                <a:cs typeface="+mn-cs"/>
                              </a:rPr>
                            </m:ctrlPr>
                          </m:sSubSup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𝒓</m:t>
                            </m:r>
                          </m:e>
                          <m:sub>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𝒍𝒐𝒈𝒘</m:t>
                            </m:r>
                          </m:sub>
                          <m:sup>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𝒏</m:t>
                            </m:r>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m:t>
                            </m:r>
                          </m:sup>
                        </m:sSubSup>
                      </m:sup>
                    </m:sSup>
                  </m:oMath>
                </m:oMathPara>
              </a14:m>
              <a:endParaRPr lang="en-GB">
                <a:solidFill>
                  <a:schemeClr val="tx1"/>
                </a:solidFill>
              </a:endParaRPr>
            </a:p>
            <a:p>
              <a:endParaRPr lang="en-GB">
                <a:solidFill>
                  <a:schemeClr val="tx1"/>
                </a:solidFill>
              </a:endParaRPr>
            </a:p>
            <a:p>
              <a:r>
                <a:rPr lang="en-GB" b="0">
                  <a:solidFill>
                    <a:schemeClr val="tx1"/>
                  </a:solidFill>
                </a:rPr>
                <a:t>(4)</a:t>
              </a:r>
              <a:r>
                <a:rPr lang="en-GB" b="1">
                  <a:solidFill>
                    <a:schemeClr val="tx1"/>
                  </a:solidFill>
                </a:rPr>
                <a:t> </a:t>
              </a:r>
              <a:r>
                <a:rPr lang="en-GB" b="0">
                  <a:solidFill>
                    <a:schemeClr val="tx1"/>
                  </a:solidFill>
                </a:rPr>
                <a:t>We</a:t>
              </a:r>
              <a:r>
                <a:rPr lang="en-GB" b="0" baseline="0">
                  <a:solidFill>
                    <a:schemeClr val="tx1"/>
                  </a:solidFill>
                </a:rPr>
                <a:t> </a:t>
              </a:r>
              <a:r>
                <a:rPr lang="en-GB">
                  <a:solidFill>
                    <a:schemeClr val="tx1"/>
                  </a:solidFill>
                </a:rPr>
                <a:t>assigned an exponential weight</a:t>
              </a:r>
              <a:r>
                <a:rPr lang="en-GB" baseline="0">
                  <a:solidFill>
                    <a:schemeClr val="tx1"/>
                  </a:solidFill>
                </a:rPr>
                <a:t> </a:t>
              </a:r>
              <a:r>
                <a:rPr lang="en-GB">
                  <a:solidFill>
                    <a:schemeClr val="tx1"/>
                  </a:solidFill>
                </a:rPr>
                <a:t>so that more recent observations receive a greater weight:</a:t>
              </a:r>
            </a:p>
            <a:p>
              <a:pPr/>
              <a14:m>
                <m:oMathPara xmlns:m="http://schemas.openxmlformats.org/officeDocument/2006/math">
                  <m:oMathParaPr>
                    <m:jc m:val="centerGroup"/>
                  </m:oMathParaPr>
                  <m:oMath xmlns:m="http://schemas.openxmlformats.org/officeDocument/2006/math">
                    <m:sSub>
                      <m:sSubPr>
                        <m:ctrlPr>
                          <a:rPr lang="en-GB" i="1">
                            <a:solidFill>
                              <a:schemeClr val="tx1"/>
                            </a:solidFill>
                            <a:latin typeface="Cambria Math" panose="02040503050406030204" pitchFamily="18" charset="0"/>
                          </a:rPr>
                        </m:ctrlPr>
                      </m:sSubPr>
                      <m:e>
                        <m:r>
                          <a:rPr lang="it-IT" b="0" i="1">
                            <a:solidFill>
                              <a:schemeClr val="tx1"/>
                            </a:solidFill>
                            <a:latin typeface="Cambria Math" panose="02040503050406030204" pitchFamily="18" charset="0"/>
                          </a:rPr>
                          <m:t>𝑊</m:t>
                        </m:r>
                      </m:e>
                      <m:sub>
                        <m:r>
                          <a:rPr lang="it-IT" b="0" i="1">
                            <a:solidFill>
                              <a:schemeClr val="tx1"/>
                            </a:solidFill>
                            <a:latin typeface="Cambria Math" panose="02040503050406030204" pitchFamily="18" charset="0"/>
                          </a:rPr>
                          <m:t>𝑡</m:t>
                        </m:r>
                        <m:r>
                          <a:rPr lang="it-IT" b="0" i="1">
                            <a:solidFill>
                              <a:schemeClr val="tx1"/>
                            </a:solidFill>
                            <a:latin typeface="Cambria Math" panose="02040503050406030204" pitchFamily="18" charset="0"/>
                          </a:rPr>
                          <m:t>−</m:t>
                        </m:r>
                        <m:r>
                          <a:rPr lang="it-IT" b="0" i="1">
                            <a:solidFill>
                              <a:schemeClr val="tx1"/>
                            </a:solidFill>
                            <a:latin typeface="Cambria Math" panose="02040503050406030204" pitchFamily="18" charset="0"/>
                          </a:rPr>
                          <m:t>𝑗</m:t>
                        </m:r>
                      </m:sub>
                    </m:sSub>
                    <m:r>
                      <a:rPr lang="it-IT" b="0" i="1">
                        <a:solidFill>
                          <a:schemeClr val="tx1"/>
                        </a:solidFill>
                        <a:latin typeface="Cambria Math" panose="02040503050406030204" pitchFamily="18" charset="0"/>
                      </a:rPr>
                      <m:t>=</m:t>
                    </m:r>
                    <m:f>
                      <m:fPr>
                        <m:ctrlPr>
                          <a:rPr lang="it-IT" b="0" i="1">
                            <a:solidFill>
                              <a:schemeClr val="tx1"/>
                            </a:solidFill>
                            <a:latin typeface="Cambria Math" panose="02040503050406030204" pitchFamily="18" charset="0"/>
                          </a:rPr>
                        </m:ctrlPr>
                      </m:fPr>
                      <m:num>
                        <m:sSup>
                          <m:sSupPr>
                            <m:ctrlPr>
                              <a:rPr lang="it-IT" b="0" i="1">
                                <a:solidFill>
                                  <a:schemeClr val="tx1"/>
                                </a:solidFill>
                                <a:latin typeface="Cambria Math" panose="02040503050406030204" pitchFamily="18" charset="0"/>
                              </a:rPr>
                            </m:ctrlPr>
                          </m:sSupPr>
                          <m:e>
                            <m:r>
                              <a:rPr lang="it-IT" b="0" i="1">
                                <a:solidFill>
                                  <a:schemeClr val="tx1"/>
                                </a:solidFill>
                                <a:latin typeface="Cambria Math" panose="02040503050406030204" pitchFamily="18" charset="0"/>
                                <a:ea typeface="Cambria Math" panose="02040503050406030204" pitchFamily="18" charset="0"/>
                              </a:rPr>
                              <m:t>𝜆</m:t>
                            </m:r>
                          </m:e>
                          <m:sup>
                            <m:r>
                              <a:rPr lang="it-IT" b="0" i="1">
                                <a:solidFill>
                                  <a:schemeClr val="tx1"/>
                                </a:solidFill>
                                <a:latin typeface="Cambria Math" panose="02040503050406030204" pitchFamily="18" charset="0"/>
                              </a:rPr>
                              <m:t>𝑗</m:t>
                            </m:r>
                          </m:sup>
                        </m:sSup>
                      </m:num>
                      <m:den>
                        <m:nary>
                          <m:naryPr>
                            <m:chr m:val="∑"/>
                            <m:ctrlPr>
                              <a:rPr lang="it-IT" b="0" i="1">
                                <a:solidFill>
                                  <a:schemeClr val="tx1"/>
                                </a:solidFill>
                                <a:latin typeface="Cambria Math" panose="02040503050406030204" pitchFamily="18" charset="0"/>
                              </a:rPr>
                            </m:ctrlPr>
                          </m:naryPr>
                          <m:sub>
                            <m:r>
                              <m:rPr>
                                <m:brk m:alnAt="23"/>
                              </m:rPr>
                              <a:rPr lang="it-IT" b="0" i="1">
                                <a:solidFill>
                                  <a:schemeClr val="tx1"/>
                                </a:solidFill>
                                <a:latin typeface="Cambria Math" panose="02040503050406030204" pitchFamily="18" charset="0"/>
                              </a:rPr>
                              <m:t>𝑗</m:t>
                            </m:r>
                            <m:r>
                              <a:rPr lang="it-IT" b="0" i="1">
                                <a:solidFill>
                                  <a:schemeClr val="tx1"/>
                                </a:solidFill>
                                <a:latin typeface="Cambria Math" panose="02040503050406030204" pitchFamily="18" charset="0"/>
                              </a:rPr>
                              <m:t>=1</m:t>
                            </m:r>
                          </m:sub>
                          <m:sup>
                            <m:r>
                              <a:rPr lang="it-IT" b="0" i="1">
                                <a:solidFill>
                                  <a:schemeClr val="tx1"/>
                                </a:solidFill>
                                <a:latin typeface="Cambria Math" panose="02040503050406030204" pitchFamily="18" charset="0"/>
                              </a:rPr>
                              <m:t>52</m:t>
                            </m:r>
                          </m:sup>
                          <m:e>
                            <m:sSup>
                              <m:sSupPr>
                                <m:ctrlPr>
                                  <a:rPr lang="it-IT" b="0" i="1">
                                    <a:solidFill>
                                      <a:schemeClr val="tx1"/>
                                    </a:solidFill>
                                    <a:latin typeface="Cambria Math" panose="02040503050406030204" pitchFamily="18" charset="0"/>
                                  </a:rPr>
                                </m:ctrlPr>
                              </m:sSupPr>
                              <m:e>
                                <m:r>
                                  <a:rPr lang="it-IT" b="0" i="1">
                                    <a:solidFill>
                                      <a:schemeClr val="tx1"/>
                                    </a:solidFill>
                                    <a:latin typeface="Cambria Math" panose="02040503050406030204" pitchFamily="18" charset="0"/>
                                    <a:ea typeface="Cambria Math" panose="02040503050406030204" pitchFamily="18" charset="0"/>
                                  </a:rPr>
                                  <m:t>𝜆</m:t>
                                </m:r>
                              </m:e>
                              <m:sup>
                                <m:r>
                                  <a:rPr lang="it-IT" b="0" i="1">
                                    <a:solidFill>
                                      <a:schemeClr val="tx1"/>
                                    </a:solidFill>
                                    <a:latin typeface="Cambria Math" panose="02040503050406030204" pitchFamily="18" charset="0"/>
                                    <a:ea typeface="Cambria Math" panose="02040503050406030204" pitchFamily="18" charset="0"/>
                                  </a:rPr>
                                  <m:t>𝑗</m:t>
                                </m:r>
                              </m:sup>
                            </m:sSup>
                          </m:e>
                        </m:nary>
                      </m:den>
                    </m:f>
                  </m:oMath>
                </m:oMathPara>
              </a14:m>
              <a:endParaRPr lang="en-GB">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GB">
                  <a:solidFill>
                    <a:schemeClr val="tx1"/>
                  </a:solidFill>
                </a:rPr>
                <a:t>We considered j = 0, ...</a:t>
              </a:r>
              <a:r>
                <a:rPr lang="en-GB" baseline="0">
                  <a:solidFill>
                    <a:schemeClr val="tx1"/>
                  </a:solidFill>
                </a:rPr>
                <a:t> </a:t>
              </a:r>
              <a:r>
                <a:rPr lang="en-GB">
                  <a:solidFill>
                    <a:schemeClr val="tx1"/>
                  </a:solidFill>
                </a:rPr>
                <a:t>, 51 rather than j = 1, ...</a:t>
              </a:r>
              <a:r>
                <a:rPr lang="en-GB" baseline="0">
                  <a:solidFill>
                    <a:schemeClr val="tx1"/>
                  </a:solidFill>
                </a:rPr>
                <a:t> </a:t>
              </a:r>
              <a:r>
                <a:rPr lang="en-GB">
                  <a:solidFill>
                    <a:schemeClr val="tx1"/>
                  </a:solidFill>
                </a:rPr>
                <a:t>, 52, in order to include the most recent observation ( the observation at time t) when</a:t>
              </a:r>
              <a:r>
                <a:rPr lang="en-GB" baseline="0">
                  <a:solidFill>
                    <a:schemeClr val="tx1"/>
                  </a:solidFill>
                </a:rPr>
                <a:t> available</a:t>
              </a:r>
              <a:r>
                <a:rPr lang="en-GB">
                  <a:solidFill>
                    <a:schemeClr val="tx1"/>
                  </a:solidFill>
                </a:rPr>
                <a:t>. This is consistent with evaluating VaR at the end of the day, so that the latest available information is already incorporated in the estimation.</a:t>
              </a:r>
              <a:br>
                <a:rPr lang="en-GB">
                  <a:solidFill>
                    <a:schemeClr val="tx1"/>
                  </a:solidFill>
                </a:rPr>
              </a:br>
              <a:endParaRPr lang="en-GB">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0" i="0" u="none" strike="noStrike" baseline="0">
                  <a:solidFill>
                    <a:schemeClr val="tx1"/>
                  </a:solidFill>
                  <a:effectLst/>
                  <a:latin typeface="+mn-lt"/>
                  <a:ea typeface="Cambria Math" panose="02040503050406030204" pitchFamily="18" charset="0"/>
                  <a:cs typeface="+mn-cs"/>
                </a:rPr>
                <a:t>Distribution of </a:t>
              </a:r>
              <a14:m>
                <m:oMath xmlns:m="http://schemas.openxmlformats.org/officeDocument/2006/math">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d>
                    <m:dPr>
                      <m:ctrlPr>
                        <a:rPr lang="it-IT" sz="1100" b="1" i="1" dirty="0" smtClean="0">
                          <a:solidFill>
                            <a:schemeClr val="tx1"/>
                          </a:solidFill>
                          <a:latin typeface="Cambria Math" panose="02040503050406030204" pitchFamily="18" charset="0"/>
                          <a:cs typeface="Times New Roman" panose="02020603050405020304" pitchFamily="18" charset="0"/>
                        </a:rPr>
                      </m:ctrlPr>
                    </m:dPr>
                    <m:e>
                      <m:r>
                        <a:rPr lang="it-IT" sz="1100" b="1" i="1" dirty="0" smtClean="0">
                          <a:solidFill>
                            <a:schemeClr val="tx1"/>
                          </a:solidFill>
                          <a:latin typeface="Cambria Math" panose="02040503050406030204" pitchFamily="18" charset="0"/>
                          <a:cs typeface="Times New Roman" panose="02020603050405020304" pitchFamily="18" charset="0"/>
                        </a:rPr>
                        <m:t>𝑷</m:t>
                      </m:r>
                    </m:e>
                  </m:d>
                  <m:r>
                    <a:rPr lang="it-IT" sz="1100" b="0" i="0" dirty="0" smtClean="0">
                      <a:solidFill>
                        <a:schemeClr val="tx1"/>
                      </a:solidFill>
                      <a:latin typeface="Cambria Math" panose="02040503050406030204" pitchFamily="18" charset="0"/>
                      <a:cs typeface="Times New Roman" panose="02020603050405020304" pitchFamily="18" charset="0"/>
                    </a:rPr>
                    <m:t>:</m:t>
                  </m:r>
                </m:oMath>
              </a14:m>
              <a:endParaRPr lang="en-GB">
                <a:solidFill>
                  <a:schemeClr val="tx1"/>
                </a:solidFill>
              </a:endParaRPr>
            </a:p>
            <a:p>
              <a:r>
                <a:rPr lang="en-GB">
                  <a:solidFill>
                    <a:schemeClr val="tx1"/>
                  </a:solidFill>
                </a:rPr>
                <a:t>Steps 1 – 4 are repeated for all historical observations, </a:t>
              </a:r>
            </a:p>
            <a:p>
              <a:pPr marL="0" marR="0" lvl="0" indent="0" defTabSz="914400" eaLnBrk="1" fontAlgn="auto" latinLnBrk="0" hangingPunct="1">
                <a:lnSpc>
                  <a:spcPct val="100000"/>
                </a:lnSpc>
                <a:spcBef>
                  <a:spcPts val="0"/>
                </a:spcBef>
                <a:spcAft>
                  <a:spcPts val="0"/>
                </a:spcAft>
                <a:buClrTx/>
                <a:buSzTx/>
                <a:buFontTx/>
                <a:buNone/>
                <a:tabLst/>
                <a:defRPr/>
              </a:pPr>
              <a:r>
                <a:rPr lang="en-GB">
                  <a:solidFill>
                    <a:schemeClr val="tx1"/>
                  </a:solidFill>
                </a:rPr>
                <a:t>We then rank the resulting portfolio values in increasing order generating a distribution of possible portfolio values with higher probability to the most recent observations in order to capture</a:t>
              </a:r>
              <a:r>
                <a:rPr lang="en-GB" baseline="0">
                  <a:solidFill>
                    <a:schemeClr val="tx1"/>
                  </a:solidFill>
                </a:rPr>
                <a:t> the most recents market dynamics</a:t>
              </a:r>
              <a:r>
                <a:rPr lang="en-GB">
                  <a:solidFill>
                    <a:schemeClr val="tx1"/>
                  </a:solidFill>
                </a:rPr>
                <a:t>.</a:t>
              </a:r>
            </a:p>
            <a:p>
              <a:endParaRPr lang="en-GB">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Var computation:</a:t>
              </a:r>
              <a:endParaRPr lang="en-GB">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a:t>
              </a:r>
              <a:r>
                <a:rPr lang="en-GB" sz="1100" b="0" i="0" u="none" strike="noStrike">
                  <a:solidFill>
                    <a:schemeClr val="tx1"/>
                  </a:solidFill>
                  <a:effectLst/>
                  <a:latin typeface="+mn-lt"/>
                  <a:ea typeface="+mn-ea"/>
                  <a:cs typeface="+mn-cs"/>
                </a:rPr>
                <a:t> Applying</a:t>
              </a:r>
              <a:r>
                <a:rPr lang="en-GB" sz="1100" b="0" i="0" u="none" strike="noStrike" baseline="0">
                  <a:solidFill>
                    <a:schemeClr val="tx1"/>
                  </a:solidFill>
                  <a:effectLst/>
                  <a:latin typeface="+mn-lt"/>
                  <a:ea typeface="+mn-ea"/>
                  <a:cs typeface="+mn-cs"/>
                </a:rPr>
                <a:t> the general formula:</a:t>
              </a: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𝑽𝒂𝒓</m:t>
                        </m:r>
                      </m:e>
                      <m:sub>
                        <m:r>
                          <a:rPr lang="it-IT" sz="1100" b="1" i="1" dirty="0" smtClean="0">
                            <a:solidFill>
                              <a:schemeClr val="tx1"/>
                            </a:solidFill>
                            <a:latin typeface="Cambria Math" panose="02040503050406030204" pitchFamily="18" charset="0"/>
                            <a:cs typeface="Times New Roman" panose="02020603050405020304" pitchFamily="18" charset="0"/>
                          </a:rPr>
                          <m:t>𝒑</m:t>
                        </m:r>
                      </m:sub>
                    </m:sSub>
                    <m:r>
                      <a:rPr lang="it-IT" sz="1100" b="1" i="1" dirty="0" smtClean="0">
                        <a:solidFill>
                          <a:schemeClr val="tx1"/>
                        </a:solidFill>
                        <a:latin typeface="Cambria Math" panose="02040503050406030204" pitchFamily="18" charset="0"/>
                        <a:cs typeface="Times New Roman" panose="02020603050405020304" pitchFamily="18" charset="0"/>
                      </a:rPr>
                      <m:t>= </m:t>
                    </m:r>
                    <m:d>
                      <m:dPr>
                        <m:begChr m:val="|"/>
                        <m:endChr m:val="|"/>
                        <m:ctrlPr>
                          <a:rPr lang="it-IT" sz="1100" b="1" i="1" dirty="0" smtClean="0">
                            <a:solidFill>
                              <a:schemeClr val="tx1"/>
                            </a:solidFill>
                            <a:latin typeface="Cambria Math" panose="02040503050406030204" pitchFamily="18" charset="0"/>
                            <a:cs typeface="Times New Roman" panose="02020603050405020304" pitchFamily="18" charset="0"/>
                          </a:rPr>
                        </m:ctrlPr>
                      </m:dPr>
                      <m:e>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e>
                          <m:sub>
                            <m:r>
                              <a:rPr lang="it-IT" sz="1100" b="1" i="1" dirty="0" smtClean="0">
                                <a:solidFill>
                                  <a:schemeClr val="tx1"/>
                                </a:solidFill>
                                <a:latin typeface="Cambria Math" panose="02040503050406030204" pitchFamily="18" charset="0"/>
                                <a:cs typeface="Times New Roman" panose="02020603050405020304" pitchFamily="18" charset="0"/>
                              </a:rPr>
                              <m:t>𝒑</m:t>
                            </m:r>
                          </m:sub>
                        </m:sSub>
                        <m:r>
                          <m:rPr>
                            <m:nor/>
                          </m:rPr>
                          <a:rPr lang="en-GB" sz="1100" b="1" i="0" u="none" strike="noStrike">
                            <a:solidFill>
                              <a:schemeClr val="tx1"/>
                            </a:solidFill>
                            <a:effectLst/>
                            <a:latin typeface="+mn-lt"/>
                            <a:ea typeface="+mn-ea"/>
                            <a:cs typeface="+mn-cs"/>
                          </a:rPr>
                          <m:t> </m:t>
                        </m:r>
                        <m:r>
                          <a:rPr lang="it-IT" sz="1100" b="1" i="1" u="none" strike="noStrike">
                            <a:solidFill>
                              <a:schemeClr val="tx1"/>
                            </a:solidFill>
                            <a:effectLst/>
                            <a:latin typeface="Cambria Math" panose="02040503050406030204" pitchFamily="18" charset="0"/>
                            <a:ea typeface="+mn-ea"/>
                            <a:cs typeface="+mn-cs"/>
                          </a:rPr>
                          <m:t>−</m:t>
                        </m:r>
                        <m:sSub>
                          <m:sSubPr>
                            <m:ctrlPr>
                              <a:rPr lang="it-IT" sz="1100" b="1" i="1" u="none" strike="noStrike">
                                <a:solidFill>
                                  <a:schemeClr val="tx1"/>
                                </a:solidFill>
                                <a:effectLst/>
                                <a:latin typeface="Cambria Math" panose="02040503050406030204" pitchFamily="18" charset="0"/>
                                <a:ea typeface="+mn-ea"/>
                                <a:cs typeface="+mn-cs"/>
                              </a:rPr>
                            </m:ctrlPr>
                          </m:sSub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𝝁</m:t>
                            </m:r>
                          </m:e>
                          <m: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sub>
                        </m:sSub>
                      </m:e>
                    </m:d>
                  </m:oMath>
                </m:oMathPara>
              </a14:m>
              <a:endParaRPr lang="en-GB" sz="1100" b="0"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b="1">
                  <a:solidFill>
                    <a:schemeClr val="tx1"/>
                  </a:solidFill>
                  <a:effectLst/>
                </a:rPr>
                <a:t>where:</a:t>
              </a:r>
            </a:p>
            <a:p>
              <a:pPr marL="0" marR="0" lvl="0" indent="0" algn="l" defTabSz="914400" eaLnBrk="1" fontAlgn="auto" latinLnBrk="0" hangingPunct="1">
                <a:lnSpc>
                  <a:spcPct val="100000"/>
                </a:lnSpc>
                <a:spcBef>
                  <a:spcPts val="0"/>
                </a:spcBef>
                <a:spcAft>
                  <a:spcPts val="0"/>
                </a:spcAft>
                <a:buClrTx/>
                <a:buSzTx/>
                <a:buFontTx/>
                <a:buNone/>
                <a:tabLst/>
                <a:defRPr/>
              </a:pPr>
              <a:r>
                <a:rPr lang="en-GB">
                  <a:solidFill>
                    <a:schemeClr val="tx1"/>
                  </a:solidFill>
                  <a:effectLst/>
                </a:rPr>
                <a:t>the p-th percentile of a discrete distribution:</a:t>
              </a: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e>
                      <m:sub>
                        <m:r>
                          <a:rPr lang="it-IT" sz="1100" b="1" i="1" dirty="0" smtClean="0">
                            <a:solidFill>
                              <a:schemeClr val="tx1"/>
                            </a:solidFill>
                            <a:latin typeface="Cambria Math" panose="02040503050406030204" pitchFamily="18" charset="0"/>
                            <a:cs typeface="Times New Roman" panose="02020603050405020304" pitchFamily="18" charset="0"/>
                          </a:rPr>
                          <m:t>𝒑</m:t>
                        </m:r>
                      </m:sub>
                    </m:sSub>
                    <m:r>
                      <m:rPr>
                        <m:nor/>
                      </m:rPr>
                      <a:rPr lang="en-GB" sz="1100" b="1" i="0" u="none" strike="noStrike">
                        <a:solidFill>
                          <a:schemeClr val="tx1"/>
                        </a:solidFill>
                        <a:effectLst/>
                        <a:latin typeface="+mn-lt"/>
                        <a:ea typeface="+mn-ea"/>
                        <a:cs typeface="+mn-cs"/>
                      </a:rPr>
                      <m:t> </m:t>
                    </m:r>
                    <m:r>
                      <m:rPr>
                        <m:nor/>
                      </m:rPr>
                      <a:rPr lang="it-IT" sz="1100" b="1" i="0" u="none" strike="noStrike">
                        <a:solidFill>
                          <a:schemeClr val="tx1"/>
                        </a:solidFill>
                        <a:effectLst/>
                        <a:latin typeface="+mn-lt"/>
                        <a:ea typeface="+mn-ea"/>
                        <a:cs typeface="+mn-cs"/>
                      </a:rPr>
                      <m:t>=</m:t>
                    </m:r>
                    <m:r>
                      <m:rPr>
                        <m:nor/>
                      </m:rPr>
                      <a:rPr lang="it-IT" sz="1100" b="1" i="0" u="none" strike="noStrike">
                        <a:solidFill>
                          <a:schemeClr val="tx1"/>
                        </a:solidFill>
                        <a:effectLst/>
                        <a:latin typeface="+mn-lt"/>
                        <a:ea typeface="+mn-ea"/>
                        <a:cs typeface="+mn-cs"/>
                      </a:rPr>
                      <m:t>max</m:t>
                    </m:r>
                    <m:r>
                      <m:rPr>
                        <m:nor/>
                      </m:rPr>
                      <a:rPr lang="it-IT" sz="1100" b="1" i="0" u="none" strike="noStrike">
                        <a:solidFill>
                          <a:schemeClr val="tx1"/>
                        </a:solidFill>
                        <a:effectLst/>
                        <a:latin typeface="+mn-lt"/>
                        <a:ea typeface="+mn-ea"/>
                        <a:cs typeface="+mn-cs"/>
                      </a:rPr>
                      <m:t>{ </m:t>
                    </m:r>
                    <m:r>
                      <m:rPr>
                        <m:nor/>
                      </m:rPr>
                      <a:rPr lang="it-IT" sz="1100" b="1" i="0" u="none" strike="noStrike">
                        <a:solidFill>
                          <a:schemeClr val="tx1"/>
                        </a:solidFill>
                        <a:effectLst/>
                        <a:latin typeface="+mn-lt"/>
                        <a:ea typeface="+mn-ea"/>
                        <a:cs typeface="+mn-cs"/>
                      </a:rPr>
                      <m:t>x</m:t>
                    </m:r>
                    <m:r>
                      <m:rPr>
                        <m:nor/>
                      </m:rPr>
                      <a:rPr lang="it-IT" sz="1100" b="1" i="0" u="none" strike="noStrike">
                        <a:solidFill>
                          <a:schemeClr val="tx1"/>
                        </a:solidFill>
                        <a:effectLst/>
                        <a:latin typeface="+mn-lt"/>
                        <a:ea typeface="+mn-ea"/>
                        <a:cs typeface="+mn-cs"/>
                      </a:rPr>
                      <m:t>| </m:t>
                    </m:r>
                    <m:r>
                      <m:rPr>
                        <m:nor/>
                      </m:rPr>
                      <a:rPr lang="it-IT" sz="1100" b="1" i="0" u="none" strike="noStrike">
                        <a:solidFill>
                          <a:schemeClr val="tx1"/>
                        </a:solidFill>
                        <a:effectLst/>
                        <a:latin typeface="+mn-lt"/>
                        <a:ea typeface="+mn-ea"/>
                        <a:cs typeface="+mn-cs"/>
                      </a:rPr>
                      <m:t>Prob</m:t>
                    </m:r>
                    <m:r>
                      <m:rPr>
                        <m:nor/>
                      </m:rPr>
                      <a:rPr lang="it-IT" sz="1100" b="1" i="0" u="none" strike="noStrike">
                        <a:solidFill>
                          <a:schemeClr val="tx1"/>
                        </a:solidFill>
                        <a:effectLst/>
                        <a:latin typeface="+mn-lt"/>
                        <a:ea typeface="+mn-ea"/>
                        <a:cs typeface="+mn-cs"/>
                      </a:rPr>
                      <m:t>(</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r>
                      <m:rPr>
                        <m:nor/>
                      </m:rPr>
                      <a:rPr lang="it-IT" sz="1100" b="1" i="0" dirty="0" smtClean="0">
                        <a:solidFill>
                          <a:schemeClr val="tx1"/>
                        </a:solidFill>
                        <a:latin typeface="Cambria Math" panose="02040503050406030204" pitchFamily="18" charset="0"/>
                        <a:cs typeface="Times New Roman" panose="02020603050405020304" pitchFamily="18" charset="0"/>
                      </a:rPr>
                      <m:t> &lt; </m:t>
                    </m:r>
                    <m:r>
                      <m:rPr>
                        <m:nor/>
                      </m:rPr>
                      <a:rPr lang="it-IT" sz="1100" b="1" i="0" dirty="0" smtClean="0">
                        <a:solidFill>
                          <a:schemeClr val="tx1"/>
                        </a:solidFill>
                        <a:latin typeface="Cambria Math" panose="02040503050406030204" pitchFamily="18" charset="0"/>
                        <a:cs typeface="Times New Roman" panose="02020603050405020304" pitchFamily="18" charset="0"/>
                      </a:rPr>
                      <m:t>x</m:t>
                    </m:r>
                    <m:r>
                      <m:rPr>
                        <m:nor/>
                      </m:rPr>
                      <a:rPr lang="it-IT" sz="1100" b="1" i="0" u="none" strike="noStrike">
                        <a:solidFill>
                          <a:schemeClr val="tx1"/>
                        </a:solidFill>
                        <a:effectLst/>
                        <a:latin typeface="+mn-lt"/>
                        <a:ea typeface="+mn-ea"/>
                        <a:cs typeface="+mn-cs"/>
                      </a:rPr>
                      <m:t>) ≤ </m:t>
                    </m:r>
                    <m:r>
                      <m:rPr>
                        <m:nor/>
                      </m:rPr>
                      <a:rPr lang="it-IT" sz="1100" b="1" i="0" u="none" strike="noStrike">
                        <a:solidFill>
                          <a:schemeClr val="tx1"/>
                        </a:solidFill>
                        <a:effectLst/>
                        <a:latin typeface="+mn-lt"/>
                        <a:ea typeface="+mn-ea"/>
                        <a:cs typeface="+mn-cs"/>
                      </a:rPr>
                      <m:t>p</m:t>
                    </m:r>
                    <m:r>
                      <m:rPr>
                        <m:nor/>
                      </m:rPr>
                      <a:rPr lang="it-IT" sz="1100" b="1" i="0" u="none" strike="noStrike">
                        <a:solidFill>
                          <a:schemeClr val="tx1"/>
                        </a:solidFill>
                        <a:effectLst/>
                        <a:latin typeface="+mn-lt"/>
                        <a:ea typeface="+mn-ea"/>
                        <a:cs typeface="+mn-cs"/>
                      </a:rPr>
                      <m:t>}</m:t>
                    </m:r>
                  </m:oMath>
                </m:oMathPara>
              </a14:m>
              <a:endParaRPr lang="it-IT" sz="1100" b="1" u="none" strike="noStrike">
                <a:solidFill>
                  <a:schemeClr val="tx1"/>
                </a:solidFill>
                <a:effectLs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u="none" strike="noStrike">
                  <a:solidFill>
                    <a:schemeClr val="tx1"/>
                  </a:solidFill>
                  <a:effectLst/>
                  <a:ea typeface="+mn-ea"/>
                  <a:cs typeface="+mn-cs"/>
                </a:rPr>
                <a:t>N.B.</a:t>
              </a:r>
            </a:p>
            <a:p>
              <a:r>
                <a:rPr lang="en-GB" sz="1100" b="0" i="0" u="none" strike="noStrike">
                  <a:solidFill>
                    <a:schemeClr val="tx1"/>
                  </a:solidFill>
                  <a:effectLst/>
                  <a:latin typeface="+mn-lt"/>
                  <a:ea typeface="+mn-ea"/>
                  <a:cs typeface="+mn-cs"/>
                </a:rPr>
                <a:t>Since</a:t>
              </a:r>
              <a:r>
                <a:rPr lang="en-GB" sz="1100" b="0" i="0" u="none" strike="noStrike" baseline="0">
                  <a:solidFill>
                    <a:schemeClr val="tx1"/>
                  </a:solidFill>
                  <a:effectLst/>
                  <a:latin typeface="+mn-lt"/>
                  <a:ea typeface="+mn-ea"/>
                  <a:cs typeface="+mn-cs"/>
                </a:rPr>
                <a:t> t</a:t>
              </a:r>
              <a:r>
                <a:rPr lang="en-GB" b="0">
                  <a:solidFill>
                    <a:schemeClr val="tx1"/>
                  </a:solidFill>
                </a:rPr>
                <a:t>he </a:t>
              </a:r>
              <a:r>
                <a:rPr lang="en-GB">
                  <a:solidFill>
                    <a:schemeClr val="tx1"/>
                  </a:solidFill>
                </a:rPr>
                <a:t>cumulative weight does not reach the p percentage</a:t>
              </a:r>
              <a:r>
                <a:rPr lang="en-GB" baseline="0">
                  <a:solidFill>
                    <a:schemeClr val="tx1"/>
                  </a:solidFill>
                </a:rPr>
                <a:t> </a:t>
              </a:r>
              <a:r>
                <a:rPr lang="en-GB">
                  <a:solidFill>
                    <a:schemeClr val="tx1"/>
                  </a:solidFill>
                </a:rPr>
                <a:t>smoothly, but increases discontinuously between adjacent observations</a:t>
              </a:r>
              <a:r>
                <a:rPr lang="en-GB" baseline="0">
                  <a:solidFill>
                    <a:schemeClr val="tx1"/>
                  </a:solidFill>
                </a:rPr>
                <a:t>, two other alternative approaches are possible to determine a more reliable Var:</a:t>
              </a:r>
            </a:p>
            <a:p>
              <a:r>
                <a:rPr lang="en-GB" sz="1100" b="1" i="0" u="none" strike="noStrike">
                  <a:solidFill>
                    <a:schemeClr val="tx1"/>
                  </a:solidFill>
                  <a:effectLst/>
                  <a:latin typeface="+mn-lt"/>
                  <a:ea typeface="+mn-ea"/>
                  <a:cs typeface="+mn-cs"/>
                </a:rPr>
                <a:t>-</a:t>
              </a:r>
              <a:r>
                <a:rPr lang="en-GB" sz="1100" b="0" i="0" u="none" strike="noStrike">
                  <a:solidFill>
                    <a:schemeClr val="tx1"/>
                  </a:solidFill>
                  <a:effectLst/>
                  <a:latin typeface="+mn-lt"/>
                  <a:ea typeface="+mn-ea"/>
                  <a:cs typeface="+mn-cs"/>
                </a:rPr>
                <a:t> </a:t>
              </a:r>
              <a:r>
                <a:rPr lang="en-GB">
                  <a:solidFill>
                    <a:schemeClr val="tx1"/>
                  </a:solidFill>
                </a:rPr>
                <a:t>A first approach consists in selecting the observation whose cumulative weight is the</a:t>
              </a:r>
              <a:r>
                <a:rPr lang="en-GB" baseline="0">
                  <a:solidFill>
                    <a:schemeClr val="tx1"/>
                  </a:solidFill>
                </a:rPr>
                <a:t> closest</a:t>
              </a:r>
              <a:r>
                <a:rPr lang="en-GB">
                  <a:solidFill>
                    <a:schemeClr val="tx1"/>
                  </a:solidFill>
                </a:rPr>
                <a:t> to</a:t>
              </a:r>
              <a:r>
                <a:rPr lang="en-GB" baseline="0">
                  <a:solidFill>
                    <a:schemeClr val="tx1"/>
                  </a:solidFill>
                </a:rPr>
                <a:t> the</a:t>
              </a:r>
              <a:r>
                <a:rPr lang="en-GB">
                  <a:solidFill>
                    <a:schemeClr val="tx1"/>
                  </a:solidFill>
                </a:rPr>
                <a:t> p percentage. </a:t>
              </a:r>
            </a:p>
            <a:p>
              <a:pPr marL="0" marR="0" lvl="0" indent="0"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a:t>
              </a:r>
              <a:r>
                <a:rPr lang="en-GB" sz="1100" b="0" i="0" u="none" strike="noStrike">
                  <a:solidFill>
                    <a:schemeClr val="tx1"/>
                  </a:solidFill>
                  <a:effectLst/>
                  <a:latin typeface="+mn-lt"/>
                  <a:ea typeface="+mn-ea"/>
                  <a:cs typeface="+mn-cs"/>
                </a:rPr>
                <a:t> A</a:t>
              </a:r>
              <a:r>
                <a:rPr lang="en-GB" sz="1100" b="0" i="0" u="none" strike="noStrike" baseline="0">
                  <a:solidFill>
                    <a:schemeClr val="tx1"/>
                  </a:solidFill>
                  <a:effectLst/>
                  <a:latin typeface="+mn-lt"/>
                  <a:ea typeface="+mn-ea"/>
                  <a:cs typeface="+mn-cs"/>
                </a:rPr>
                <a:t> </a:t>
              </a:r>
              <a:r>
                <a:rPr lang="en-GB">
                  <a:solidFill>
                    <a:schemeClr val="tx1"/>
                  </a:solidFill>
                </a:rPr>
                <a:t>more precise estimate can be obtained interpolating the two adjacent observations such that  </a:t>
              </a:r>
              <a14:m>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𝒑</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𝟐</m:t>
                      </m:r>
                    </m:sub>
                  </m:sSub>
                </m:oMath>
              </a14:m>
              <a:r>
                <a:rPr lang="en-GB">
                  <a:solidFill>
                    <a:schemeClr val="tx1"/>
                  </a:solidFill>
                </a:rPr>
                <a:t>:</a:t>
              </a:r>
              <a:r>
                <a:rPr lang="en-GB"/>
                <a:t> </a:t>
              </a: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𝑽𝒂𝒓</m:t>
                        </m:r>
                      </m:e>
                      <m:sub>
                        <m:r>
                          <a:rPr lang="it-IT" sz="1100" b="1" i="1" dirty="0" smtClean="0">
                            <a:solidFill>
                              <a:schemeClr val="tx1"/>
                            </a:solidFill>
                            <a:latin typeface="Cambria Math" panose="02040503050406030204" pitchFamily="18" charset="0"/>
                            <a:cs typeface="Times New Roman" panose="02020603050405020304" pitchFamily="18" charset="0"/>
                          </a:rPr>
                          <m:t>𝒑</m:t>
                        </m:r>
                      </m:sub>
                    </m:sSub>
                    <m:r>
                      <a:rPr lang="it-IT" sz="1100" b="1" i="1" dirty="0" smtClean="0">
                        <a:solidFill>
                          <a:schemeClr val="tx1"/>
                        </a:solidFill>
                        <a:latin typeface="Cambria Math" panose="02040503050406030204" pitchFamily="18" charset="0"/>
                        <a:cs typeface="Times New Roman" panose="02020603050405020304" pitchFamily="18" charset="0"/>
                      </a:rPr>
                      <m:t>=</m:t>
                    </m:r>
                    <m:d>
                      <m:dPr>
                        <m:begChr m:val="|"/>
                        <m:endChr m:val="|"/>
                        <m:ctrlPr>
                          <a:rPr lang="it-IT" sz="1100" b="1" i="1" dirty="0" smtClean="0">
                            <a:solidFill>
                              <a:schemeClr val="tx1"/>
                            </a:solidFill>
                            <a:latin typeface="Cambria Math" panose="02040503050406030204" pitchFamily="18" charset="0"/>
                            <a:cs typeface="Times New Roman" panose="02020603050405020304" pitchFamily="18" charset="0"/>
                          </a:rPr>
                        </m:ctrlPr>
                      </m:dPr>
                      <m:e>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f>
                          <m:fPr>
                            <m:ctrlPr>
                              <a:rPr lang="it-IT" sz="1100" b="1" i="1" dirty="0" smtClean="0">
                                <a:solidFill>
                                  <a:schemeClr val="tx1"/>
                                </a:solidFill>
                                <a:latin typeface="Cambria Math" panose="02040503050406030204" pitchFamily="18" charset="0"/>
                                <a:cs typeface="Times New Roman" panose="02020603050405020304" pitchFamily="18" charset="0"/>
                              </a:rPr>
                            </m:ctrlPr>
                          </m:fPr>
                          <m:num>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cs typeface="Times New Roman" panose="02020603050405020304" pitchFamily="18" charset="0"/>
                              </a:rPr>
                              <m:t>𝒑</m:t>
                            </m:r>
                          </m:num>
                          <m:den>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den>
                        </m:f>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f>
                          <m:fPr>
                            <m:ctrlPr>
                              <a:rPr lang="it-IT" sz="1100" b="1" i="1" dirty="0" smtClean="0">
                                <a:solidFill>
                                  <a:schemeClr val="tx1"/>
                                </a:solidFill>
                                <a:latin typeface="Cambria Math" panose="02040503050406030204" pitchFamily="18" charset="0"/>
                                <a:cs typeface="Times New Roman" panose="02020603050405020304" pitchFamily="18" charset="0"/>
                              </a:rPr>
                            </m:ctrlPr>
                          </m:fPr>
                          <m:num>
                            <m:r>
                              <a:rPr lang="it-IT" sz="1100" b="1" i="1" dirty="0" smtClean="0">
                                <a:solidFill>
                                  <a:schemeClr val="tx1"/>
                                </a:solidFill>
                                <a:latin typeface="Cambria Math" panose="02040503050406030204" pitchFamily="18" charset="0"/>
                                <a:cs typeface="Times New Roman" panose="02020603050405020304" pitchFamily="18" charset="0"/>
                              </a:rPr>
                              <m:t>𝒑</m:t>
                            </m:r>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num>
                          <m:den>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den>
                        </m:f>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u="none" strike="noStrike">
                                <a:solidFill>
                                  <a:schemeClr val="tx1"/>
                                </a:solidFill>
                                <a:effectLst/>
                                <a:latin typeface="Cambria Math" panose="02040503050406030204" pitchFamily="18" charset="0"/>
                                <a:ea typeface="+mn-ea"/>
                                <a:cs typeface="+mn-cs"/>
                              </a:rPr>
                            </m:ctrlPr>
                          </m:sSub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𝝁</m:t>
                            </m:r>
                          </m:e>
                          <m: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sub>
                        </m:sSub>
                      </m:e>
                    </m:d>
                    <m:r>
                      <a:rPr lang="it-IT" sz="1100" b="1" i="1" dirty="0" smtClean="0">
                        <a:solidFill>
                          <a:schemeClr val="tx1"/>
                        </a:solidFill>
                        <a:latin typeface="Cambria Math" panose="02040503050406030204" pitchFamily="18" charset="0"/>
                        <a:cs typeface="Times New Roman" panose="02020603050405020304" pitchFamily="18" charset="0"/>
                      </a:rPr>
                      <m:t> </m:t>
                    </m:r>
                  </m:oMath>
                </m:oMathPara>
              </a14:m>
              <a:endParaRPr lang="en-GB">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b="1">
                  <a:solidFill>
                    <a:schemeClr val="tx1"/>
                  </a:solidFill>
                  <a:effectLst/>
                </a:rPr>
                <a:t>where:</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14:m>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oMath>
              </a14:m>
              <a:r>
                <a:rPr lang="en-GB">
                  <a:solidFill>
                    <a:schemeClr val="tx1"/>
                  </a:solidFill>
                </a:rPr>
                <a:t> is the first observation (worst loss)</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14:m>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𝟐</m:t>
                      </m:r>
                      <m:r>
                        <a:rPr lang="it-IT" sz="1100" b="1" i="1" dirty="0" smtClean="0">
                          <a:solidFill>
                            <a:schemeClr val="tx1"/>
                          </a:solidFill>
                          <a:latin typeface="Cambria Math" panose="02040503050406030204" pitchFamily="18" charset="0"/>
                          <a:cs typeface="Times New Roman" panose="02020603050405020304" pitchFamily="18" charset="0"/>
                        </a:rPr>
                        <m:t> </m:t>
                      </m:r>
                    </m:sub>
                  </m:sSub>
                </m:oMath>
              </a14:m>
              <a:r>
                <a:rPr lang="en-GB">
                  <a:solidFill>
                    <a:schemeClr val="tx1"/>
                  </a:solidFill>
                </a:rPr>
                <a:t>is the second observation</a:t>
              </a:r>
            </a:p>
            <a:p>
              <a:r>
                <a:rPr lang="en-GB" sz="1100" b="1"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14:m>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oMath>
              </a14:m>
              <a:r>
                <a:rPr lang="en-GB">
                  <a:solidFill>
                    <a:schemeClr val="tx1"/>
                  </a:solidFill>
                </a:rPr>
                <a:t> is cumulative weight associated with </a:t>
              </a:r>
              <a14:m>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oMath>
              </a14:m>
              <a:r>
                <a:rPr lang="en-GB">
                  <a:solidFill>
                    <a:schemeClr val="tx1"/>
                  </a:solidFill>
                </a:rPr>
                <a:t> </a:t>
              </a:r>
            </a:p>
            <a:p>
              <a:r>
                <a:rPr lang="en-GB" sz="1100" b="1"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14:m>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oMath>
              </a14:m>
              <a:r>
                <a:rPr lang="en-GB">
                  <a:solidFill>
                    <a:schemeClr val="tx1"/>
                  </a:solidFill>
                </a:rPr>
                <a:t> is cumulative weight associated with </a:t>
              </a:r>
              <a14:m>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oMath>
              </a14:m>
              <a:r>
                <a:rPr lang="en-GB">
                  <a:solidFill>
                    <a:schemeClr val="tx1"/>
                  </a:solidFill>
                </a:rPr>
                <a:t>  </a:t>
              </a:r>
            </a:p>
            <a:p>
              <a:pPr marL="0" marR="0" lvl="0" indent="0" algn="l" defTabSz="914400" eaLnBrk="1" fontAlgn="auto" latinLnBrk="0" hangingPunct="1">
                <a:lnSpc>
                  <a:spcPct val="100000"/>
                </a:lnSpc>
                <a:spcBef>
                  <a:spcPts val="0"/>
                </a:spcBef>
                <a:spcAft>
                  <a:spcPts val="0"/>
                </a:spcAft>
                <a:buClrTx/>
                <a:buSzTx/>
                <a:buFontTx/>
                <a:buNone/>
                <a:tabLst/>
                <a:defRPr/>
              </a:pPr>
              <a:endParaRPr lang="en-GB">
                <a:solidFill>
                  <a:schemeClr val="tx1"/>
                </a:solidFill>
                <a:effectLst/>
              </a:endParaRPr>
            </a:p>
          </xdr:txBody>
        </xdr:sp>
      </mc:Choice>
      <mc:Fallback xmlns="">
        <xdr:sp macro="" textlink="">
          <xdr:nvSpPr>
            <xdr:cNvPr id="39" name="Rectangle: Rounded Corners 1">
              <a:extLst>
                <a:ext uri="{FF2B5EF4-FFF2-40B4-BE49-F238E27FC236}">
                  <a16:creationId xmlns:a16="http://schemas.microsoft.com/office/drawing/2014/main" id="{F3AC6CC8-ADBE-5D43-BFC1-D289E6B815A2}"/>
                </a:ext>
              </a:extLst>
            </xdr:cNvPr>
            <xdr:cNvSpPr/>
          </xdr:nvSpPr>
          <xdr:spPr>
            <a:xfrm>
              <a:off x="9390019" y="5294687"/>
              <a:ext cx="8124181" cy="9362832"/>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sng" strike="noStrike">
                  <a:solidFill>
                    <a:schemeClr val="tx1"/>
                  </a:solidFill>
                  <a:effectLst/>
                  <a:latin typeface="+mn-lt"/>
                  <a:ea typeface="+mn-ea"/>
                  <a:cs typeface="+mn-cs"/>
                </a:rPr>
                <a:t>Hybrid </a:t>
              </a:r>
              <a:r>
                <a:rPr lang="en-GB" sz="1100" b="1" i="0" u="sng" strike="noStrike" baseline="0">
                  <a:solidFill>
                    <a:schemeClr val="tx1"/>
                  </a:solidFill>
                  <a:effectLst/>
                  <a:latin typeface="+mn-lt"/>
                  <a:ea typeface="+mn-ea"/>
                  <a:cs typeface="+mn-cs"/>
                </a:rPr>
                <a:t>Approach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1" i="0" u="sng" strike="noStrike"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Methodology:</a:t>
              </a:r>
              <a:endParaRPr lang="en-GB" sz="1100" b="1" i="0" u="sng" strike="noStrike" baseline="0">
                <a:solidFill>
                  <a:schemeClr val="tx1"/>
                </a:solidFill>
                <a:effectLst/>
                <a:latin typeface="+mn-lt"/>
                <a:ea typeface="+mn-ea"/>
                <a:cs typeface="+mn-cs"/>
              </a:endParaRPr>
            </a:p>
            <a:p>
              <a:r>
                <a:rPr lang="en-GB" b="0">
                  <a:solidFill>
                    <a:schemeClr val="tx1"/>
                  </a:solidFill>
                </a:rPr>
                <a:t>(1)</a:t>
              </a:r>
              <a:r>
                <a:rPr lang="en-GB">
                  <a:solidFill>
                    <a:schemeClr val="tx1"/>
                  </a:solidFill>
                </a:rPr>
                <a:t> For each past sub-period (each week), we compute the (log) changes in the discount factors:</a:t>
              </a:r>
            </a:p>
            <a:p>
              <a:endParaRPr lang="en-GB" sz="100">
                <a:solidFill>
                  <a:schemeClr val="tx1"/>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𝒓_(𝒍𝒐𝒈_𝒘  )= </a:t>
              </a:r>
              <a:r>
                <a:rPr lang="it-IT" sz="1100" b="0" i="0" u="none" strike="noStrike">
                  <a:solidFill>
                    <a:schemeClr val="tx1"/>
                  </a:solidFill>
                  <a:effectLst/>
                  <a:latin typeface="Cambria Math" panose="02040503050406030204" pitchFamily="18" charset="0"/>
                  <a:ea typeface="Cambria Math" panose="02040503050406030204" pitchFamily="18" charset="0"/>
                  <a:cs typeface="+mn-cs"/>
                </a:rPr>
                <a:t> ln</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a:t>
              </a:r>
              <a:r>
                <a:rPr lang="it-IT" sz="1100" b="0" i="0" u="none" strike="noStrike">
                  <a:solidFill>
                    <a:schemeClr val="tx1"/>
                  </a:solidFill>
                  <a:effectLst/>
                  <a:latin typeface="Cambria Math" panose="02040503050406030204" pitchFamily="18" charset="0"/>
                  <a:ea typeface="Cambria Math" panose="02040503050406030204" pitchFamily="18" charset="0"/>
                  <a:cs typeface="+mn-cs"/>
                </a:rPr>
                <a:t>𝑃_𝑇/𝑃_𝑡 </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a:t>
              </a:r>
              <a:r>
                <a:rPr lang="en-GB" sz="1100" b="1" i="0" u="sng" strike="noStrike">
                  <a:solidFill>
                    <a:schemeClr val="tx1"/>
                  </a:solidFill>
                  <a:effectLst/>
                  <a:latin typeface="+mn-lt"/>
                  <a:ea typeface="+mn-ea"/>
                  <a:cs typeface="+mn-cs"/>
                </a:rPr>
                <a:t> </a:t>
              </a:r>
            </a:p>
            <a:p>
              <a:pPr marL="0" marR="0" lvl="0" indent="0" algn="ctr" defTabSz="914400" eaLnBrk="1" fontAlgn="auto" latinLnBrk="0" hangingPunct="1">
                <a:lnSpc>
                  <a:spcPct val="100000"/>
                </a:lnSpc>
                <a:spcBef>
                  <a:spcPts val="0"/>
                </a:spcBef>
                <a:spcAft>
                  <a:spcPts val="0"/>
                </a:spcAft>
                <a:buClrTx/>
                <a:buSzTx/>
                <a:buFontTx/>
                <a:buNone/>
                <a:tabLst/>
                <a:defRPr/>
              </a:pPr>
              <a:endParaRPr lang="en-GB">
                <a:solidFill>
                  <a:schemeClr val="tx1"/>
                </a:solidFill>
              </a:endParaRPr>
            </a:p>
            <a:p>
              <a:r>
                <a:rPr lang="en-GB" b="0">
                  <a:solidFill>
                    <a:schemeClr val="tx1"/>
                  </a:solidFill>
                </a:rPr>
                <a:t>(2)</a:t>
              </a:r>
              <a:r>
                <a:rPr lang="en-GB" b="1">
                  <a:solidFill>
                    <a:schemeClr val="tx1"/>
                  </a:solidFill>
                </a:rPr>
                <a:t> </a:t>
              </a:r>
              <a:r>
                <a:rPr lang="en-GB">
                  <a:solidFill>
                    <a:schemeClr val="tx1"/>
                  </a:solidFill>
                </a:rPr>
                <a:t>We apply these changes to the current values of the discount factors, obtaining a set of possible future values:</a:t>
              </a:r>
            </a:p>
            <a:p>
              <a:endParaRPr lang="en-GB" sz="100">
                <a:solidFill>
                  <a:schemeClr val="tx1"/>
                </a:solidFill>
              </a:endParaRPr>
            </a:p>
            <a:p>
              <a:pP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𝑷_𝑻^((𝒊))=𝑷_𝒕^((𝒊))×𝒆^(𝒓_𝒍𝒐𝒈𝒘^((𝒊)) )</a:t>
              </a:r>
              <a:endParaRPr lang="en-GB" b="1">
                <a:solidFill>
                  <a:schemeClr val="tx1"/>
                </a:solidFill>
              </a:endParaRPr>
            </a:p>
            <a:p>
              <a:endParaRPr lang="en-GB" b="1">
                <a:solidFill>
                  <a:schemeClr val="tx1"/>
                </a:solidFill>
              </a:endParaRPr>
            </a:p>
            <a:p>
              <a:r>
                <a:rPr lang="en-GB" b="0">
                  <a:solidFill>
                    <a:schemeClr val="tx1"/>
                  </a:solidFill>
                </a:rPr>
                <a:t>(3)</a:t>
              </a:r>
              <a:r>
                <a:rPr lang="en-GB" b="0" baseline="0">
                  <a:solidFill>
                    <a:schemeClr val="tx1"/>
                  </a:solidFill>
                </a:rPr>
                <a:t> </a:t>
              </a:r>
              <a:r>
                <a:rPr lang="en-GB" b="0">
                  <a:solidFill>
                    <a:schemeClr val="tx1"/>
                  </a:solidFill>
                </a:rPr>
                <a:t> </a:t>
              </a:r>
              <a:r>
                <a:rPr lang="en-GB">
                  <a:solidFill>
                    <a:schemeClr val="tx1"/>
                  </a:solidFill>
                </a:rPr>
                <a:t>We then discount the future cash flows (after clumping) using these simulated discount factors, consistently with a static revaluation perspective, thus obtaining a set of possible future portfolio values.</a:t>
              </a:r>
            </a:p>
            <a:p>
              <a:endParaRPr lang="en-GB" sz="100">
                <a:solidFill>
                  <a:schemeClr val="tx1"/>
                </a:solidFill>
              </a:endParaRPr>
            </a:p>
            <a:p>
              <a:pPr marL="0" marR="0" indent="0"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cs typeface="Times New Roman" panose="02020603050405020304" pitchFamily="18" charset="0"/>
                </a:rPr>
                <a:t>〖𝑽(𝑷)〗_𝑻=𝑪_𝟏</a:t>
              </a:r>
              <a:r>
                <a:rPr lang="el-GR" sz="1100" b="1" i="0" dirty="0">
                  <a:solidFill>
                    <a:schemeClr val="tx1"/>
                  </a:solidFill>
                  <a:latin typeface="Cambria Math" panose="02040503050406030204" pitchFamily="18" charset="0"/>
                  <a:cs typeface="Times New Roman" panose="02020603050405020304" pitchFamily="18" charset="0"/>
                </a:rPr>
                <a:t>×</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𝑷_𝑻^((𝟏))+…+</a:t>
              </a:r>
              <a:r>
                <a:rPr lang="it-IT" sz="1100" b="1" i="0" dirty="0">
                  <a:solidFill>
                    <a:schemeClr val="tx1"/>
                  </a:solidFill>
                  <a:latin typeface="Cambria Math" panose="02040503050406030204" pitchFamily="18" charset="0"/>
                  <a:cs typeface="Times New Roman" panose="02020603050405020304" pitchFamily="18" charset="0"/>
                </a:rPr>
                <a:t>𝑪_𝒊</a:t>
              </a:r>
              <a:r>
                <a:rPr lang="el-GR" sz="1100" b="1" i="0" dirty="0">
                  <a:solidFill>
                    <a:schemeClr val="tx1"/>
                  </a:solidFill>
                  <a:latin typeface="Cambria Math" panose="02040503050406030204" pitchFamily="18" charset="0"/>
                  <a:cs typeface="Times New Roman" panose="02020603050405020304" pitchFamily="18" charset="0"/>
                </a:rPr>
                <a:t>×</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𝑷_𝑻^((𝒊) )</a:t>
              </a:r>
              <a:r>
                <a:rPr lang="it-IT" sz="1100" b="1" i="0" dirty="0">
                  <a:solidFill>
                    <a:schemeClr val="tx1"/>
                  </a:solidFill>
                  <a:latin typeface="Cambria Math" panose="02040503050406030204" pitchFamily="18" charset="0"/>
                  <a:cs typeface="Times New Roman" panose="02020603050405020304" pitchFamily="18" charset="0"/>
                </a:rPr>
                <a:t>+…+𝑪_𝒏</a:t>
              </a:r>
              <a:r>
                <a:rPr lang="el-GR" sz="1100" b="1" i="0" dirty="0">
                  <a:solidFill>
                    <a:schemeClr val="tx1"/>
                  </a:solidFill>
                  <a:latin typeface="Cambria Math" panose="02040503050406030204" pitchFamily="18" charset="0"/>
                  <a:cs typeface="Times New Roman" panose="02020603050405020304" pitchFamily="18" charset="0"/>
                </a:rPr>
                <a:t>×</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𝑷_𝑻^((𝒏) )</a:t>
              </a:r>
              <a:endParaRPr lang="it-IT" sz="1100" b="1" u="none" strike="noStrike">
                <a:solidFill>
                  <a:schemeClr val="tx1"/>
                </a:solidFill>
                <a:effectLst/>
                <a:ea typeface="Cambria Math" panose="02040503050406030204" pitchFamily="18" charset="0"/>
                <a:cs typeface="+mn-cs"/>
              </a:endParaRPr>
            </a:p>
            <a:p>
              <a:r>
                <a:rPr lang="en-GB" b="1">
                  <a:solidFill>
                    <a:schemeClr val="tx1"/>
                  </a:solidFill>
                </a:rPr>
                <a:t>N.B. </a:t>
              </a:r>
            </a:p>
            <a:p>
              <a:r>
                <a:rPr lang="en-GB">
                  <a:solidFill>
                    <a:schemeClr val="tx1"/>
                  </a:solidFill>
                </a:rPr>
                <a:t>Discounting cash flows using the new (simulated) discount factors is equivalent to first discounting the cash flows using the current discount factors and then compounding them using the historical log weekly returns observed in the past:</a:t>
              </a:r>
            </a:p>
            <a:p>
              <a:pPr/>
              <a:r>
                <a:rPr lang="it-IT" sz="1100" b="1" i="0" dirty="0">
                  <a:solidFill>
                    <a:schemeClr val="tx1"/>
                  </a:solidFill>
                  <a:latin typeface="Cambria Math" panose="02040503050406030204" pitchFamily="18" charset="0"/>
                  <a:cs typeface="Times New Roman" panose="02020603050405020304" pitchFamily="18" charset="0"/>
                </a:rPr>
                <a:t>〖𝑽(𝑷)〗_𝑻=𝑪_𝟏</a:t>
              </a:r>
              <a:r>
                <a:rPr lang="el-GR" sz="1100" b="1" i="0" dirty="0">
                  <a:solidFill>
                    <a:schemeClr val="tx1"/>
                  </a:solidFill>
                  <a:latin typeface="Cambria Math" panose="02040503050406030204" pitchFamily="18" charset="0"/>
                  <a:cs typeface="Times New Roman" panose="02020603050405020304" pitchFamily="18" charset="0"/>
                </a:rPr>
                <a:t>×</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𝑷_𝒕^((𝒊))×𝒆^(𝒓_𝒍𝒐𝒈𝒘^((𝟏)) )+</a:t>
              </a:r>
              <a:r>
                <a:rPr lang="it-IT" sz="1100" b="1" i="0" dirty="0">
                  <a:solidFill>
                    <a:schemeClr val="tx1"/>
                  </a:solidFill>
                  <a:latin typeface="Cambria Math" panose="02040503050406030204" pitchFamily="18" charset="0"/>
                  <a:cs typeface="Times New Roman" panose="02020603050405020304" pitchFamily="18" charset="0"/>
                </a:rPr>
                <a:t>…+⏟(𝑪_𝒊</a:t>
              </a:r>
              <a:r>
                <a:rPr lang="el-GR" sz="1100" b="1" i="0" dirty="0">
                  <a:solidFill>
                    <a:schemeClr val="tx1"/>
                  </a:solidFill>
                  <a:latin typeface="Cambria Math" panose="02040503050406030204" pitchFamily="18" charset="0"/>
                  <a:cs typeface="Times New Roman" panose="02020603050405020304" pitchFamily="18" charset="0"/>
                </a:rPr>
                <a:t>×</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𝑷_𝒕^((𝒊) ) </a:t>
              </a:r>
              <a:r>
                <a:rPr lang="it-IT" sz="1100" b="1" i="0" u="none" strike="noStrike" dirty="0">
                  <a:solidFill>
                    <a:schemeClr val="tx1"/>
                  </a:solidFill>
                  <a:effectLst/>
                  <a:latin typeface="Cambria Math" panose="02040503050406030204" pitchFamily="18" charset="0"/>
                  <a:ea typeface="Cambria Math" panose="02040503050406030204" pitchFamily="18" charset="0"/>
                  <a:cs typeface="+mn-cs"/>
                </a:rPr>
                <a:t>)┬█(</a:t>
              </a:r>
              <a:r>
                <a:rPr lang="it-IT" sz="1100" b="0" i="0" dirty="0">
                  <a:solidFill>
                    <a:schemeClr val="tx1"/>
                  </a:solidFill>
                  <a:latin typeface="Cambria Math" panose="02040503050406030204" pitchFamily="18" charset="0"/>
                  <a:cs typeface="Times New Roman" panose="02020603050405020304" pitchFamily="18" charset="0"/>
                </a:rPr>
                <a:t> @ @</a:t>
              </a:r>
              <a:r>
                <a:rPr lang="en-GB" sz="1100" b="0" i="0">
                  <a:solidFill>
                    <a:schemeClr val="tx1"/>
                  </a:solidFill>
                  <a:latin typeface="Cambria Math" panose="02040503050406030204" pitchFamily="18" charset="0"/>
                  <a:cs typeface="Times New Roman" panose="02020603050405020304" pitchFamily="18" charset="0"/>
                </a:rPr>
                <a:t>〖</a:t>
              </a:r>
              <a:r>
                <a:rPr lang="it-IT" b="0" i="0">
                  <a:solidFill>
                    <a:schemeClr val="tx1"/>
                  </a:solidFill>
                  <a:latin typeface="Cambria Math" panose="02040503050406030204" pitchFamily="18" charset="0"/>
                </a:rPr>
                <a:t>𝑃𝑉</a:t>
              </a:r>
              <a:r>
                <a:rPr lang="en-GB" b="0" i="0">
                  <a:solidFill>
                    <a:schemeClr val="tx1"/>
                  </a:solidFill>
                  <a:latin typeface="Cambria Math" panose="02040503050406030204" pitchFamily="18" charset="0"/>
                </a:rPr>
                <a:t>〗^(</a:t>
              </a:r>
              <a:r>
                <a:rPr lang="it-IT" b="0" i="0">
                  <a:solidFill>
                    <a:schemeClr val="tx1"/>
                  </a:solidFill>
                  <a:latin typeface="Cambria Math" panose="02040503050406030204" pitchFamily="18" charset="0"/>
                </a:rPr>
                <a:t>(𝑖) </a:t>
              </a:r>
              <a:r>
                <a:rPr lang="en-GB" b="0" i="0">
                  <a:solidFill>
                    <a:schemeClr val="tx1"/>
                  </a:solidFill>
                  <a:latin typeface="Cambria Math" panose="02040503050406030204" pitchFamily="18" charset="0"/>
                </a:rPr>
                <a:t>)</a:t>
              </a:r>
              <a:r>
                <a:rPr lang="it-IT" b="1" i="0">
                  <a:solidFill>
                    <a:schemeClr val="tx1"/>
                  </a:solidFill>
                  <a:latin typeface="Cambria Math" panose="02040503050406030204" pitchFamily="18" charset="0"/>
                </a:rPr>
                <a:t> )</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×𝒆^(𝒓_𝒍𝒐𝒈𝒘^((𝒊) ) )</a:t>
              </a:r>
              <a:r>
                <a:rPr lang="it-IT" sz="1100" b="1" i="0" dirty="0">
                  <a:solidFill>
                    <a:schemeClr val="tx1"/>
                  </a:solidFill>
                  <a:latin typeface="Cambria Math" panose="02040503050406030204" pitchFamily="18" charset="0"/>
                  <a:cs typeface="Times New Roman" panose="02020603050405020304" pitchFamily="18" charset="0"/>
                </a:rPr>
                <a:t>+…+𝑪_𝒏</a:t>
              </a:r>
              <a:r>
                <a:rPr lang="el-GR" sz="1100" b="1" i="0" dirty="0">
                  <a:solidFill>
                    <a:schemeClr val="tx1"/>
                  </a:solidFill>
                  <a:latin typeface="Cambria Math" panose="02040503050406030204" pitchFamily="18" charset="0"/>
                  <a:cs typeface="Times New Roman" panose="02020603050405020304" pitchFamily="18" charset="0"/>
                </a:rPr>
                <a:t>×</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𝑷_𝒕^((𝒊))×𝒆^(𝒓_𝒍𝒐𝒈𝒘^((𝒏)) )</a:t>
              </a:r>
              <a:endParaRPr lang="en-GB">
                <a:solidFill>
                  <a:schemeClr val="tx1"/>
                </a:solidFill>
              </a:endParaRPr>
            </a:p>
            <a:p>
              <a:endParaRPr lang="en-GB">
                <a:solidFill>
                  <a:schemeClr val="tx1"/>
                </a:solidFill>
              </a:endParaRPr>
            </a:p>
            <a:p>
              <a:r>
                <a:rPr lang="en-GB" b="0">
                  <a:solidFill>
                    <a:schemeClr val="tx1"/>
                  </a:solidFill>
                </a:rPr>
                <a:t>(4)</a:t>
              </a:r>
              <a:r>
                <a:rPr lang="en-GB" b="1">
                  <a:solidFill>
                    <a:schemeClr val="tx1"/>
                  </a:solidFill>
                </a:rPr>
                <a:t> </a:t>
              </a:r>
              <a:r>
                <a:rPr lang="en-GB" b="0">
                  <a:solidFill>
                    <a:schemeClr val="tx1"/>
                  </a:solidFill>
                </a:rPr>
                <a:t>We</a:t>
              </a:r>
              <a:r>
                <a:rPr lang="en-GB" b="0" baseline="0">
                  <a:solidFill>
                    <a:schemeClr val="tx1"/>
                  </a:solidFill>
                </a:rPr>
                <a:t> </a:t>
              </a:r>
              <a:r>
                <a:rPr lang="en-GB">
                  <a:solidFill>
                    <a:schemeClr val="tx1"/>
                  </a:solidFill>
                </a:rPr>
                <a:t>assigned an exponential weight</a:t>
              </a:r>
              <a:r>
                <a:rPr lang="en-GB" baseline="0">
                  <a:solidFill>
                    <a:schemeClr val="tx1"/>
                  </a:solidFill>
                </a:rPr>
                <a:t> </a:t>
              </a:r>
              <a:r>
                <a:rPr lang="en-GB">
                  <a:solidFill>
                    <a:schemeClr val="tx1"/>
                  </a:solidFill>
                </a:rPr>
                <a:t>so that more recent observations receive a greater weight:</a:t>
              </a:r>
            </a:p>
            <a:p>
              <a:pPr/>
              <a:r>
                <a:rPr lang="it-IT" b="0" i="0">
                  <a:solidFill>
                    <a:schemeClr val="tx1"/>
                  </a:solidFill>
                  <a:latin typeface="Cambria Math" panose="02040503050406030204" pitchFamily="18" charset="0"/>
                </a:rPr>
                <a:t>𝑊</a:t>
              </a:r>
              <a:r>
                <a:rPr lang="en-GB" b="0" i="0">
                  <a:solidFill>
                    <a:schemeClr val="tx1"/>
                  </a:solidFill>
                  <a:latin typeface="Cambria Math" panose="02040503050406030204" pitchFamily="18" charset="0"/>
                </a:rPr>
                <a:t>_(</a:t>
              </a:r>
              <a:r>
                <a:rPr lang="it-IT" b="0" i="0">
                  <a:solidFill>
                    <a:schemeClr val="tx1"/>
                  </a:solidFill>
                  <a:latin typeface="Cambria Math" panose="02040503050406030204" pitchFamily="18" charset="0"/>
                </a:rPr>
                <a:t>𝑡−𝑗</a:t>
              </a:r>
              <a:r>
                <a:rPr lang="en-GB" b="0" i="0">
                  <a:solidFill>
                    <a:schemeClr val="tx1"/>
                  </a:solidFill>
                  <a:latin typeface="Cambria Math" panose="02040503050406030204" pitchFamily="18" charset="0"/>
                </a:rPr>
                <a:t>)</a:t>
              </a:r>
              <a:r>
                <a:rPr lang="it-IT" b="0" i="0">
                  <a:solidFill>
                    <a:schemeClr val="tx1"/>
                  </a:solidFill>
                  <a:latin typeface="Cambria Math" panose="02040503050406030204" pitchFamily="18" charset="0"/>
                </a:rPr>
                <a:t>=</a:t>
              </a:r>
              <a:r>
                <a:rPr lang="it-IT" b="0" i="0">
                  <a:solidFill>
                    <a:schemeClr val="tx1"/>
                  </a:solidFill>
                  <a:latin typeface="Cambria Math" panose="02040503050406030204" pitchFamily="18" charset="0"/>
                  <a:ea typeface="Cambria Math" panose="02040503050406030204" pitchFamily="18" charset="0"/>
                </a:rPr>
                <a:t>𝜆^</a:t>
              </a:r>
              <a:r>
                <a:rPr lang="it-IT" b="0" i="0">
                  <a:solidFill>
                    <a:schemeClr val="tx1"/>
                  </a:solidFill>
                  <a:latin typeface="Cambria Math" panose="02040503050406030204" pitchFamily="18" charset="0"/>
                </a:rPr>
                <a:t>𝑗/(∑_(𝑗=1)^52</a:t>
              </a:r>
              <a:r>
                <a:rPr lang="it-IT" b="0" i="0">
                  <a:solidFill>
                    <a:schemeClr val="tx1"/>
                  </a:solidFill>
                  <a:latin typeface="Cambria Math" panose="02040503050406030204" pitchFamily="18" charset="0"/>
                  <a:ea typeface="Cambria Math" panose="02040503050406030204" pitchFamily="18" charset="0"/>
                </a:rPr>
                <a:t>▒𝜆^𝑗 )</a:t>
              </a:r>
              <a:endParaRPr lang="en-GB">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GB">
                  <a:solidFill>
                    <a:schemeClr val="tx1"/>
                  </a:solidFill>
                </a:rPr>
                <a:t>We considered j = 0, ...</a:t>
              </a:r>
              <a:r>
                <a:rPr lang="en-GB" baseline="0">
                  <a:solidFill>
                    <a:schemeClr val="tx1"/>
                  </a:solidFill>
                </a:rPr>
                <a:t> </a:t>
              </a:r>
              <a:r>
                <a:rPr lang="en-GB">
                  <a:solidFill>
                    <a:schemeClr val="tx1"/>
                  </a:solidFill>
                </a:rPr>
                <a:t>, 51 rather than j = 1, ...</a:t>
              </a:r>
              <a:r>
                <a:rPr lang="en-GB" baseline="0">
                  <a:solidFill>
                    <a:schemeClr val="tx1"/>
                  </a:solidFill>
                </a:rPr>
                <a:t> </a:t>
              </a:r>
              <a:r>
                <a:rPr lang="en-GB">
                  <a:solidFill>
                    <a:schemeClr val="tx1"/>
                  </a:solidFill>
                </a:rPr>
                <a:t>, 52, in order to include the most recent observation ( the observation at time t) when</a:t>
              </a:r>
              <a:r>
                <a:rPr lang="en-GB" baseline="0">
                  <a:solidFill>
                    <a:schemeClr val="tx1"/>
                  </a:solidFill>
                </a:rPr>
                <a:t> available</a:t>
              </a:r>
              <a:r>
                <a:rPr lang="en-GB">
                  <a:solidFill>
                    <a:schemeClr val="tx1"/>
                  </a:solidFill>
                </a:rPr>
                <a:t>. This is consistent with evaluating VaR at the end of the day, so that the latest available information is already incorporated in the estimation.</a:t>
              </a:r>
              <a:br>
                <a:rPr lang="en-GB">
                  <a:solidFill>
                    <a:schemeClr val="tx1"/>
                  </a:solidFill>
                </a:rPr>
              </a:br>
              <a:endParaRPr lang="en-GB">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0" i="0" u="none" strike="noStrike" baseline="0">
                  <a:solidFill>
                    <a:schemeClr val="tx1"/>
                  </a:solidFill>
                  <a:effectLst/>
                  <a:latin typeface="+mn-lt"/>
                  <a:ea typeface="Cambria Math" panose="02040503050406030204" pitchFamily="18" charset="0"/>
                  <a:cs typeface="+mn-cs"/>
                </a:rPr>
                <a:t>Distribution of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𝑽(𝑷)</a:t>
              </a:r>
              <a:r>
                <a:rPr lang="it-IT" sz="1100" b="0" i="0" dirty="0">
                  <a:solidFill>
                    <a:schemeClr val="tx1"/>
                  </a:solidFill>
                  <a:latin typeface="Cambria Math" panose="02040503050406030204" pitchFamily="18" charset="0"/>
                  <a:cs typeface="Times New Roman" panose="02020603050405020304" pitchFamily="18" charset="0"/>
                </a:rPr>
                <a:t>:</a:t>
              </a:r>
              <a:endParaRPr lang="en-GB">
                <a:solidFill>
                  <a:schemeClr val="tx1"/>
                </a:solidFill>
              </a:endParaRPr>
            </a:p>
            <a:p>
              <a:r>
                <a:rPr lang="en-GB">
                  <a:solidFill>
                    <a:schemeClr val="tx1"/>
                  </a:solidFill>
                </a:rPr>
                <a:t>Steps 1 – 4 are repeated for all historical observations, </a:t>
              </a:r>
            </a:p>
            <a:p>
              <a:pPr marL="0" marR="0" lvl="0" indent="0" defTabSz="914400" eaLnBrk="1" fontAlgn="auto" latinLnBrk="0" hangingPunct="1">
                <a:lnSpc>
                  <a:spcPct val="100000"/>
                </a:lnSpc>
                <a:spcBef>
                  <a:spcPts val="0"/>
                </a:spcBef>
                <a:spcAft>
                  <a:spcPts val="0"/>
                </a:spcAft>
                <a:buClrTx/>
                <a:buSzTx/>
                <a:buFontTx/>
                <a:buNone/>
                <a:tabLst/>
                <a:defRPr/>
              </a:pPr>
              <a:r>
                <a:rPr lang="en-GB">
                  <a:solidFill>
                    <a:schemeClr val="tx1"/>
                  </a:solidFill>
                </a:rPr>
                <a:t>We then rank the resulting portfolio values in increasing order generating a distribution of possible portfolio values with higher probability to the most recent observations in order to capture</a:t>
              </a:r>
              <a:r>
                <a:rPr lang="en-GB" baseline="0">
                  <a:solidFill>
                    <a:schemeClr val="tx1"/>
                  </a:solidFill>
                </a:rPr>
                <a:t> the most recents market dynamics</a:t>
              </a:r>
              <a:r>
                <a:rPr lang="en-GB">
                  <a:solidFill>
                    <a:schemeClr val="tx1"/>
                  </a:solidFill>
                </a:rPr>
                <a:t>.</a:t>
              </a:r>
            </a:p>
            <a:p>
              <a:endParaRPr lang="en-GB">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u="none" strike="noStrike" baseline="0">
                  <a:solidFill>
                    <a:schemeClr val="tx1"/>
                  </a:solidFill>
                  <a:effectLst/>
                  <a:latin typeface="+mn-lt"/>
                  <a:ea typeface="Cambria Math" panose="02040503050406030204" pitchFamily="18" charset="0"/>
                  <a:cs typeface="+mn-cs"/>
                </a:rPr>
                <a:t>Var computation:</a:t>
              </a:r>
              <a:endParaRPr lang="en-GB">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a:t>
              </a:r>
              <a:r>
                <a:rPr lang="en-GB" sz="1100" b="0" i="0" u="none" strike="noStrike">
                  <a:solidFill>
                    <a:schemeClr val="tx1"/>
                  </a:solidFill>
                  <a:effectLst/>
                  <a:latin typeface="+mn-lt"/>
                  <a:ea typeface="+mn-ea"/>
                  <a:cs typeface="+mn-cs"/>
                </a:rPr>
                <a:t> Applying</a:t>
              </a:r>
              <a:r>
                <a:rPr lang="en-GB" sz="1100" b="0" i="0" u="none" strike="noStrike" baseline="0">
                  <a:solidFill>
                    <a:schemeClr val="tx1"/>
                  </a:solidFill>
                  <a:effectLst/>
                  <a:latin typeface="+mn-lt"/>
                  <a:ea typeface="+mn-ea"/>
                  <a:cs typeface="+mn-cs"/>
                </a:rPr>
                <a:t> the general formula:</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cs typeface="Times New Roman" panose="02020603050405020304" pitchFamily="18" charset="0"/>
                </a:rPr>
                <a:t>〖𝑽𝒂𝒓〗_𝒑=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𝑽〗_𝒑</a:t>
              </a:r>
              <a:r>
                <a:rPr lang="en-GB" sz="1100" b="1" i="0" u="none" strike="noStrike">
                  <a:solidFill>
                    <a:schemeClr val="tx1"/>
                  </a:solidFill>
                  <a:effectLst/>
                  <a:latin typeface="+mn-lt"/>
                  <a:ea typeface="+mn-ea"/>
                  <a:cs typeface="+mn-cs"/>
                </a:rPr>
                <a:t> " </a:t>
              </a:r>
              <a:r>
                <a:rPr lang="it-IT" sz="1100" b="1" i="0" u="none" strike="noStrike">
                  <a:solidFill>
                    <a:schemeClr val="tx1"/>
                  </a:solidFill>
                  <a:effectLst/>
                  <a:latin typeface="Cambria Math" panose="02040503050406030204" pitchFamily="18" charset="0"/>
                  <a:ea typeface="+mn-ea"/>
                  <a:cs typeface="+mn-cs"/>
                </a:rPr>
                <a:t>" −</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𝝁</a:t>
              </a:r>
              <a:r>
                <a:rPr lang="it-IT" sz="1100" b="1" i="0" u="none" strike="noStrike">
                  <a:solidFill>
                    <a:schemeClr val="tx1"/>
                  </a:solidFill>
                  <a:effectLst/>
                  <a:latin typeface="Cambria Math" panose="02040503050406030204" pitchFamily="18" charset="0"/>
                  <a:ea typeface="+mn-ea"/>
                  <a:cs typeface="+mn-cs"/>
                </a:rPr>
                <a:t>_</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 |</a:t>
              </a:r>
              <a:endParaRPr lang="en-GB" sz="1100" b="0" i="0" u="none" strike="noStrike">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b="1">
                  <a:solidFill>
                    <a:schemeClr val="tx1"/>
                  </a:solidFill>
                  <a:effectLst/>
                </a:rPr>
                <a:t>where:</a:t>
              </a:r>
            </a:p>
            <a:p>
              <a:pPr marL="0" marR="0" lvl="0" indent="0" algn="l" defTabSz="914400" eaLnBrk="1" fontAlgn="auto" latinLnBrk="0" hangingPunct="1">
                <a:lnSpc>
                  <a:spcPct val="100000"/>
                </a:lnSpc>
                <a:spcBef>
                  <a:spcPts val="0"/>
                </a:spcBef>
                <a:spcAft>
                  <a:spcPts val="0"/>
                </a:spcAft>
                <a:buClrTx/>
                <a:buSzTx/>
                <a:buFontTx/>
                <a:buNone/>
                <a:tabLst/>
                <a:defRPr/>
              </a:pPr>
              <a:r>
                <a:rPr lang="en-GB">
                  <a:solidFill>
                    <a:schemeClr val="tx1"/>
                  </a:solidFill>
                  <a:effectLst/>
                </a:rPr>
                <a:t>the p-th percentile of a discrete distribution:</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cs typeface="Times New Roman" panose="02020603050405020304" pitchFamily="18" charset="0"/>
                </a:rPr>
                <a:t>〖</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𝑽〗_𝒑</a:t>
              </a:r>
              <a:r>
                <a:rPr lang="en-GB" sz="1100" b="1" i="0" u="none" strike="noStrike">
                  <a:solidFill>
                    <a:schemeClr val="tx1"/>
                  </a:solidFill>
                  <a:effectLst/>
                  <a:latin typeface="+mn-lt"/>
                  <a:ea typeface="+mn-ea"/>
                  <a:cs typeface="+mn-cs"/>
                </a:rPr>
                <a:t> </a:t>
              </a:r>
              <a:r>
                <a:rPr lang="en-GB" sz="1100" b="1" i="0" u="none" strike="noStrike">
                  <a:solidFill>
                    <a:schemeClr val="tx1"/>
                  </a:solidFill>
                  <a:effectLst/>
                  <a:latin typeface="Cambria Math" panose="02040503050406030204" pitchFamily="18" charset="0"/>
                  <a:ea typeface="+mn-ea"/>
                  <a:cs typeface="+mn-cs"/>
                </a:rPr>
                <a:t>" </a:t>
              </a:r>
              <a:r>
                <a:rPr lang="it-IT" sz="1100" b="1" i="0" u="none" strike="noStrike">
                  <a:solidFill>
                    <a:schemeClr val="tx1"/>
                  </a:solidFill>
                  <a:effectLst/>
                  <a:latin typeface="Cambria Math" panose="02040503050406030204" pitchFamily="18" charset="0"/>
                  <a:ea typeface="+mn-ea"/>
                  <a:cs typeface="+mn-cs"/>
                </a:rPr>
                <a:t>=max{ x| Prob(</a:t>
              </a:r>
              <a:r>
                <a:rPr lang="it-IT" sz="1100" b="1" i="0" u="none" strike="noStrike" dirty="0">
                  <a:solidFill>
                    <a:schemeClr val="tx1"/>
                  </a:solidFill>
                  <a:effectLst/>
                  <a:latin typeface="Cambria Math" panose="02040503050406030204" pitchFamily="18" charset="0"/>
                  <a:ea typeface="Cambria Math" panose="02040503050406030204" pitchFamily="18" charset="0"/>
                  <a:cs typeface="+mn-cs"/>
                </a:rPr>
                <a:t>"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 &lt; x</a:t>
              </a:r>
              <a:r>
                <a:rPr lang="it-IT" sz="1100" b="1" i="0" u="none" strike="noStrike">
                  <a:solidFill>
                    <a:schemeClr val="tx1"/>
                  </a:solidFill>
                  <a:effectLst/>
                  <a:latin typeface="Cambria Math" panose="02040503050406030204" pitchFamily="18" charset="0"/>
                  <a:ea typeface="+mn-ea"/>
                  <a:cs typeface="+mn-cs"/>
                </a:rPr>
                <a:t>) ≤ p}</a:t>
              </a:r>
              <a:r>
                <a:rPr lang="en-GB" sz="1100" b="1" i="0" u="none" strike="noStrike">
                  <a:solidFill>
                    <a:schemeClr val="tx1"/>
                  </a:solidFill>
                  <a:effectLst/>
                  <a:latin typeface="+mn-lt"/>
                  <a:ea typeface="+mn-ea"/>
                  <a:cs typeface="+mn-cs"/>
                </a:rPr>
                <a:t>"</a:t>
              </a:r>
              <a:endParaRPr lang="it-IT" sz="1100" b="1" u="none" strike="noStrike">
                <a:solidFill>
                  <a:schemeClr val="tx1"/>
                </a:solidFill>
                <a:effectLs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u="none" strike="noStrike">
                  <a:solidFill>
                    <a:schemeClr val="tx1"/>
                  </a:solidFill>
                  <a:effectLst/>
                  <a:ea typeface="+mn-ea"/>
                  <a:cs typeface="+mn-cs"/>
                </a:rPr>
                <a:t>N.B.</a:t>
              </a:r>
            </a:p>
            <a:p>
              <a:r>
                <a:rPr lang="en-GB" sz="1100" b="0" i="0" u="none" strike="noStrike">
                  <a:solidFill>
                    <a:schemeClr val="tx1"/>
                  </a:solidFill>
                  <a:effectLst/>
                  <a:latin typeface="+mn-lt"/>
                  <a:ea typeface="+mn-ea"/>
                  <a:cs typeface="+mn-cs"/>
                </a:rPr>
                <a:t>Since</a:t>
              </a:r>
              <a:r>
                <a:rPr lang="en-GB" sz="1100" b="0" i="0" u="none" strike="noStrike" baseline="0">
                  <a:solidFill>
                    <a:schemeClr val="tx1"/>
                  </a:solidFill>
                  <a:effectLst/>
                  <a:latin typeface="+mn-lt"/>
                  <a:ea typeface="+mn-ea"/>
                  <a:cs typeface="+mn-cs"/>
                </a:rPr>
                <a:t> t</a:t>
              </a:r>
              <a:r>
                <a:rPr lang="en-GB" b="0">
                  <a:solidFill>
                    <a:schemeClr val="tx1"/>
                  </a:solidFill>
                </a:rPr>
                <a:t>he </a:t>
              </a:r>
              <a:r>
                <a:rPr lang="en-GB">
                  <a:solidFill>
                    <a:schemeClr val="tx1"/>
                  </a:solidFill>
                </a:rPr>
                <a:t>cumulative weight does not reach the p percentage</a:t>
              </a:r>
              <a:r>
                <a:rPr lang="en-GB" baseline="0">
                  <a:solidFill>
                    <a:schemeClr val="tx1"/>
                  </a:solidFill>
                </a:rPr>
                <a:t> </a:t>
              </a:r>
              <a:r>
                <a:rPr lang="en-GB">
                  <a:solidFill>
                    <a:schemeClr val="tx1"/>
                  </a:solidFill>
                </a:rPr>
                <a:t>smoothly, but increases discontinuously between adjacent observations</a:t>
              </a:r>
              <a:r>
                <a:rPr lang="en-GB" baseline="0">
                  <a:solidFill>
                    <a:schemeClr val="tx1"/>
                  </a:solidFill>
                </a:rPr>
                <a:t>, two other alternative approaches are possible to determine a more reliable Var:</a:t>
              </a:r>
            </a:p>
            <a:p>
              <a:r>
                <a:rPr lang="en-GB" sz="1100" b="1" i="0" u="none" strike="noStrike">
                  <a:solidFill>
                    <a:schemeClr val="tx1"/>
                  </a:solidFill>
                  <a:effectLst/>
                  <a:latin typeface="+mn-lt"/>
                  <a:ea typeface="+mn-ea"/>
                  <a:cs typeface="+mn-cs"/>
                </a:rPr>
                <a:t>-</a:t>
              </a:r>
              <a:r>
                <a:rPr lang="en-GB" sz="1100" b="0" i="0" u="none" strike="noStrike">
                  <a:solidFill>
                    <a:schemeClr val="tx1"/>
                  </a:solidFill>
                  <a:effectLst/>
                  <a:latin typeface="+mn-lt"/>
                  <a:ea typeface="+mn-ea"/>
                  <a:cs typeface="+mn-cs"/>
                </a:rPr>
                <a:t> </a:t>
              </a:r>
              <a:r>
                <a:rPr lang="en-GB">
                  <a:solidFill>
                    <a:schemeClr val="tx1"/>
                  </a:solidFill>
                </a:rPr>
                <a:t>A first approach consists in selecting the observation whose cumulative weight is the</a:t>
              </a:r>
              <a:r>
                <a:rPr lang="en-GB" baseline="0">
                  <a:solidFill>
                    <a:schemeClr val="tx1"/>
                  </a:solidFill>
                </a:rPr>
                <a:t> closest</a:t>
              </a:r>
              <a:r>
                <a:rPr lang="en-GB">
                  <a:solidFill>
                    <a:schemeClr val="tx1"/>
                  </a:solidFill>
                </a:rPr>
                <a:t> to</a:t>
              </a:r>
              <a:r>
                <a:rPr lang="en-GB" baseline="0">
                  <a:solidFill>
                    <a:schemeClr val="tx1"/>
                  </a:solidFill>
                </a:rPr>
                <a:t> the</a:t>
              </a:r>
              <a:r>
                <a:rPr lang="en-GB">
                  <a:solidFill>
                    <a:schemeClr val="tx1"/>
                  </a:solidFill>
                </a:rPr>
                <a:t> p percentage. </a:t>
              </a:r>
            </a:p>
            <a:p>
              <a:pPr marL="0" marR="0" lvl="0" indent="0"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a:t>
              </a:r>
              <a:r>
                <a:rPr lang="en-GB" sz="1100" b="0" i="0" u="none" strike="noStrike">
                  <a:solidFill>
                    <a:schemeClr val="tx1"/>
                  </a:solidFill>
                  <a:effectLst/>
                  <a:latin typeface="+mn-lt"/>
                  <a:ea typeface="+mn-ea"/>
                  <a:cs typeface="+mn-cs"/>
                </a:rPr>
                <a:t> A</a:t>
              </a:r>
              <a:r>
                <a:rPr lang="en-GB" sz="1100" b="0" i="0" u="none" strike="noStrike" baseline="0">
                  <a:solidFill>
                    <a:schemeClr val="tx1"/>
                  </a:solidFill>
                  <a:effectLst/>
                  <a:latin typeface="+mn-lt"/>
                  <a:ea typeface="+mn-ea"/>
                  <a:cs typeface="+mn-cs"/>
                </a:rPr>
                <a:t> </a:t>
              </a:r>
              <a:r>
                <a:rPr lang="en-GB">
                  <a:solidFill>
                    <a:schemeClr val="tx1"/>
                  </a:solidFill>
                </a:rPr>
                <a:t>more precise estimate can be obtained interpolating the two adjacent observations such that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≤𝒑≤𝜶_𝟐</a:t>
              </a:r>
              <a:r>
                <a:rPr lang="en-GB">
                  <a:solidFill>
                    <a:schemeClr val="tx1"/>
                  </a:solidFill>
                </a:rPr>
                <a:t>:</a:t>
              </a:r>
              <a:r>
                <a:rPr lang="en-GB"/>
                <a:t> </a:t>
              </a: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cs typeface="Times New Roman" panose="02020603050405020304" pitchFamily="18" charset="0"/>
                </a:rPr>
                <a:t>〖𝑽𝒂𝒓〗_𝒑=|𝒙_𝟏</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𝟐−𝒑)/(</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 )+𝒙_𝟐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a:t>
              </a:r>
              <a:r>
                <a:rPr lang="it-IT" sz="1100" b="1" i="0" dirty="0">
                  <a:solidFill>
                    <a:schemeClr val="tx1"/>
                  </a:solidFill>
                  <a:latin typeface="Cambria Math" panose="02040503050406030204" pitchFamily="18" charset="0"/>
                  <a:cs typeface="Times New Roman" panose="02020603050405020304" pitchFamily="18" charset="0"/>
                </a:rPr>
                <a:t>𝒑−</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 )−</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𝝁</a:t>
              </a:r>
              <a:r>
                <a:rPr lang="it-IT" sz="1100" b="1" i="0" u="none" strike="noStrike">
                  <a:solidFill>
                    <a:schemeClr val="tx1"/>
                  </a:solidFill>
                  <a:effectLst/>
                  <a:latin typeface="Cambria Math" panose="02040503050406030204" pitchFamily="18" charset="0"/>
                  <a:ea typeface="+mn-ea"/>
                  <a:cs typeface="+mn-cs"/>
                </a:rPr>
                <a:t>_</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 |  </a:t>
              </a:r>
              <a:endParaRPr lang="en-GB">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b="1">
                  <a:solidFill>
                    <a:schemeClr val="tx1"/>
                  </a:solidFill>
                  <a:effectLst/>
                </a:rPr>
                <a:t>where:</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r>
                <a:rPr lang="it-IT" sz="1100" b="1" i="0" dirty="0">
                  <a:solidFill>
                    <a:schemeClr val="tx1"/>
                  </a:solidFill>
                  <a:latin typeface="Cambria Math" panose="02040503050406030204" pitchFamily="18" charset="0"/>
                  <a:cs typeface="Times New Roman" panose="02020603050405020304" pitchFamily="18" charset="0"/>
                </a:rPr>
                <a:t>𝒙_𝟏</a:t>
              </a:r>
              <a:r>
                <a:rPr lang="en-GB">
                  <a:solidFill>
                    <a:schemeClr val="tx1"/>
                  </a:solidFill>
                </a:rPr>
                <a:t> is the first observation (worst loss)</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r>
                <a:rPr lang="it-IT" sz="1100" b="1" i="0" dirty="0">
                  <a:solidFill>
                    <a:schemeClr val="tx1"/>
                  </a:solidFill>
                  <a:latin typeface="Cambria Math" panose="02040503050406030204" pitchFamily="18" charset="0"/>
                  <a:cs typeface="Times New Roman" panose="02020603050405020304" pitchFamily="18" charset="0"/>
                </a:rPr>
                <a:t>𝒙_(𝟐 )</a:t>
              </a:r>
              <a:r>
                <a:rPr lang="en-GB">
                  <a:solidFill>
                    <a:schemeClr val="tx1"/>
                  </a:solidFill>
                </a:rPr>
                <a:t>is the second observation</a:t>
              </a:r>
            </a:p>
            <a:p>
              <a:r>
                <a:rPr lang="en-GB" sz="1100" b="1"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a:t>
              </a:r>
              <a:r>
                <a:rPr lang="en-GB">
                  <a:solidFill>
                    <a:schemeClr val="tx1"/>
                  </a:solidFill>
                </a:rPr>
                <a:t> is cumulative weight associated with </a:t>
              </a:r>
              <a:r>
                <a:rPr lang="it-IT" sz="1100" b="1" i="0" dirty="0">
                  <a:solidFill>
                    <a:schemeClr val="tx1"/>
                  </a:solidFill>
                  <a:latin typeface="Cambria Math" panose="02040503050406030204" pitchFamily="18" charset="0"/>
                  <a:cs typeface="Times New Roman" panose="02020603050405020304" pitchFamily="18" charset="0"/>
                </a:rPr>
                <a:t>𝒙_𝟏</a:t>
              </a:r>
              <a:r>
                <a:rPr lang="en-GB">
                  <a:solidFill>
                    <a:schemeClr val="tx1"/>
                  </a:solidFill>
                </a:rPr>
                <a:t> </a:t>
              </a:r>
            </a:p>
            <a:p>
              <a:r>
                <a:rPr lang="en-GB" sz="1100" b="1" i="0" u="none" strike="noStrike">
                  <a:solidFill>
                    <a:schemeClr val="tx1"/>
                  </a:solidFill>
                  <a:effectLst/>
                  <a:latin typeface="+mn-lt"/>
                  <a:ea typeface="+mn-ea"/>
                  <a:cs typeface="+mn-cs"/>
                </a:rPr>
                <a:t>-</a:t>
              </a:r>
              <a:r>
                <a:rPr lang="en-GB" sz="1100" b="0" i="0" u="none" strike="noStrike" baseline="0">
                  <a:solidFill>
                    <a:schemeClr val="tx1"/>
                  </a:solidFill>
                  <a:effectLst/>
                  <a:latin typeface="+mn-lt"/>
                  <a:ea typeface="+mn-ea"/>
                  <a:cs typeface="+mn-cs"/>
                </a:rPr>
                <a:t>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a:t>
              </a:r>
              <a:r>
                <a:rPr lang="en-GB">
                  <a:solidFill>
                    <a:schemeClr val="tx1"/>
                  </a:solidFill>
                </a:rPr>
                <a:t> is cumulative weight associated with </a:t>
              </a:r>
              <a:r>
                <a:rPr lang="it-IT" sz="1100" b="1" i="0" dirty="0">
                  <a:solidFill>
                    <a:schemeClr val="tx1"/>
                  </a:solidFill>
                  <a:latin typeface="Cambria Math" panose="02040503050406030204" pitchFamily="18" charset="0"/>
                  <a:cs typeface="Times New Roman" panose="02020603050405020304" pitchFamily="18" charset="0"/>
                </a:rPr>
                <a:t>𝒙_𝟐</a:t>
              </a:r>
              <a:r>
                <a:rPr lang="en-GB">
                  <a:solidFill>
                    <a:schemeClr val="tx1"/>
                  </a:solidFill>
                </a:rPr>
                <a:t>  </a:t>
              </a:r>
            </a:p>
            <a:p>
              <a:pPr marL="0" marR="0" lvl="0" indent="0" algn="l" defTabSz="914400" eaLnBrk="1" fontAlgn="auto" latinLnBrk="0" hangingPunct="1">
                <a:lnSpc>
                  <a:spcPct val="100000"/>
                </a:lnSpc>
                <a:spcBef>
                  <a:spcPts val="0"/>
                </a:spcBef>
                <a:spcAft>
                  <a:spcPts val="0"/>
                </a:spcAft>
                <a:buClrTx/>
                <a:buSzTx/>
                <a:buFontTx/>
                <a:buNone/>
                <a:tabLst/>
                <a:defRPr/>
              </a:pPr>
              <a:endParaRPr lang="en-GB">
                <a:solidFill>
                  <a:schemeClr val="tx1"/>
                </a:solidFill>
                <a:effectLst/>
              </a:endParaRP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0</xdr:colOff>
      <xdr:row>13</xdr:row>
      <xdr:rowOff>0</xdr:rowOff>
    </xdr:from>
    <xdr:to>
      <xdr:col>13</xdr:col>
      <xdr:colOff>0</xdr:colOff>
      <xdr:row>13</xdr:row>
      <xdr:rowOff>167399</xdr:rowOff>
    </xdr:to>
    <xdr:sp macro="" textlink="">
      <xdr:nvSpPr>
        <xdr:cNvPr id="2" name="AutoShape 1">
          <a:extLst>
            <a:ext uri="{FF2B5EF4-FFF2-40B4-BE49-F238E27FC236}">
              <a16:creationId xmlns:a16="http://schemas.microsoft.com/office/drawing/2014/main" id="{378DD881-FDC0-47C2-B73C-8AE8DFA8BBA6}"/>
            </a:ext>
          </a:extLst>
        </xdr:cNvPr>
        <xdr:cNvSpPr>
          <a:spLocks noChangeAspect="1" noChangeArrowheads="1"/>
        </xdr:cNvSpPr>
      </xdr:nvSpPr>
      <xdr:spPr bwMode="auto">
        <a:xfrm>
          <a:off x="6848475" y="2657475"/>
          <a:ext cx="0" cy="46902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542192</xdr:colOff>
      <xdr:row>11</xdr:row>
      <xdr:rowOff>146538</xdr:rowOff>
    </xdr:from>
    <xdr:to>
      <xdr:col>14</xdr:col>
      <xdr:colOff>355532</xdr:colOff>
      <xdr:row>17</xdr:row>
      <xdr:rowOff>15384</xdr:rowOff>
    </xdr:to>
    <xdr:pic>
      <xdr:nvPicPr>
        <xdr:cNvPr id="3" name="Graphic 2">
          <a:extLst>
            <a:ext uri="{FF2B5EF4-FFF2-40B4-BE49-F238E27FC236}">
              <a16:creationId xmlns:a16="http://schemas.microsoft.com/office/drawing/2014/main" id="{575B7504-17F4-4E4E-AF2C-D4860797B22B}"/>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04134" y="2439865"/>
          <a:ext cx="953165" cy="9940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30</xdr:col>
      <xdr:colOff>52427</xdr:colOff>
      <xdr:row>129</xdr:row>
      <xdr:rowOff>130177</xdr:rowOff>
    </xdr:from>
    <xdr:to>
      <xdr:col>44</xdr:col>
      <xdr:colOff>1608</xdr:colOff>
      <xdr:row>148</xdr:row>
      <xdr:rowOff>147944</xdr:rowOff>
    </xdr:to>
    <xdr:graphicFrame macro="">
      <xdr:nvGraphicFramePr>
        <xdr:cNvPr id="2" name="Grafico 1">
          <a:extLst>
            <a:ext uri="{FF2B5EF4-FFF2-40B4-BE49-F238E27FC236}">
              <a16:creationId xmlns:a16="http://schemas.microsoft.com/office/drawing/2014/main" id="{BBDB02CE-4D76-ED48-CDDE-4BB0AC343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1063539</xdr:colOff>
      <xdr:row>118</xdr:row>
      <xdr:rowOff>166254</xdr:rowOff>
    </xdr:from>
    <xdr:to>
      <xdr:col>7</xdr:col>
      <xdr:colOff>1018716</xdr:colOff>
      <xdr:row>121</xdr:row>
      <xdr:rowOff>204353</xdr:rowOff>
    </xdr:to>
    <mc:AlternateContent xmlns:mc="http://schemas.openxmlformats.org/markup-compatibility/2006" xmlns:a14="http://schemas.microsoft.com/office/drawing/2010/main">
      <mc:Choice Requires="a14">
        <xdr:sp macro="" textlink="">
          <xdr:nvSpPr>
            <xdr:cNvPr id="83" name="Rectangle: Rounded Corners 1">
              <a:extLst>
                <a:ext uri="{FF2B5EF4-FFF2-40B4-BE49-F238E27FC236}">
                  <a16:creationId xmlns:a16="http://schemas.microsoft.com/office/drawing/2014/main" id="{7A11DA1B-93ED-4975-AA5E-6045498C5DD8}"/>
                </a:ext>
              </a:extLst>
            </xdr:cNvPr>
            <xdr:cNvSpPr/>
          </xdr:nvSpPr>
          <xdr:spPr>
            <a:xfrm>
              <a:off x="5185266" y="24567572"/>
              <a:ext cx="3436132" cy="661554"/>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it-IT" sz="1100" b="1" i="1" dirty="0">
                <a:solidFill>
                  <a:schemeClr val="tx1"/>
                </a:solidFill>
                <a:latin typeface="Cambria Math" panose="020405030504060302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𝑽𝒂𝒓</m:t>
                        </m:r>
                      </m:e>
                      <m:sub>
                        <m:r>
                          <a:rPr lang="it-IT" sz="1100" b="1" i="1" dirty="0" smtClean="0">
                            <a:solidFill>
                              <a:schemeClr val="tx1"/>
                            </a:solidFill>
                            <a:latin typeface="Cambria Math" panose="02040503050406030204" pitchFamily="18" charset="0"/>
                            <a:cs typeface="Times New Roman" panose="02020603050405020304" pitchFamily="18" charset="0"/>
                          </a:rPr>
                          <m:t>𝒑</m:t>
                        </m:r>
                      </m:sub>
                    </m:sSub>
                    <m:r>
                      <a:rPr lang="it-IT" sz="1100" b="1" i="1" dirty="0" smtClean="0">
                        <a:solidFill>
                          <a:schemeClr val="tx1"/>
                        </a:solidFill>
                        <a:latin typeface="Cambria Math" panose="02040503050406030204" pitchFamily="18" charset="0"/>
                        <a:cs typeface="Times New Roman" panose="02020603050405020304" pitchFamily="18" charset="0"/>
                      </a:rPr>
                      <m:t>=</m:t>
                    </m:r>
                    <m:d>
                      <m:dPr>
                        <m:begChr m:val="|"/>
                        <m:endChr m:val="|"/>
                        <m:ctrlPr>
                          <a:rPr lang="it-IT" sz="1100" b="1" i="1" dirty="0" smtClean="0">
                            <a:solidFill>
                              <a:schemeClr val="tx1"/>
                            </a:solidFill>
                            <a:latin typeface="Cambria Math" panose="02040503050406030204" pitchFamily="18" charset="0"/>
                            <a:cs typeface="Times New Roman" panose="02020603050405020304" pitchFamily="18" charset="0"/>
                          </a:rPr>
                        </m:ctrlPr>
                      </m:dPr>
                      <m:e>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f>
                          <m:fPr>
                            <m:ctrlPr>
                              <a:rPr lang="it-IT" sz="1100" b="1" i="1" dirty="0" smtClean="0">
                                <a:solidFill>
                                  <a:schemeClr val="tx1"/>
                                </a:solidFill>
                                <a:latin typeface="Cambria Math" panose="02040503050406030204" pitchFamily="18" charset="0"/>
                                <a:cs typeface="Times New Roman" panose="02020603050405020304" pitchFamily="18" charset="0"/>
                              </a:rPr>
                            </m:ctrlPr>
                          </m:fPr>
                          <m:num>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cs typeface="Times New Roman" panose="02020603050405020304" pitchFamily="18" charset="0"/>
                              </a:rPr>
                              <m:t>𝒑</m:t>
                            </m:r>
                          </m:num>
                          <m:den>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den>
                        </m:f>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f>
                          <m:fPr>
                            <m:ctrlPr>
                              <a:rPr lang="it-IT" sz="1100" b="1" i="1" dirty="0" smtClean="0">
                                <a:solidFill>
                                  <a:schemeClr val="tx1"/>
                                </a:solidFill>
                                <a:latin typeface="Cambria Math" panose="02040503050406030204" pitchFamily="18" charset="0"/>
                                <a:cs typeface="Times New Roman" panose="02020603050405020304" pitchFamily="18" charset="0"/>
                              </a:rPr>
                            </m:ctrlPr>
                          </m:fPr>
                          <m:num>
                            <m:r>
                              <a:rPr lang="it-IT" sz="1100" b="1" i="1" dirty="0" smtClean="0">
                                <a:solidFill>
                                  <a:schemeClr val="tx1"/>
                                </a:solidFill>
                                <a:latin typeface="Cambria Math" panose="02040503050406030204" pitchFamily="18" charset="0"/>
                                <a:cs typeface="Times New Roman" panose="02020603050405020304" pitchFamily="18" charset="0"/>
                              </a:rPr>
                              <m:t>𝒑</m:t>
                            </m:r>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num>
                          <m:den>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den>
                        </m:f>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u="none" strike="noStrike">
                                <a:solidFill>
                                  <a:schemeClr val="tx1"/>
                                </a:solidFill>
                                <a:effectLst/>
                                <a:latin typeface="Cambria Math" panose="02040503050406030204" pitchFamily="18" charset="0"/>
                                <a:ea typeface="+mn-ea"/>
                                <a:cs typeface="+mn-cs"/>
                              </a:rPr>
                            </m:ctrlPr>
                          </m:sSub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𝝁</m:t>
                            </m:r>
                          </m:e>
                          <m: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sub>
                        </m:sSub>
                      </m:e>
                    </m:d>
                    <m:r>
                      <a:rPr lang="it-IT" sz="1100" b="1" i="1" dirty="0" smtClean="0">
                        <a:solidFill>
                          <a:schemeClr val="tx1"/>
                        </a:solidFill>
                        <a:latin typeface="Cambria Math" panose="02040503050406030204" pitchFamily="18" charset="0"/>
                        <a:cs typeface="Times New Roman" panose="02020603050405020304" pitchFamily="18" charset="0"/>
                      </a:rPr>
                      <m:t> </m:t>
                    </m:r>
                  </m:oMath>
                </m:oMathPara>
              </a14:m>
              <a:endParaRPr lang="en-GB">
                <a:solidFill>
                  <a:schemeClr val="tx1"/>
                </a:solidFill>
                <a:effectLst/>
              </a:endParaRPr>
            </a:p>
          </xdr:txBody>
        </xdr:sp>
      </mc:Choice>
      <mc:Fallback xmlns="">
        <xdr:sp macro="" textlink="">
          <xdr:nvSpPr>
            <xdr:cNvPr id="43" name="Rectangle: Rounded Corners 1">
              <a:extLst>
                <a:ext uri="{FF2B5EF4-FFF2-40B4-BE49-F238E27FC236}">
                  <a16:creationId xmlns:a16="http://schemas.microsoft.com/office/drawing/2014/main" id="{7A11DA1B-93ED-4975-AA5E-6045498C5DD8}"/>
                </a:ext>
              </a:extLst>
            </xdr:cNvPr>
            <xdr:cNvSpPr/>
          </xdr:nvSpPr>
          <xdr:spPr>
            <a:xfrm>
              <a:off x="5185266" y="24567572"/>
              <a:ext cx="3436132" cy="661554"/>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it-IT" sz="1100" b="1" i="1" dirty="0">
                <a:solidFill>
                  <a:schemeClr val="tx1"/>
                </a:solidFill>
                <a:latin typeface="Cambria Math" panose="020405030504060302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cs typeface="Times New Roman" panose="02020603050405020304" pitchFamily="18" charset="0"/>
                </a:rPr>
                <a:t>〖𝑽𝒂𝒓〗_𝒑=|𝒙_𝟏</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𝟐−𝒑)/(</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 )+𝒙_𝟐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a:t>
              </a:r>
              <a:r>
                <a:rPr lang="it-IT" sz="1100" b="1" i="0" dirty="0">
                  <a:solidFill>
                    <a:schemeClr val="tx1"/>
                  </a:solidFill>
                  <a:latin typeface="Cambria Math" panose="02040503050406030204" pitchFamily="18" charset="0"/>
                  <a:cs typeface="Times New Roman" panose="02020603050405020304" pitchFamily="18" charset="0"/>
                </a:rPr>
                <a:t>𝒑−</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 )−</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𝝁</a:t>
              </a:r>
              <a:r>
                <a:rPr lang="it-IT" sz="1100" b="1" i="0" u="none" strike="noStrike">
                  <a:solidFill>
                    <a:schemeClr val="tx1"/>
                  </a:solidFill>
                  <a:effectLst/>
                  <a:latin typeface="Cambria Math" panose="02040503050406030204" pitchFamily="18" charset="0"/>
                  <a:ea typeface="+mn-ea"/>
                  <a:cs typeface="+mn-cs"/>
                </a:rPr>
                <a:t>_</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 |  </a:t>
              </a:r>
              <a:endParaRPr lang="en-GB">
                <a:solidFill>
                  <a:schemeClr val="tx1"/>
                </a:solidFill>
                <a:effectLst/>
              </a:endParaRPr>
            </a:p>
          </xdr:txBody>
        </xdr:sp>
      </mc:Fallback>
    </mc:AlternateContent>
    <xdr:clientData/>
  </xdr:twoCellAnchor>
  <xdr:twoCellAnchor>
    <xdr:from>
      <xdr:col>8</xdr:col>
      <xdr:colOff>254000</xdr:colOff>
      <xdr:row>83</xdr:row>
      <xdr:rowOff>127000</xdr:rowOff>
    </xdr:from>
    <xdr:to>
      <xdr:col>11</xdr:col>
      <xdr:colOff>495300</xdr:colOff>
      <xdr:row>87</xdr:row>
      <xdr:rowOff>12700</xdr:rowOff>
    </xdr:to>
    <mc:AlternateContent xmlns:mc="http://schemas.openxmlformats.org/markup-compatibility/2006" xmlns:a14="http://schemas.microsoft.com/office/drawing/2010/main">
      <mc:Choice Requires="a14">
        <xdr:sp macro="" textlink="">
          <xdr:nvSpPr>
            <xdr:cNvPr id="79" name="Rectangle: Rounded Corners 1">
              <a:extLst>
                <a:ext uri="{FF2B5EF4-FFF2-40B4-BE49-F238E27FC236}">
                  <a16:creationId xmlns:a16="http://schemas.microsoft.com/office/drawing/2014/main" id="{E69FC615-795C-C247-8CAC-61C8500E7D46}"/>
                </a:ext>
              </a:extLst>
            </xdr:cNvPr>
            <xdr:cNvSpPr/>
          </xdr:nvSpPr>
          <xdr:spPr>
            <a:xfrm>
              <a:off x="10312400" y="17653000"/>
              <a:ext cx="3327400" cy="749300"/>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𝜹</m:t>
                        </m:r>
                      </m:e>
                      <m: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up>
                    </m:s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m:t>
                    </m:r>
                    <m:limLow>
                      <m:limLowPr>
                        <m:ctrlPr>
                          <a:rPr lang="it-IT" sz="1100" b="1" i="1" dirty="0" smtClean="0">
                            <a:solidFill>
                              <a:schemeClr val="tx1"/>
                            </a:solidFill>
                            <a:latin typeface="Cambria Math" panose="02040503050406030204" pitchFamily="18" charset="0"/>
                            <a:cs typeface="Times New Roman" panose="02020603050405020304" pitchFamily="18" charset="0"/>
                          </a:rPr>
                        </m:ctrlPr>
                      </m:limLowPr>
                      <m:e>
                        <m:groupChr>
                          <m:groupChrPr>
                            <m:chr m:val="⏟"/>
                            <m:ctrlPr>
                              <a:rPr lang="it-IT" sz="1100" b="1" i="1" dirty="0" smtClean="0">
                                <a:solidFill>
                                  <a:schemeClr val="tx1"/>
                                </a:solidFill>
                                <a:latin typeface="Cambria Math" panose="02040503050406030204" pitchFamily="18" charset="0"/>
                                <a:cs typeface="Times New Roman" panose="02020603050405020304" pitchFamily="18" charset="0"/>
                              </a:rPr>
                            </m:ctrlPr>
                          </m:groupChrPr>
                          <m:e>
                            <m:f>
                              <m:f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fPr>
                              <m:num>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𝑽</m:t>
                                </m:r>
                              </m:num>
                              <m:den>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d>
                                      <m:d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d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e>
                                    </m:d>
                                  </m:sup>
                                </m:sSup>
                              </m:den>
                            </m:f>
                          </m:e>
                        </m:groupChr>
                      </m:e>
                      <m:lim>
                        <m:eqArr>
                          <m:eqArrPr>
                            <m:ctrlPr>
                              <a:rPr lang="it-IT" sz="1100" b="1" i="1" dirty="0" smtClean="0">
                                <a:solidFill>
                                  <a:schemeClr val="tx1"/>
                                </a:solidFill>
                                <a:latin typeface="Cambria Math" panose="02040503050406030204" pitchFamily="18" charset="0"/>
                                <a:cs typeface="Times New Roman" panose="02020603050405020304" pitchFamily="18" charset="0"/>
                              </a:rPr>
                            </m:ctrlPr>
                          </m:eqArrPr>
                          <m:e>
                            <m:r>
                              <a:rPr lang="it-IT" sz="1100" b="1" i="1" dirty="0" smtClean="0">
                                <a:solidFill>
                                  <a:schemeClr val="tx1"/>
                                </a:solidFill>
                                <a:latin typeface="Cambria Math" panose="02040503050406030204" pitchFamily="18" charset="0"/>
                                <a:cs typeface="Times New Roman" panose="02020603050405020304" pitchFamily="18" charset="0"/>
                              </a:rPr>
                              <m:t> </m:t>
                            </m:r>
                          </m:e>
                          <m:e>
                            <m:r>
                              <a:rPr lang="it-IT" sz="1100" b="1" i="1" dirty="0" smtClean="0">
                                <a:solidFill>
                                  <a:schemeClr val="tx1"/>
                                </a:solidFill>
                                <a:latin typeface="Cambria Math" panose="02040503050406030204" pitchFamily="18" charset="0"/>
                                <a:cs typeface="Times New Roman" panose="02020603050405020304" pitchFamily="18" charset="0"/>
                              </a:rPr>
                              <m:t> </m:t>
                            </m:r>
                          </m:e>
                          <m:e>
                            <m:r>
                              <a:rPr lang="it-IT" sz="1100" b="1" i="1" dirty="0" smtClean="0">
                                <a:solidFill>
                                  <a:schemeClr val="tx1"/>
                                </a:solidFill>
                                <a:latin typeface="Cambria Math" panose="02040503050406030204" pitchFamily="18" charset="0"/>
                                <a:cs typeface="Times New Roman" panose="02020603050405020304" pitchFamily="18" charset="0"/>
                              </a:rPr>
                              <m:t> </m:t>
                            </m:r>
                          </m:e>
                          <m:e>
                            <m:sSub>
                              <m:sSubPr>
                                <m:ctrlPr>
                                  <a:rPr lang="it-IT" sz="1100" b="1" i="1" dirty="0">
                                    <a:solidFill>
                                      <a:schemeClr val="tx1"/>
                                    </a:solidFill>
                                    <a:latin typeface="Cambria Math" panose="02040503050406030204" pitchFamily="18" charset="0"/>
                                    <a:cs typeface="Times New Roman" panose="02020603050405020304" pitchFamily="18" charset="0"/>
                                  </a:rPr>
                                </m:ctrlPr>
                              </m:sSubPr>
                              <m:e>
                                <m:r>
                                  <a:rPr lang="it-IT" sz="1100" b="1" i="1" dirty="0">
                                    <a:solidFill>
                                      <a:schemeClr val="tx1"/>
                                    </a:solidFill>
                                    <a:latin typeface="Cambria Math" panose="02040503050406030204" pitchFamily="18" charset="0"/>
                                    <a:cs typeface="Times New Roman" panose="02020603050405020304" pitchFamily="18" charset="0"/>
                                  </a:rPr>
                                  <m:t>𝑪</m:t>
                                </m:r>
                              </m:e>
                              <m:sub>
                                <m:r>
                                  <a:rPr lang="it-IT" sz="1100" b="1" i="1" dirty="0">
                                    <a:solidFill>
                                      <a:schemeClr val="tx1"/>
                                    </a:solidFill>
                                    <a:latin typeface="Cambria Math" panose="02040503050406030204" pitchFamily="18" charset="0"/>
                                    <a:cs typeface="Times New Roman" panose="02020603050405020304" pitchFamily="18" charset="0"/>
                                  </a:rPr>
                                  <m:t>𝒊</m:t>
                                </m:r>
                              </m:sub>
                            </m:sSub>
                          </m:e>
                        </m:eqArr>
                      </m:lim>
                    </m:limLow>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d>
                          <m:d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d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e>
                        </m:d>
                      </m:sup>
                    </m:sSup>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en-GB" i="1">
                            <a:solidFill>
                              <a:schemeClr val="tx1"/>
                            </a:solidFill>
                            <a:latin typeface="Cambria Math" panose="02040503050406030204" pitchFamily="18" charset="0"/>
                          </a:rPr>
                        </m:ctrlPr>
                      </m:sSupPr>
                      <m:e>
                        <m:r>
                          <a:rPr lang="it-IT" b="0" i="1">
                            <a:solidFill>
                              <a:schemeClr val="tx1"/>
                            </a:solidFill>
                            <a:latin typeface="Cambria Math" panose="02040503050406030204" pitchFamily="18" charset="0"/>
                          </a:rPr>
                          <m:t>𝑃𝑉</m:t>
                        </m:r>
                      </m:e>
                      <m:sup>
                        <m:d>
                          <m:dPr>
                            <m:ctrlPr>
                              <a:rPr lang="it-IT" b="0" i="1">
                                <a:solidFill>
                                  <a:schemeClr val="tx1"/>
                                </a:solidFill>
                                <a:latin typeface="Cambria Math" panose="02040503050406030204" pitchFamily="18" charset="0"/>
                              </a:rPr>
                            </m:ctrlPr>
                          </m:dPr>
                          <m:e>
                            <m:r>
                              <a:rPr lang="it-IT" b="0" i="1">
                                <a:solidFill>
                                  <a:schemeClr val="tx1"/>
                                </a:solidFill>
                                <a:latin typeface="Cambria Math" panose="02040503050406030204" pitchFamily="18" charset="0"/>
                              </a:rPr>
                              <m:t>𝑖</m:t>
                            </m:r>
                          </m:e>
                        </m:d>
                      </m:sup>
                    </m:sSup>
                    <m:r>
                      <a:rPr lang="it-IT" sz="1100" b="1" i="1" dirty="0" smtClean="0">
                        <a:solidFill>
                          <a:schemeClr val="tx1"/>
                        </a:solidFill>
                        <a:latin typeface="Cambria Math" panose="02040503050406030204" pitchFamily="18" charset="0"/>
                        <a:cs typeface="Times New Roman" panose="02020603050405020304" pitchFamily="18" charset="0"/>
                      </a:rPr>
                      <m:t> </m:t>
                    </m:r>
                  </m:oMath>
                </m:oMathPara>
              </a14:m>
              <a:endParaRPr lang="en-GB">
                <a:solidFill>
                  <a:schemeClr val="tx1"/>
                </a:solidFill>
                <a:effectLst/>
              </a:endParaRPr>
            </a:p>
          </xdr:txBody>
        </xdr:sp>
      </mc:Choice>
      <mc:Fallback xmlns="">
        <xdr:sp macro="" textlink="">
          <xdr:nvSpPr>
            <xdr:cNvPr id="79" name="Rectangle: Rounded Corners 1">
              <a:extLst>
                <a:ext uri="{FF2B5EF4-FFF2-40B4-BE49-F238E27FC236}">
                  <a16:creationId xmlns:a16="http://schemas.microsoft.com/office/drawing/2014/main" id="{E69FC615-795C-C247-8CAC-61C8500E7D46}"/>
                </a:ext>
              </a:extLst>
            </xdr:cNvPr>
            <xdr:cNvSpPr/>
          </xdr:nvSpPr>
          <xdr:spPr>
            <a:xfrm>
              <a:off x="10312400" y="17653000"/>
              <a:ext cx="3327400" cy="749300"/>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𝜹^((𝒊))= </a:t>
              </a:r>
              <a:r>
                <a:rPr lang="it-IT" sz="1100" b="1" i="0" dirty="0">
                  <a:solidFill>
                    <a:schemeClr val="tx1"/>
                  </a:solidFill>
                  <a:latin typeface="Cambria Math" panose="02040503050406030204" pitchFamily="18" charset="0"/>
                  <a:cs typeface="Times New Roman" panose="02020603050405020304" pitchFamily="18" charset="0"/>
                </a:rPr>
                <a:t>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 𝝏𝑽/(𝝏𝑷^((𝒊) ) ))┬█(</a:t>
              </a:r>
              <a:r>
                <a:rPr lang="it-IT" sz="1100" b="1" i="0" dirty="0">
                  <a:solidFill>
                    <a:schemeClr val="tx1"/>
                  </a:solidFill>
                  <a:latin typeface="Cambria Math" panose="02040503050406030204" pitchFamily="18" charset="0"/>
                  <a:cs typeface="Times New Roman" panose="02020603050405020304" pitchFamily="18" charset="0"/>
                </a:rPr>
                <a:t> @ @ @𝑪_𝒊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×𝑷^((𝒊) )=</a:t>
              </a:r>
              <a:r>
                <a:rPr lang="en-GB" i="0">
                  <a:solidFill>
                    <a:schemeClr val="tx1"/>
                  </a:solidFill>
                  <a:latin typeface="Cambria Math" panose="02040503050406030204" pitchFamily="18" charset="0"/>
                </a:rPr>
                <a:t>〖</a:t>
              </a:r>
              <a:r>
                <a:rPr lang="it-IT" b="0" i="0">
                  <a:solidFill>
                    <a:schemeClr val="tx1"/>
                  </a:solidFill>
                  <a:latin typeface="Cambria Math" panose="02040503050406030204" pitchFamily="18" charset="0"/>
                </a:rPr>
                <a:t>𝑃𝑉</a:t>
              </a:r>
              <a:r>
                <a:rPr lang="en-GB" b="0" i="0">
                  <a:solidFill>
                    <a:schemeClr val="tx1"/>
                  </a:solidFill>
                  <a:latin typeface="Cambria Math" panose="02040503050406030204" pitchFamily="18" charset="0"/>
                </a:rPr>
                <a:t>〗^(</a:t>
              </a:r>
              <a:r>
                <a:rPr lang="it-IT" b="0" i="0">
                  <a:solidFill>
                    <a:schemeClr val="tx1"/>
                  </a:solidFill>
                  <a:latin typeface="Cambria Math" panose="02040503050406030204" pitchFamily="18" charset="0"/>
                </a:rPr>
                <a:t>(𝑖) </a:t>
              </a:r>
              <a:r>
                <a:rPr lang="en-GB" b="0" i="0">
                  <a:solidFill>
                    <a:schemeClr val="tx1"/>
                  </a:solidFill>
                  <a:latin typeface="Cambria Math" panose="02040503050406030204" pitchFamily="18" charset="0"/>
                </a:rPr>
                <a:t>)</a:t>
              </a:r>
              <a:r>
                <a:rPr lang="it-IT" sz="1100" b="1" i="0" dirty="0">
                  <a:solidFill>
                    <a:schemeClr val="tx1"/>
                  </a:solidFill>
                  <a:latin typeface="Cambria Math" panose="02040503050406030204" pitchFamily="18" charset="0"/>
                </a:rPr>
                <a:t> </a:t>
              </a:r>
              <a:r>
                <a:rPr lang="it-IT" sz="1100" b="1" i="0" dirty="0">
                  <a:solidFill>
                    <a:schemeClr val="tx1"/>
                  </a:solidFill>
                  <a:latin typeface="Cambria Math" panose="02040503050406030204" pitchFamily="18" charset="0"/>
                  <a:cs typeface="Times New Roman" panose="02020603050405020304" pitchFamily="18" charset="0"/>
                </a:rPr>
                <a:t> </a:t>
              </a:r>
              <a:endParaRPr lang="en-GB">
                <a:solidFill>
                  <a:schemeClr val="tx1"/>
                </a:solidFill>
                <a:effectLst/>
              </a:endParaRP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absolute">
    <xdr:from>
      <xdr:col>31</xdr:col>
      <xdr:colOff>72818</xdr:colOff>
      <xdr:row>129</xdr:row>
      <xdr:rowOff>125338</xdr:rowOff>
    </xdr:from>
    <xdr:to>
      <xdr:col>41</xdr:col>
      <xdr:colOff>415946</xdr:colOff>
      <xdr:row>149</xdr:row>
      <xdr:rowOff>124840</xdr:rowOff>
    </xdr:to>
    <xdr:graphicFrame macro="">
      <xdr:nvGraphicFramePr>
        <xdr:cNvPr id="5" name="Grafico 1">
          <a:extLst>
            <a:ext uri="{FF2B5EF4-FFF2-40B4-BE49-F238E27FC236}">
              <a16:creationId xmlns:a16="http://schemas.microsoft.com/office/drawing/2014/main" id="{802973CA-4346-4F63-99E8-8E05BCD9B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118</xdr:row>
      <xdr:rowOff>172469</xdr:rowOff>
    </xdr:from>
    <xdr:to>
      <xdr:col>7</xdr:col>
      <xdr:colOff>1127312</xdr:colOff>
      <xdr:row>121</xdr:row>
      <xdr:rowOff>154810</xdr:rowOff>
    </xdr:to>
    <mc:AlternateContent xmlns:mc="http://schemas.openxmlformats.org/markup-compatibility/2006" xmlns:a14="http://schemas.microsoft.com/office/drawing/2010/main">
      <mc:Choice Requires="a14">
        <xdr:sp macro="" textlink="">
          <xdr:nvSpPr>
            <xdr:cNvPr id="12" name="Rectangle: Rounded Corners 1">
              <a:extLst>
                <a:ext uri="{FF2B5EF4-FFF2-40B4-BE49-F238E27FC236}">
                  <a16:creationId xmlns:a16="http://schemas.microsoft.com/office/drawing/2014/main" id="{6FA574F9-709C-4A84-82D4-6F19C0E1751B}"/>
                </a:ext>
              </a:extLst>
            </xdr:cNvPr>
            <xdr:cNvSpPr/>
          </xdr:nvSpPr>
          <xdr:spPr>
            <a:xfrm>
              <a:off x="6052099" y="25415679"/>
              <a:ext cx="3792744" cy="672217"/>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it-IT" sz="1100" b="1" i="1" dirty="0">
                <a:solidFill>
                  <a:schemeClr val="tx1"/>
                </a:solidFill>
                <a:latin typeface="Cambria Math" panose="020405030504060302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𝑽𝒂𝒓</m:t>
                        </m:r>
                      </m:e>
                      <m:sub>
                        <m:r>
                          <a:rPr lang="it-IT" sz="1100" b="1" i="1" dirty="0" smtClean="0">
                            <a:solidFill>
                              <a:schemeClr val="tx1"/>
                            </a:solidFill>
                            <a:latin typeface="Cambria Math" panose="02040503050406030204" pitchFamily="18" charset="0"/>
                            <a:cs typeface="Times New Roman" panose="02020603050405020304" pitchFamily="18" charset="0"/>
                          </a:rPr>
                          <m:t>𝒑</m:t>
                        </m:r>
                      </m:sub>
                    </m:sSub>
                    <m:r>
                      <a:rPr lang="it-IT" sz="1100" b="1" i="1" dirty="0" smtClean="0">
                        <a:solidFill>
                          <a:schemeClr val="tx1"/>
                        </a:solidFill>
                        <a:latin typeface="Cambria Math" panose="02040503050406030204" pitchFamily="18" charset="0"/>
                        <a:cs typeface="Times New Roman" panose="02020603050405020304" pitchFamily="18" charset="0"/>
                      </a:rPr>
                      <m:t>=</m:t>
                    </m:r>
                    <m:d>
                      <m:dPr>
                        <m:begChr m:val="|"/>
                        <m:endChr m:val="|"/>
                        <m:ctrlPr>
                          <a:rPr lang="it-IT" sz="1100" b="1" i="1" dirty="0" smtClean="0">
                            <a:solidFill>
                              <a:schemeClr val="tx1"/>
                            </a:solidFill>
                            <a:latin typeface="Cambria Math" panose="02040503050406030204" pitchFamily="18" charset="0"/>
                            <a:cs typeface="Times New Roman" panose="02020603050405020304" pitchFamily="18" charset="0"/>
                          </a:rPr>
                        </m:ctrlPr>
                      </m:dPr>
                      <m:e>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f>
                          <m:fPr>
                            <m:ctrlPr>
                              <a:rPr lang="it-IT" sz="1100" b="1" i="1" dirty="0" smtClean="0">
                                <a:solidFill>
                                  <a:schemeClr val="tx1"/>
                                </a:solidFill>
                                <a:latin typeface="Cambria Math" panose="02040503050406030204" pitchFamily="18" charset="0"/>
                                <a:cs typeface="Times New Roman" panose="02020603050405020304" pitchFamily="18" charset="0"/>
                              </a:rPr>
                            </m:ctrlPr>
                          </m:fPr>
                          <m:num>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cs typeface="Times New Roman" panose="02020603050405020304" pitchFamily="18" charset="0"/>
                              </a:rPr>
                              <m:t>𝒑</m:t>
                            </m:r>
                          </m:num>
                          <m:den>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den>
                        </m:f>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f>
                          <m:fPr>
                            <m:ctrlPr>
                              <a:rPr lang="it-IT" sz="1100" b="1" i="1" dirty="0" smtClean="0">
                                <a:solidFill>
                                  <a:schemeClr val="tx1"/>
                                </a:solidFill>
                                <a:latin typeface="Cambria Math" panose="02040503050406030204" pitchFamily="18" charset="0"/>
                                <a:cs typeface="Times New Roman" panose="02020603050405020304" pitchFamily="18" charset="0"/>
                              </a:rPr>
                            </m:ctrlPr>
                          </m:fPr>
                          <m:num>
                            <m:r>
                              <a:rPr lang="it-IT" sz="1100" b="1" i="1" dirty="0" smtClean="0">
                                <a:solidFill>
                                  <a:schemeClr val="tx1"/>
                                </a:solidFill>
                                <a:latin typeface="Cambria Math" panose="02040503050406030204" pitchFamily="18" charset="0"/>
                                <a:cs typeface="Times New Roman" panose="02020603050405020304" pitchFamily="18" charset="0"/>
                              </a:rPr>
                              <m:t>𝒑</m:t>
                            </m:r>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num>
                          <m:den>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den>
                        </m:f>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u="none" strike="noStrike">
                                <a:solidFill>
                                  <a:schemeClr val="tx1"/>
                                </a:solidFill>
                                <a:effectLst/>
                                <a:latin typeface="Cambria Math" panose="02040503050406030204" pitchFamily="18" charset="0"/>
                                <a:ea typeface="+mn-ea"/>
                                <a:cs typeface="+mn-cs"/>
                              </a:rPr>
                            </m:ctrlPr>
                          </m:sSub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𝝁</m:t>
                            </m:r>
                          </m:e>
                          <m: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sub>
                        </m:sSub>
                      </m:e>
                    </m:d>
                    <m:r>
                      <a:rPr lang="it-IT" sz="1100" b="1" i="1" dirty="0" smtClean="0">
                        <a:solidFill>
                          <a:schemeClr val="tx1"/>
                        </a:solidFill>
                        <a:latin typeface="Cambria Math" panose="02040503050406030204" pitchFamily="18" charset="0"/>
                        <a:cs typeface="Times New Roman" panose="02020603050405020304" pitchFamily="18" charset="0"/>
                      </a:rPr>
                      <m:t> </m:t>
                    </m:r>
                  </m:oMath>
                </m:oMathPara>
              </a14:m>
              <a:endParaRPr lang="en-GB">
                <a:solidFill>
                  <a:schemeClr val="tx1"/>
                </a:solidFill>
                <a:effectLst/>
              </a:endParaRPr>
            </a:p>
          </xdr:txBody>
        </xdr:sp>
      </mc:Choice>
      <mc:Fallback xmlns="">
        <xdr:sp macro="" textlink="">
          <xdr:nvSpPr>
            <xdr:cNvPr id="56" name="Rectangle: Rounded Corners 1">
              <a:extLst>
                <a:ext uri="{FF2B5EF4-FFF2-40B4-BE49-F238E27FC236}">
                  <a16:creationId xmlns:a16="http://schemas.microsoft.com/office/drawing/2014/main" id="{6FA574F9-709C-4A84-82D4-6F19C0E1751B}"/>
                </a:ext>
              </a:extLst>
            </xdr:cNvPr>
            <xdr:cNvSpPr/>
          </xdr:nvSpPr>
          <xdr:spPr>
            <a:xfrm>
              <a:off x="6052099" y="25415679"/>
              <a:ext cx="3792744" cy="672217"/>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it-IT" sz="1100" b="1" i="1" dirty="0">
                <a:solidFill>
                  <a:schemeClr val="tx1"/>
                </a:solidFill>
                <a:latin typeface="Cambria Math" panose="020405030504060302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cs typeface="Times New Roman" panose="02020603050405020304" pitchFamily="18" charset="0"/>
                </a:rPr>
                <a:t>〖𝑽𝒂𝒓〗_𝒑=|𝒙_𝟏</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𝟐−𝒑)/(</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 )+𝒙_𝟐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a:t>
              </a:r>
              <a:r>
                <a:rPr lang="it-IT" sz="1100" b="1" i="0" dirty="0">
                  <a:solidFill>
                    <a:schemeClr val="tx1"/>
                  </a:solidFill>
                  <a:latin typeface="Cambria Math" panose="02040503050406030204" pitchFamily="18" charset="0"/>
                  <a:cs typeface="Times New Roman" panose="02020603050405020304" pitchFamily="18" charset="0"/>
                </a:rPr>
                <a:t>𝒑−</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 )−</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𝝁</a:t>
              </a:r>
              <a:r>
                <a:rPr lang="it-IT" sz="1100" b="1" i="0" u="none" strike="noStrike">
                  <a:solidFill>
                    <a:schemeClr val="tx1"/>
                  </a:solidFill>
                  <a:effectLst/>
                  <a:latin typeface="Cambria Math" panose="02040503050406030204" pitchFamily="18" charset="0"/>
                  <a:ea typeface="+mn-ea"/>
                  <a:cs typeface="+mn-cs"/>
                </a:rPr>
                <a:t>_</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 |  </a:t>
              </a:r>
              <a:endParaRPr lang="en-GB">
                <a:solidFill>
                  <a:schemeClr val="tx1"/>
                </a:solidFill>
                <a:effectLst/>
              </a:endParaRPr>
            </a:p>
          </xdr:txBody>
        </xdr:sp>
      </mc:Fallback>
    </mc:AlternateContent>
    <xdr:clientData/>
  </xdr:twoCellAnchor>
  <xdr:twoCellAnchor>
    <xdr:from>
      <xdr:col>8</xdr:col>
      <xdr:colOff>0</xdr:colOff>
      <xdr:row>84</xdr:row>
      <xdr:rowOff>0</xdr:rowOff>
    </xdr:from>
    <xdr:to>
      <xdr:col>11</xdr:col>
      <xdr:colOff>222956</xdr:colOff>
      <xdr:row>87</xdr:row>
      <xdr:rowOff>90782</xdr:rowOff>
    </xdr:to>
    <mc:AlternateContent xmlns:mc="http://schemas.openxmlformats.org/markup-compatibility/2006" xmlns:a14="http://schemas.microsoft.com/office/drawing/2010/main">
      <mc:Choice Requires="a14">
        <xdr:sp macro="" textlink="">
          <xdr:nvSpPr>
            <xdr:cNvPr id="9" name="Rectangle: Rounded Corners 1">
              <a:extLst>
                <a:ext uri="{FF2B5EF4-FFF2-40B4-BE49-F238E27FC236}">
                  <a16:creationId xmlns:a16="http://schemas.microsoft.com/office/drawing/2014/main" id="{61222521-FD63-7948-A7A5-ECD65B990B46}"/>
                </a:ext>
              </a:extLst>
            </xdr:cNvPr>
            <xdr:cNvSpPr/>
          </xdr:nvSpPr>
          <xdr:spPr>
            <a:xfrm>
              <a:off x="10050247" y="17654568"/>
              <a:ext cx="3327400" cy="749300"/>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𝜹</m:t>
                        </m:r>
                      </m:e>
                      <m: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up>
                    </m:s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m:t>
                    </m:r>
                    <m:limLow>
                      <m:limLowPr>
                        <m:ctrlPr>
                          <a:rPr lang="it-IT" sz="1100" b="1" i="1" dirty="0" smtClean="0">
                            <a:solidFill>
                              <a:schemeClr val="tx1"/>
                            </a:solidFill>
                            <a:latin typeface="Cambria Math" panose="02040503050406030204" pitchFamily="18" charset="0"/>
                            <a:cs typeface="Times New Roman" panose="02020603050405020304" pitchFamily="18" charset="0"/>
                          </a:rPr>
                        </m:ctrlPr>
                      </m:limLowPr>
                      <m:e>
                        <m:groupChr>
                          <m:groupChrPr>
                            <m:chr m:val="⏟"/>
                            <m:ctrlPr>
                              <a:rPr lang="it-IT" sz="1100" b="1" i="1" dirty="0" smtClean="0">
                                <a:solidFill>
                                  <a:schemeClr val="tx1"/>
                                </a:solidFill>
                                <a:latin typeface="Cambria Math" panose="02040503050406030204" pitchFamily="18" charset="0"/>
                                <a:cs typeface="Times New Roman" panose="02020603050405020304" pitchFamily="18" charset="0"/>
                              </a:rPr>
                            </m:ctrlPr>
                          </m:groupChrPr>
                          <m:e>
                            <m:f>
                              <m:f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fPr>
                              <m:num>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𝑽</m:t>
                                </m:r>
                              </m:num>
                              <m:den>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d>
                                      <m:d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d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e>
                                    </m:d>
                                  </m:sup>
                                </m:sSup>
                              </m:den>
                            </m:f>
                          </m:e>
                        </m:groupChr>
                      </m:e>
                      <m:lim>
                        <m:eqArr>
                          <m:eqArrPr>
                            <m:ctrlPr>
                              <a:rPr lang="it-IT" sz="1100" b="1" i="1" dirty="0" smtClean="0">
                                <a:solidFill>
                                  <a:schemeClr val="tx1"/>
                                </a:solidFill>
                                <a:latin typeface="Cambria Math" panose="02040503050406030204" pitchFamily="18" charset="0"/>
                                <a:cs typeface="Times New Roman" panose="02020603050405020304" pitchFamily="18" charset="0"/>
                              </a:rPr>
                            </m:ctrlPr>
                          </m:eqArrPr>
                          <m:e>
                            <m:r>
                              <a:rPr lang="it-IT" sz="1100" b="1" i="1" dirty="0" smtClean="0">
                                <a:solidFill>
                                  <a:schemeClr val="tx1"/>
                                </a:solidFill>
                                <a:latin typeface="Cambria Math" panose="02040503050406030204" pitchFamily="18" charset="0"/>
                                <a:cs typeface="Times New Roman" panose="02020603050405020304" pitchFamily="18" charset="0"/>
                              </a:rPr>
                              <m:t> </m:t>
                            </m:r>
                          </m:e>
                          <m:e>
                            <m:r>
                              <a:rPr lang="it-IT" sz="1100" b="1" i="1" dirty="0" smtClean="0">
                                <a:solidFill>
                                  <a:schemeClr val="tx1"/>
                                </a:solidFill>
                                <a:latin typeface="Cambria Math" panose="02040503050406030204" pitchFamily="18" charset="0"/>
                                <a:cs typeface="Times New Roman" panose="02020603050405020304" pitchFamily="18" charset="0"/>
                              </a:rPr>
                              <m:t> </m:t>
                            </m:r>
                          </m:e>
                          <m:e>
                            <m:r>
                              <a:rPr lang="it-IT" sz="1100" b="1" i="1" dirty="0" smtClean="0">
                                <a:solidFill>
                                  <a:schemeClr val="tx1"/>
                                </a:solidFill>
                                <a:latin typeface="Cambria Math" panose="02040503050406030204" pitchFamily="18" charset="0"/>
                                <a:cs typeface="Times New Roman" panose="02020603050405020304" pitchFamily="18" charset="0"/>
                              </a:rPr>
                              <m:t> </m:t>
                            </m:r>
                          </m:e>
                          <m:e>
                            <m:sSub>
                              <m:sSubPr>
                                <m:ctrlPr>
                                  <a:rPr lang="it-IT" sz="1100" b="1" i="1" dirty="0">
                                    <a:solidFill>
                                      <a:schemeClr val="tx1"/>
                                    </a:solidFill>
                                    <a:latin typeface="Cambria Math" panose="02040503050406030204" pitchFamily="18" charset="0"/>
                                    <a:cs typeface="Times New Roman" panose="02020603050405020304" pitchFamily="18" charset="0"/>
                                  </a:rPr>
                                </m:ctrlPr>
                              </m:sSubPr>
                              <m:e>
                                <m:r>
                                  <a:rPr lang="it-IT" sz="1100" b="1" i="1" dirty="0">
                                    <a:solidFill>
                                      <a:schemeClr val="tx1"/>
                                    </a:solidFill>
                                    <a:latin typeface="Cambria Math" panose="02040503050406030204" pitchFamily="18" charset="0"/>
                                    <a:cs typeface="Times New Roman" panose="02020603050405020304" pitchFamily="18" charset="0"/>
                                  </a:rPr>
                                  <m:t>𝑪</m:t>
                                </m:r>
                              </m:e>
                              <m:sub>
                                <m:r>
                                  <a:rPr lang="it-IT" sz="1100" b="1" i="1" dirty="0">
                                    <a:solidFill>
                                      <a:schemeClr val="tx1"/>
                                    </a:solidFill>
                                    <a:latin typeface="Cambria Math" panose="02040503050406030204" pitchFamily="18" charset="0"/>
                                    <a:cs typeface="Times New Roman" panose="02020603050405020304" pitchFamily="18" charset="0"/>
                                  </a:rPr>
                                  <m:t>𝒊</m:t>
                                </m:r>
                              </m:sub>
                            </m:sSub>
                          </m:e>
                        </m:eqArr>
                      </m:lim>
                    </m:limLow>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d>
                          <m:d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d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e>
                        </m:d>
                      </m:sup>
                    </m:sSup>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en-GB" i="1">
                            <a:solidFill>
                              <a:schemeClr val="tx1"/>
                            </a:solidFill>
                            <a:latin typeface="Cambria Math" panose="02040503050406030204" pitchFamily="18" charset="0"/>
                          </a:rPr>
                        </m:ctrlPr>
                      </m:sSupPr>
                      <m:e>
                        <m:r>
                          <a:rPr lang="it-IT" b="0" i="1">
                            <a:solidFill>
                              <a:schemeClr val="tx1"/>
                            </a:solidFill>
                            <a:latin typeface="Cambria Math" panose="02040503050406030204" pitchFamily="18" charset="0"/>
                          </a:rPr>
                          <m:t>𝑃𝑉</m:t>
                        </m:r>
                      </m:e>
                      <m:sup>
                        <m:d>
                          <m:dPr>
                            <m:ctrlPr>
                              <a:rPr lang="it-IT" b="0" i="1">
                                <a:solidFill>
                                  <a:schemeClr val="tx1"/>
                                </a:solidFill>
                                <a:latin typeface="Cambria Math" panose="02040503050406030204" pitchFamily="18" charset="0"/>
                              </a:rPr>
                            </m:ctrlPr>
                          </m:dPr>
                          <m:e>
                            <m:r>
                              <a:rPr lang="it-IT" b="0" i="1">
                                <a:solidFill>
                                  <a:schemeClr val="tx1"/>
                                </a:solidFill>
                                <a:latin typeface="Cambria Math" panose="02040503050406030204" pitchFamily="18" charset="0"/>
                              </a:rPr>
                              <m:t>𝑖</m:t>
                            </m:r>
                          </m:e>
                        </m:d>
                      </m:sup>
                    </m:sSup>
                    <m:r>
                      <a:rPr lang="it-IT" sz="1100" b="1" i="1" dirty="0" smtClean="0">
                        <a:solidFill>
                          <a:schemeClr val="tx1"/>
                        </a:solidFill>
                        <a:latin typeface="Cambria Math" panose="02040503050406030204" pitchFamily="18" charset="0"/>
                        <a:cs typeface="Times New Roman" panose="02020603050405020304" pitchFamily="18" charset="0"/>
                      </a:rPr>
                      <m:t> </m:t>
                    </m:r>
                  </m:oMath>
                </m:oMathPara>
              </a14:m>
              <a:endParaRPr lang="en-GB">
                <a:solidFill>
                  <a:schemeClr val="tx1"/>
                </a:solidFill>
                <a:effectLst/>
              </a:endParaRPr>
            </a:p>
          </xdr:txBody>
        </xdr:sp>
      </mc:Choice>
      <mc:Fallback xmlns="">
        <xdr:sp macro="" textlink="">
          <xdr:nvSpPr>
            <xdr:cNvPr id="9" name="Rectangle: Rounded Corners 1">
              <a:extLst>
                <a:ext uri="{FF2B5EF4-FFF2-40B4-BE49-F238E27FC236}">
                  <a16:creationId xmlns:a16="http://schemas.microsoft.com/office/drawing/2014/main" id="{61222521-FD63-7948-A7A5-ECD65B990B46}"/>
                </a:ext>
              </a:extLst>
            </xdr:cNvPr>
            <xdr:cNvSpPr/>
          </xdr:nvSpPr>
          <xdr:spPr>
            <a:xfrm>
              <a:off x="10050247" y="17654568"/>
              <a:ext cx="3327400" cy="749300"/>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𝜹^((𝒊))= </a:t>
              </a:r>
              <a:r>
                <a:rPr lang="it-IT" sz="1100" b="1" i="0" dirty="0">
                  <a:solidFill>
                    <a:schemeClr val="tx1"/>
                  </a:solidFill>
                  <a:latin typeface="Cambria Math" panose="02040503050406030204" pitchFamily="18" charset="0"/>
                  <a:cs typeface="Times New Roman" panose="02020603050405020304" pitchFamily="18" charset="0"/>
                </a:rPr>
                <a:t>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 𝝏𝑽/(𝝏𝑷^((𝒊) ) ))┬█(</a:t>
              </a:r>
              <a:r>
                <a:rPr lang="it-IT" sz="1100" b="1" i="0" dirty="0">
                  <a:solidFill>
                    <a:schemeClr val="tx1"/>
                  </a:solidFill>
                  <a:latin typeface="Cambria Math" panose="02040503050406030204" pitchFamily="18" charset="0"/>
                  <a:cs typeface="Times New Roman" panose="02020603050405020304" pitchFamily="18" charset="0"/>
                </a:rPr>
                <a:t> @ @ @𝑪_𝒊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×𝑷^((𝒊) )=</a:t>
              </a:r>
              <a:r>
                <a:rPr lang="en-GB" i="0">
                  <a:solidFill>
                    <a:schemeClr val="tx1"/>
                  </a:solidFill>
                  <a:latin typeface="Cambria Math" panose="02040503050406030204" pitchFamily="18" charset="0"/>
                </a:rPr>
                <a:t>〖</a:t>
              </a:r>
              <a:r>
                <a:rPr lang="it-IT" b="0" i="0">
                  <a:solidFill>
                    <a:schemeClr val="tx1"/>
                  </a:solidFill>
                  <a:latin typeface="Cambria Math" panose="02040503050406030204" pitchFamily="18" charset="0"/>
                </a:rPr>
                <a:t>𝑃𝑉</a:t>
              </a:r>
              <a:r>
                <a:rPr lang="en-GB" b="0" i="0">
                  <a:solidFill>
                    <a:schemeClr val="tx1"/>
                  </a:solidFill>
                  <a:latin typeface="Cambria Math" panose="02040503050406030204" pitchFamily="18" charset="0"/>
                </a:rPr>
                <a:t>〗^(</a:t>
              </a:r>
              <a:r>
                <a:rPr lang="it-IT" b="0" i="0">
                  <a:solidFill>
                    <a:schemeClr val="tx1"/>
                  </a:solidFill>
                  <a:latin typeface="Cambria Math" panose="02040503050406030204" pitchFamily="18" charset="0"/>
                </a:rPr>
                <a:t>(𝑖) </a:t>
              </a:r>
              <a:r>
                <a:rPr lang="en-GB" b="0" i="0">
                  <a:solidFill>
                    <a:schemeClr val="tx1"/>
                  </a:solidFill>
                  <a:latin typeface="Cambria Math" panose="02040503050406030204" pitchFamily="18" charset="0"/>
                </a:rPr>
                <a:t>)</a:t>
              </a:r>
              <a:r>
                <a:rPr lang="it-IT" sz="1100" b="1" i="0" dirty="0">
                  <a:solidFill>
                    <a:schemeClr val="tx1"/>
                  </a:solidFill>
                  <a:latin typeface="Cambria Math" panose="02040503050406030204" pitchFamily="18" charset="0"/>
                </a:rPr>
                <a:t> </a:t>
              </a:r>
              <a:r>
                <a:rPr lang="it-IT" sz="1100" b="1" i="0" dirty="0">
                  <a:solidFill>
                    <a:schemeClr val="tx1"/>
                  </a:solidFill>
                  <a:latin typeface="Cambria Math" panose="02040503050406030204" pitchFamily="18" charset="0"/>
                  <a:cs typeface="Times New Roman" panose="02020603050405020304" pitchFamily="18" charset="0"/>
                </a:rPr>
                <a:t> </a:t>
              </a:r>
              <a:endParaRPr lang="en-GB">
                <a:solidFill>
                  <a:schemeClr val="tx1"/>
                </a:solidFill>
                <a:effectLst/>
              </a:endParaRP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absolute">
    <xdr:from>
      <xdr:col>31</xdr:col>
      <xdr:colOff>512429</xdr:colOff>
      <xdr:row>129</xdr:row>
      <xdr:rowOff>123765</xdr:rowOff>
    </xdr:from>
    <xdr:to>
      <xdr:col>42</xdr:col>
      <xdr:colOff>15252</xdr:colOff>
      <xdr:row>149</xdr:row>
      <xdr:rowOff>143244</xdr:rowOff>
    </xdr:to>
    <xdr:graphicFrame macro="">
      <xdr:nvGraphicFramePr>
        <xdr:cNvPr id="4" name="Grafico 1">
          <a:extLst>
            <a:ext uri="{FF2B5EF4-FFF2-40B4-BE49-F238E27FC236}">
              <a16:creationId xmlns:a16="http://schemas.microsoft.com/office/drawing/2014/main" id="{0794C8C0-6A0A-40AD-AE79-0770A92B2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119</xdr:row>
      <xdr:rowOff>0</xdr:rowOff>
    </xdr:from>
    <xdr:to>
      <xdr:col>7</xdr:col>
      <xdr:colOff>1127312</xdr:colOff>
      <xdr:row>122</xdr:row>
      <xdr:rowOff>50800</xdr:rowOff>
    </xdr:to>
    <mc:AlternateContent xmlns:mc="http://schemas.openxmlformats.org/markup-compatibility/2006" xmlns:a14="http://schemas.microsoft.com/office/drawing/2010/main">
      <mc:Choice Requires="a14">
        <xdr:sp macro="" textlink="">
          <xdr:nvSpPr>
            <xdr:cNvPr id="31" name="Rectangle: Rounded Corners 1">
              <a:extLst>
                <a:ext uri="{FF2B5EF4-FFF2-40B4-BE49-F238E27FC236}">
                  <a16:creationId xmlns:a16="http://schemas.microsoft.com/office/drawing/2014/main" id="{4F4F9A6C-1A65-422B-AB22-4559DD6A48CB}"/>
                </a:ext>
              </a:extLst>
            </xdr:cNvPr>
            <xdr:cNvSpPr/>
          </xdr:nvSpPr>
          <xdr:spPr>
            <a:xfrm>
              <a:off x="6079067" y="25620133"/>
              <a:ext cx="3802778" cy="762000"/>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it-IT" sz="1100" b="1" i="1" dirty="0">
                <a:solidFill>
                  <a:schemeClr val="tx1"/>
                </a:solidFill>
                <a:latin typeface="Cambria Math" panose="020405030504060302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𝑽𝒂𝒓</m:t>
                        </m:r>
                      </m:e>
                      <m:sub>
                        <m:r>
                          <a:rPr lang="it-IT" sz="1100" b="1" i="1" dirty="0" smtClean="0">
                            <a:solidFill>
                              <a:schemeClr val="tx1"/>
                            </a:solidFill>
                            <a:latin typeface="Cambria Math" panose="02040503050406030204" pitchFamily="18" charset="0"/>
                            <a:cs typeface="Times New Roman" panose="02020603050405020304" pitchFamily="18" charset="0"/>
                          </a:rPr>
                          <m:t>𝒑</m:t>
                        </m:r>
                      </m:sub>
                    </m:sSub>
                    <m:r>
                      <a:rPr lang="it-IT" sz="1100" b="1" i="1" dirty="0" smtClean="0">
                        <a:solidFill>
                          <a:schemeClr val="tx1"/>
                        </a:solidFill>
                        <a:latin typeface="Cambria Math" panose="02040503050406030204" pitchFamily="18" charset="0"/>
                        <a:cs typeface="Times New Roman" panose="02020603050405020304" pitchFamily="18" charset="0"/>
                      </a:rPr>
                      <m:t>=</m:t>
                    </m:r>
                    <m:d>
                      <m:dPr>
                        <m:begChr m:val="|"/>
                        <m:endChr m:val="|"/>
                        <m:ctrlPr>
                          <a:rPr lang="it-IT" sz="1100" b="1" i="1" dirty="0" smtClean="0">
                            <a:solidFill>
                              <a:schemeClr val="tx1"/>
                            </a:solidFill>
                            <a:latin typeface="Cambria Math" panose="02040503050406030204" pitchFamily="18" charset="0"/>
                            <a:cs typeface="Times New Roman" panose="02020603050405020304" pitchFamily="18" charset="0"/>
                          </a:rPr>
                        </m:ctrlPr>
                      </m:dPr>
                      <m:e>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f>
                          <m:fPr>
                            <m:ctrlPr>
                              <a:rPr lang="it-IT" sz="1100" b="1" i="1" dirty="0" smtClean="0">
                                <a:solidFill>
                                  <a:schemeClr val="tx1"/>
                                </a:solidFill>
                                <a:latin typeface="Cambria Math" panose="02040503050406030204" pitchFamily="18" charset="0"/>
                                <a:cs typeface="Times New Roman" panose="02020603050405020304" pitchFamily="18" charset="0"/>
                              </a:rPr>
                            </m:ctrlPr>
                          </m:fPr>
                          <m:num>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cs typeface="Times New Roman" panose="02020603050405020304" pitchFamily="18" charset="0"/>
                              </a:rPr>
                              <m:t>𝒑</m:t>
                            </m:r>
                          </m:num>
                          <m:den>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den>
                        </m:f>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f>
                          <m:fPr>
                            <m:ctrlPr>
                              <a:rPr lang="it-IT" sz="1100" b="1" i="1" dirty="0" smtClean="0">
                                <a:solidFill>
                                  <a:schemeClr val="tx1"/>
                                </a:solidFill>
                                <a:latin typeface="Cambria Math" panose="02040503050406030204" pitchFamily="18" charset="0"/>
                                <a:cs typeface="Times New Roman" panose="02020603050405020304" pitchFamily="18" charset="0"/>
                              </a:rPr>
                            </m:ctrlPr>
                          </m:fPr>
                          <m:num>
                            <m:r>
                              <a:rPr lang="it-IT" sz="1100" b="1" i="1" dirty="0" smtClean="0">
                                <a:solidFill>
                                  <a:schemeClr val="tx1"/>
                                </a:solidFill>
                                <a:latin typeface="Cambria Math" panose="02040503050406030204" pitchFamily="18" charset="0"/>
                                <a:cs typeface="Times New Roman" panose="02020603050405020304" pitchFamily="18" charset="0"/>
                              </a:rPr>
                              <m:t>𝒑</m:t>
                            </m:r>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num>
                          <m:den>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den>
                        </m:f>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u="none" strike="noStrike">
                                <a:solidFill>
                                  <a:schemeClr val="tx1"/>
                                </a:solidFill>
                                <a:effectLst/>
                                <a:latin typeface="Cambria Math" panose="02040503050406030204" pitchFamily="18" charset="0"/>
                                <a:ea typeface="+mn-ea"/>
                                <a:cs typeface="+mn-cs"/>
                              </a:rPr>
                            </m:ctrlPr>
                          </m:sSub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𝝁</m:t>
                            </m:r>
                          </m:e>
                          <m: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sub>
                        </m:sSub>
                      </m:e>
                    </m:d>
                    <m:r>
                      <a:rPr lang="it-IT" sz="1100" b="1" i="1" dirty="0" smtClean="0">
                        <a:solidFill>
                          <a:schemeClr val="tx1"/>
                        </a:solidFill>
                        <a:latin typeface="Cambria Math" panose="02040503050406030204" pitchFamily="18" charset="0"/>
                        <a:cs typeface="Times New Roman" panose="02020603050405020304" pitchFamily="18" charset="0"/>
                      </a:rPr>
                      <m:t> </m:t>
                    </m:r>
                  </m:oMath>
                </m:oMathPara>
              </a14:m>
              <a:endParaRPr lang="en-GB">
                <a:solidFill>
                  <a:schemeClr val="tx1"/>
                </a:solidFill>
                <a:effectLst/>
              </a:endParaRPr>
            </a:p>
          </xdr:txBody>
        </xdr:sp>
      </mc:Choice>
      <mc:Fallback xmlns="">
        <xdr:sp macro="" textlink="">
          <xdr:nvSpPr>
            <xdr:cNvPr id="21" name="Rectangle: Rounded Corners 1">
              <a:extLst>
                <a:ext uri="{FF2B5EF4-FFF2-40B4-BE49-F238E27FC236}">
                  <a16:creationId xmlns:a16="http://schemas.microsoft.com/office/drawing/2014/main" id="{4F4F9A6C-1A65-422B-AB22-4559DD6A48CB}"/>
                </a:ext>
              </a:extLst>
            </xdr:cNvPr>
            <xdr:cNvSpPr/>
          </xdr:nvSpPr>
          <xdr:spPr>
            <a:xfrm>
              <a:off x="6079067" y="25620133"/>
              <a:ext cx="3802778" cy="762000"/>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it-IT" sz="1100" b="1" i="1" dirty="0">
                <a:solidFill>
                  <a:schemeClr val="tx1"/>
                </a:solidFill>
                <a:latin typeface="Cambria Math" panose="020405030504060302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cs typeface="Times New Roman" panose="02020603050405020304" pitchFamily="18" charset="0"/>
                </a:rPr>
                <a:t>〖𝑽𝒂𝒓〗_𝒑=|𝒙_𝟏</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𝟐−𝒑)/(</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 )+𝒙_𝟐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a:t>
              </a:r>
              <a:r>
                <a:rPr lang="it-IT" sz="1100" b="1" i="0" dirty="0">
                  <a:solidFill>
                    <a:schemeClr val="tx1"/>
                  </a:solidFill>
                  <a:latin typeface="Cambria Math" panose="02040503050406030204" pitchFamily="18" charset="0"/>
                  <a:cs typeface="Times New Roman" panose="02020603050405020304" pitchFamily="18" charset="0"/>
                </a:rPr>
                <a:t>𝒑−</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 )−</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𝝁</a:t>
              </a:r>
              <a:r>
                <a:rPr lang="it-IT" sz="1100" b="1" i="0" u="none" strike="noStrike">
                  <a:solidFill>
                    <a:schemeClr val="tx1"/>
                  </a:solidFill>
                  <a:effectLst/>
                  <a:latin typeface="Cambria Math" panose="02040503050406030204" pitchFamily="18" charset="0"/>
                  <a:ea typeface="+mn-ea"/>
                  <a:cs typeface="+mn-cs"/>
                </a:rPr>
                <a:t>_</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 |  </a:t>
              </a:r>
              <a:endParaRPr lang="en-GB">
                <a:solidFill>
                  <a:schemeClr val="tx1"/>
                </a:solidFill>
                <a:effectLst/>
              </a:endParaRPr>
            </a:p>
          </xdr:txBody>
        </xdr:sp>
      </mc:Fallback>
    </mc:AlternateContent>
    <xdr:clientData/>
  </xdr:twoCellAnchor>
  <xdr:twoCellAnchor>
    <xdr:from>
      <xdr:col>8</xdr:col>
      <xdr:colOff>0</xdr:colOff>
      <xdr:row>84</xdr:row>
      <xdr:rowOff>0</xdr:rowOff>
    </xdr:from>
    <xdr:to>
      <xdr:col>11</xdr:col>
      <xdr:colOff>59267</xdr:colOff>
      <xdr:row>87</xdr:row>
      <xdr:rowOff>88900</xdr:rowOff>
    </xdr:to>
    <mc:AlternateContent xmlns:mc="http://schemas.openxmlformats.org/markup-compatibility/2006" xmlns:a14="http://schemas.microsoft.com/office/drawing/2010/main">
      <mc:Choice Requires="a14">
        <xdr:sp macro="" textlink="">
          <xdr:nvSpPr>
            <xdr:cNvPr id="32" name="Rectangle: Rounded Corners 1">
              <a:extLst>
                <a:ext uri="{FF2B5EF4-FFF2-40B4-BE49-F238E27FC236}">
                  <a16:creationId xmlns:a16="http://schemas.microsoft.com/office/drawing/2014/main" id="{3B06C1F2-C8DF-6C48-BA00-0E9D2469B12D}"/>
                </a:ext>
              </a:extLst>
            </xdr:cNvPr>
            <xdr:cNvSpPr/>
          </xdr:nvSpPr>
          <xdr:spPr>
            <a:xfrm>
              <a:off x="10092267" y="17864667"/>
              <a:ext cx="3327400" cy="749300"/>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𝜹</m:t>
                        </m:r>
                      </m:e>
                      <m: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up>
                    </m:s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m:t>
                    </m:r>
                    <m:limLow>
                      <m:limLowPr>
                        <m:ctrlPr>
                          <a:rPr lang="it-IT" sz="1100" b="1" i="1" dirty="0" smtClean="0">
                            <a:solidFill>
                              <a:schemeClr val="tx1"/>
                            </a:solidFill>
                            <a:latin typeface="Cambria Math" panose="02040503050406030204" pitchFamily="18" charset="0"/>
                            <a:cs typeface="Times New Roman" panose="02020603050405020304" pitchFamily="18" charset="0"/>
                          </a:rPr>
                        </m:ctrlPr>
                      </m:limLowPr>
                      <m:e>
                        <m:groupChr>
                          <m:groupChrPr>
                            <m:chr m:val="⏟"/>
                            <m:ctrlPr>
                              <a:rPr lang="it-IT" sz="1100" b="1" i="1" dirty="0" smtClean="0">
                                <a:solidFill>
                                  <a:schemeClr val="tx1"/>
                                </a:solidFill>
                                <a:latin typeface="Cambria Math" panose="02040503050406030204" pitchFamily="18" charset="0"/>
                                <a:cs typeface="Times New Roman" panose="02020603050405020304" pitchFamily="18" charset="0"/>
                              </a:rPr>
                            </m:ctrlPr>
                          </m:groupChrPr>
                          <m:e>
                            <m:f>
                              <m:f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fPr>
                              <m:num>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𝑽</m:t>
                                </m:r>
                              </m:num>
                              <m:den>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d>
                                      <m:d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d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e>
                                    </m:d>
                                  </m:sup>
                                </m:sSup>
                              </m:den>
                            </m:f>
                          </m:e>
                        </m:groupChr>
                      </m:e>
                      <m:lim>
                        <m:eqArr>
                          <m:eqArrPr>
                            <m:ctrlPr>
                              <a:rPr lang="it-IT" sz="1100" b="1" i="1" dirty="0" smtClean="0">
                                <a:solidFill>
                                  <a:schemeClr val="tx1"/>
                                </a:solidFill>
                                <a:latin typeface="Cambria Math" panose="02040503050406030204" pitchFamily="18" charset="0"/>
                                <a:cs typeface="Times New Roman" panose="02020603050405020304" pitchFamily="18" charset="0"/>
                              </a:rPr>
                            </m:ctrlPr>
                          </m:eqArrPr>
                          <m:e>
                            <m:r>
                              <a:rPr lang="it-IT" sz="1100" b="1" i="1" dirty="0" smtClean="0">
                                <a:solidFill>
                                  <a:schemeClr val="tx1"/>
                                </a:solidFill>
                                <a:latin typeface="Cambria Math" panose="02040503050406030204" pitchFamily="18" charset="0"/>
                                <a:cs typeface="Times New Roman" panose="02020603050405020304" pitchFamily="18" charset="0"/>
                              </a:rPr>
                              <m:t> </m:t>
                            </m:r>
                          </m:e>
                          <m:e>
                            <m:r>
                              <a:rPr lang="it-IT" sz="1100" b="1" i="1" dirty="0" smtClean="0">
                                <a:solidFill>
                                  <a:schemeClr val="tx1"/>
                                </a:solidFill>
                                <a:latin typeface="Cambria Math" panose="02040503050406030204" pitchFamily="18" charset="0"/>
                                <a:cs typeface="Times New Roman" panose="02020603050405020304" pitchFamily="18" charset="0"/>
                              </a:rPr>
                              <m:t> </m:t>
                            </m:r>
                          </m:e>
                          <m:e>
                            <m:r>
                              <a:rPr lang="it-IT" sz="1100" b="1" i="1" dirty="0" smtClean="0">
                                <a:solidFill>
                                  <a:schemeClr val="tx1"/>
                                </a:solidFill>
                                <a:latin typeface="Cambria Math" panose="02040503050406030204" pitchFamily="18" charset="0"/>
                                <a:cs typeface="Times New Roman" panose="02020603050405020304" pitchFamily="18" charset="0"/>
                              </a:rPr>
                              <m:t> </m:t>
                            </m:r>
                          </m:e>
                          <m:e>
                            <m:sSub>
                              <m:sSubPr>
                                <m:ctrlPr>
                                  <a:rPr lang="it-IT" sz="1100" b="1" i="1" dirty="0">
                                    <a:solidFill>
                                      <a:schemeClr val="tx1"/>
                                    </a:solidFill>
                                    <a:latin typeface="Cambria Math" panose="02040503050406030204" pitchFamily="18" charset="0"/>
                                    <a:cs typeface="Times New Roman" panose="02020603050405020304" pitchFamily="18" charset="0"/>
                                  </a:rPr>
                                </m:ctrlPr>
                              </m:sSubPr>
                              <m:e>
                                <m:r>
                                  <a:rPr lang="it-IT" sz="1100" b="1" i="1" dirty="0">
                                    <a:solidFill>
                                      <a:schemeClr val="tx1"/>
                                    </a:solidFill>
                                    <a:latin typeface="Cambria Math" panose="02040503050406030204" pitchFamily="18" charset="0"/>
                                    <a:cs typeface="Times New Roman" panose="02020603050405020304" pitchFamily="18" charset="0"/>
                                  </a:rPr>
                                  <m:t>𝑪</m:t>
                                </m:r>
                              </m:e>
                              <m:sub>
                                <m:r>
                                  <a:rPr lang="it-IT" sz="1100" b="1" i="1" dirty="0">
                                    <a:solidFill>
                                      <a:schemeClr val="tx1"/>
                                    </a:solidFill>
                                    <a:latin typeface="Cambria Math" panose="02040503050406030204" pitchFamily="18" charset="0"/>
                                    <a:cs typeface="Times New Roman" panose="02020603050405020304" pitchFamily="18" charset="0"/>
                                  </a:rPr>
                                  <m:t>𝒊</m:t>
                                </m:r>
                              </m:sub>
                            </m:sSub>
                          </m:e>
                        </m:eqArr>
                      </m:lim>
                    </m:limLow>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d>
                          <m:d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d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e>
                        </m:d>
                      </m:sup>
                    </m:sSup>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en-GB" i="1">
                            <a:solidFill>
                              <a:schemeClr val="tx1"/>
                            </a:solidFill>
                            <a:latin typeface="Cambria Math" panose="02040503050406030204" pitchFamily="18" charset="0"/>
                          </a:rPr>
                        </m:ctrlPr>
                      </m:sSupPr>
                      <m:e>
                        <m:r>
                          <a:rPr lang="it-IT" b="0" i="1">
                            <a:solidFill>
                              <a:schemeClr val="tx1"/>
                            </a:solidFill>
                            <a:latin typeface="Cambria Math" panose="02040503050406030204" pitchFamily="18" charset="0"/>
                          </a:rPr>
                          <m:t>𝑃𝑉</m:t>
                        </m:r>
                      </m:e>
                      <m:sup>
                        <m:d>
                          <m:dPr>
                            <m:ctrlPr>
                              <a:rPr lang="it-IT" b="0" i="1">
                                <a:solidFill>
                                  <a:schemeClr val="tx1"/>
                                </a:solidFill>
                                <a:latin typeface="Cambria Math" panose="02040503050406030204" pitchFamily="18" charset="0"/>
                              </a:rPr>
                            </m:ctrlPr>
                          </m:dPr>
                          <m:e>
                            <m:r>
                              <a:rPr lang="it-IT" b="0" i="1">
                                <a:solidFill>
                                  <a:schemeClr val="tx1"/>
                                </a:solidFill>
                                <a:latin typeface="Cambria Math" panose="02040503050406030204" pitchFamily="18" charset="0"/>
                              </a:rPr>
                              <m:t>𝑖</m:t>
                            </m:r>
                          </m:e>
                        </m:d>
                      </m:sup>
                    </m:sSup>
                    <m:r>
                      <a:rPr lang="it-IT" sz="1100" b="1" i="1" dirty="0" smtClean="0">
                        <a:solidFill>
                          <a:schemeClr val="tx1"/>
                        </a:solidFill>
                        <a:latin typeface="Cambria Math" panose="02040503050406030204" pitchFamily="18" charset="0"/>
                        <a:cs typeface="Times New Roman" panose="02020603050405020304" pitchFamily="18" charset="0"/>
                      </a:rPr>
                      <m:t> </m:t>
                    </m:r>
                  </m:oMath>
                </m:oMathPara>
              </a14:m>
              <a:endParaRPr lang="en-GB">
                <a:solidFill>
                  <a:schemeClr val="tx1"/>
                </a:solidFill>
                <a:effectLst/>
              </a:endParaRPr>
            </a:p>
          </xdr:txBody>
        </xdr:sp>
      </mc:Choice>
      <mc:Fallback xmlns="">
        <xdr:sp macro="" textlink="">
          <xdr:nvSpPr>
            <xdr:cNvPr id="32" name="Rectangle: Rounded Corners 1">
              <a:extLst>
                <a:ext uri="{FF2B5EF4-FFF2-40B4-BE49-F238E27FC236}">
                  <a16:creationId xmlns:a16="http://schemas.microsoft.com/office/drawing/2014/main" id="{3B06C1F2-C8DF-6C48-BA00-0E9D2469B12D}"/>
                </a:ext>
              </a:extLst>
            </xdr:cNvPr>
            <xdr:cNvSpPr/>
          </xdr:nvSpPr>
          <xdr:spPr>
            <a:xfrm>
              <a:off x="10092267" y="17864667"/>
              <a:ext cx="3327400" cy="749300"/>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𝜹^((𝒊))= </a:t>
              </a:r>
              <a:r>
                <a:rPr lang="it-IT" sz="1100" b="1" i="0" dirty="0">
                  <a:solidFill>
                    <a:schemeClr val="tx1"/>
                  </a:solidFill>
                  <a:latin typeface="Cambria Math" panose="02040503050406030204" pitchFamily="18" charset="0"/>
                  <a:cs typeface="Times New Roman" panose="02020603050405020304" pitchFamily="18" charset="0"/>
                </a:rPr>
                <a:t>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 𝝏𝑽/(𝝏𝑷^((𝒊) ) ))┬█(</a:t>
              </a:r>
              <a:r>
                <a:rPr lang="it-IT" sz="1100" b="1" i="0" dirty="0">
                  <a:solidFill>
                    <a:schemeClr val="tx1"/>
                  </a:solidFill>
                  <a:latin typeface="Cambria Math" panose="02040503050406030204" pitchFamily="18" charset="0"/>
                  <a:cs typeface="Times New Roman" panose="02020603050405020304" pitchFamily="18" charset="0"/>
                </a:rPr>
                <a:t> @ @ @𝑪_𝒊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×𝑷^((𝒊) )=</a:t>
              </a:r>
              <a:r>
                <a:rPr lang="en-GB" i="0">
                  <a:solidFill>
                    <a:schemeClr val="tx1"/>
                  </a:solidFill>
                  <a:latin typeface="Cambria Math" panose="02040503050406030204" pitchFamily="18" charset="0"/>
                </a:rPr>
                <a:t>〖</a:t>
              </a:r>
              <a:r>
                <a:rPr lang="it-IT" b="0" i="0">
                  <a:solidFill>
                    <a:schemeClr val="tx1"/>
                  </a:solidFill>
                  <a:latin typeface="Cambria Math" panose="02040503050406030204" pitchFamily="18" charset="0"/>
                </a:rPr>
                <a:t>𝑃𝑉</a:t>
              </a:r>
              <a:r>
                <a:rPr lang="en-GB" b="0" i="0">
                  <a:solidFill>
                    <a:schemeClr val="tx1"/>
                  </a:solidFill>
                  <a:latin typeface="Cambria Math" panose="02040503050406030204" pitchFamily="18" charset="0"/>
                </a:rPr>
                <a:t>〗^(</a:t>
              </a:r>
              <a:r>
                <a:rPr lang="it-IT" b="0" i="0">
                  <a:solidFill>
                    <a:schemeClr val="tx1"/>
                  </a:solidFill>
                  <a:latin typeface="Cambria Math" panose="02040503050406030204" pitchFamily="18" charset="0"/>
                </a:rPr>
                <a:t>(𝑖) </a:t>
              </a:r>
              <a:r>
                <a:rPr lang="en-GB" b="0" i="0">
                  <a:solidFill>
                    <a:schemeClr val="tx1"/>
                  </a:solidFill>
                  <a:latin typeface="Cambria Math" panose="02040503050406030204" pitchFamily="18" charset="0"/>
                </a:rPr>
                <a:t>)</a:t>
              </a:r>
              <a:r>
                <a:rPr lang="it-IT" sz="1100" b="1" i="0" dirty="0">
                  <a:solidFill>
                    <a:schemeClr val="tx1"/>
                  </a:solidFill>
                  <a:latin typeface="Cambria Math" panose="02040503050406030204" pitchFamily="18" charset="0"/>
                </a:rPr>
                <a:t> </a:t>
              </a:r>
              <a:r>
                <a:rPr lang="it-IT" sz="1100" b="1" i="0" dirty="0">
                  <a:solidFill>
                    <a:schemeClr val="tx1"/>
                  </a:solidFill>
                  <a:latin typeface="Cambria Math" panose="02040503050406030204" pitchFamily="18" charset="0"/>
                  <a:cs typeface="Times New Roman" panose="02020603050405020304" pitchFamily="18" charset="0"/>
                </a:rPr>
                <a:t> </a:t>
              </a:r>
              <a:endParaRPr lang="en-GB">
                <a:solidFill>
                  <a:schemeClr val="tx1"/>
                </a:solidFill>
                <a:effectLst/>
              </a:endParaRP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absolute">
    <xdr:from>
      <xdr:col>32</xdr:col>
      <xdr:colOff>288014</xdr:colOff>
      <xdr:row>130</xdr:row>
      <xdr:rowOff>80929</xdr:rowOff>
    </xdr:from>
    <xdr:to>
      <xdr:col>41</xdr:col>
      <xdr:colOff>340303</xdr:colOff>
      <xdr:row>149</xdr:row>
      <xdr:rowOff>239385</xdr:rowOff>
    </xdr:to>
    <xdr:graphicFrame macro="">
      <xdr:nvGraphicFramePr>
        <xdr:cNvPr id="46" name="Grafico 1">
          <a:extLst>
            <a:ext uri="{FF2B5EF4-FFF2-40B4-BE49-F238E27FC236}">
              <a16:creationId xmlns:a16="http://schemas.microsoft.com/office/drawing/2014/main" id="{FA12515F-A1CD-4A1E-A0FE-D3B471ACB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908538</xdr:colOff>
      <xdr:row>120</xdr:row>
      <xdr:rowOff>153866</xdr:rowOff>
    </xdr:from>
    <xdr:to>
      <xdr:col>7</xdr:col>
      <xdr:colOff>865008</xdr:colOff>
      <xdr:row>124</xdr:row>
      <xdr:rowOff>33867</xdr:rowOff>
    </xdr:to>
    <mc:AlternateContent xmlns:mc="http://schemas.openxmlformats.org/markup-compatibility/2006" xmlns:a14="http://schemas.microsoft.com/office/drawing/2010/main">
      <mc:Choice Requires="a14">
        <xdr:sp macro="" textlink="">
          <xdr:nvSpPr>
            <xdr:cNvPr id="43" name="Rectangle: Rounded Corners 1">
              <a:extLst>
                <a:ext uri="{FF2B5EF4-FFF2-40B4-BE49-F238E27FC236}">
                  <a16:creationId xmlns:a16="http://schemas.microsoft.com/office/drawing/2014/main" id="{6975FDE3-0C08-4CE5-8A2F-A1B8BFF6EEAE}"/>
                </a:ext>
              </a:extLst>
            </xdr:cNvPr>
            <xdr:cNvSpPr/>
          </xdr:nvSpPr>
          <xdr:spPr>
            <a:xfrm>
              <a:off x="5649871" y="26129599"/>
              <a:ext cx="3969670" cy="794401"/>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it-IT" sz="1100" b="1" i="1" dirty="0">
                <a:solidFill>
                  <a:schemeClr val="tx1"/>
                </a:solidFill>
                <a:latin typeface="Cambria Math" panose="020405030504060302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𝑽𝒂𝒓</m:t>
                        </m:r>
                      </m:e>
                      <m:sub>
                        <m:r>
                          <a:rPr lang="it-IT" sz="1100" b="1" i="1" dirty="0" smtClean="0">
                            <a:solidFill>
                              <a:schemeClr val="tx1"/>
                            </a:solidFill>
                            <a:latin typeface="Cambria Math" panose="02040503050406030204" pitchFamily="18" charset="0"/>
                            <a:cs typeface="Times New Roman" panose="02020603050405020304" pitchFamily="18" charset="0"/>
                          </a:rPr>
                          <m:t>𝒑</m:t>
                        </m:r>
                      </m:sub>
                    </m:sSub>
                    <m:r>
                      <a:rPr lang="it-IT" sz="1100" b="1" i="1" dirty="0" smtClean="0">
                        <a:solidFill>
                          <a:schemeClr val="tx1"/>
                        </a:solidFill>
                        <a:latin typeface="Cambria Math" panose="02040503050406030204" pitchFamily="18" charset="0"/>
                        <a:cs typeface="Times New Roman" panose="02020603050405020304" pitchFamily="18" charset="0"/>
                      </a:rPr>
                      <m:t>=</m:t>
                    </m:r>
                    <m:d>
                      <m:dPr>
                        <m:begChr m:val="|"/>
                        <m:endChr m:val="|"/>
                        <m:ctrlPr>
                          <a:rPr lang="it-IT" sz="1100" b="1" i="1" dirty="0" smtClean="0">
                            <a:solidFill>
                              <a:schemeClr val="tx1"/>
                            </a:solidFill>
                            <a:latin typeface="Cambria Math" panose="02040503050406030204" pitchFamily="18" charset="0"/>
                            <a:cs typeface="Times New Roman" panose="02020603050405020304" pitchFamily="18" charset="0"/>
                          </a:rPr>
                        </m:ctrlPr>
                      </m:dPr>
                      <m:e>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f>
                          <m:fPr>
                            <m:ctrlPr>
                              <a:rPr lang="it-IT" sz="1100" b="1" i="1" dirty="0" smtClean="0">
                                <a:solidFill>
                                  <a:schemeClr val="tx1"/>
                                </a:solidFill>
                                <a:latin typeface="Cambria Math" panose="02040503050406030204" pitchFamily="18" charset="0"/>
                                <a:cs typeface="Times New Roman" panose="02020603050405020304" pitchFamily="18" charset="0"/>
                              </a:rPr>
                            </m:ctrlPr>
                          </m:fPr>
                          <m:num>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cs typeface="Times New Roman" panose="02020603050405020304" pitchFamily="18" charset="0"/>
                              </a:rPr>
                              <m:t>𝒑</m:t>
                            </m:r>
                          </m:num>
                          <m:den>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den>
                        </m:f>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cs typeface="Times New Roman" panose="02020603050405020304" pitchFamily="18" charset="0"/>
                              </a:rPr>
                              <m:t>𝒙</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f>
                          <m:fPr>
                            <m:ctrlPr>
                              <a:rPr lang="it-IT" sz="1100" b="1" i="1" dirty="0" smtClean="0">
                                <a:solidFill>
                                  <a:schemeClr val="tx1"/>
                                </a:solidFill>
                                <a:latin typeface="Cambria Math" panose="02040503050406030204" pitchFamily="18" charset="0"/>
                                <a:cs typeface="Times New Roman" panose="02020603050405020304" pitchFamily="18" charset="0"/>
                              </a:rPr>
                            </m:ctrlPr>
                          </m:fPr>
                          <m:num>
                            <m:r>
                              <a:rPr lang="it-IT" sz="1100" b="1" i="1" dirty="0" smtClean="0">
                                <a:solidFill>
                                  <a:schemeClr val="tx1"/>
                                </a:solidFill>
                                <a:latin typeface="Cambria Math" panose="02040503050406030204" pitchFamily="18" charset="0"/>
                                <a:cs typeface="Times New Roman" panose="02020603050405020304" pitchFamily="18" charset="0"/>
                              </a:rPr>
                              <m:t>𝒑</m:t>
                            </m:r>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num>
                          <m:den>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𝟐</m:t>
                                </m:r>
                              </m:sub>
                            </m:sSub>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dirty="0" smtClean="0">
                                    <a:solidFill>
                                      <a:schemeClr val="tx1"/>
                                    </a:solidFill>
                                    <a:latin typeface="Cambria Math" panose="02040503050406030204" pitchFamily="18" charset="0"/>
                                    <a:cs typeface="Times New Roman" panose="02020603050405020304" pitchFamily="18" charset="0"/>
                                  </a:rPr>
                                </m:ctrlPr>
                              </m:sSub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𝜶</m:t>
                                </m:r>
                              </m:e>
                              <m:sub>
                                <m:r>
                                  <a:rPr lang="it-IT" sz="1100" b="1" i="1" dirty="0" smtClean="0">
                                    <a:solidFill>
                                      <a:schemeClr val="tx1"/>
                                    </a:solidFill>
                                    <a:latin typeface="Cambria Math" panose="02040503050406030204" pitchFamily="18" charset="0"/>
                                    <a:cs typeface="Times New Roman" panose="02020603050405020304" pitchFamily="18" charset="0"/>
                                  </a:rPr>
                                  <m:t>𝟏</m:t>
                                </m:r>
                              </m:sub>
                            </m:sSub>
                          </m:den>
                        </m:f>
                        <m:r>
                          <a:rPr lang="it-IT" sz="1100" b="1" i="1" dirty="0" smtClean="0">
                            <a:solidFill>
                              <a:schemeClr val="tx1"/>
                            </a:solidFill>
                            <a:latin typeface="Cambria Math" panose="02040503050406030204" pitchFamily="18" charset="0"/>
                            <a:cs typeface="Times New Roman" panose="02020603050405020304" pitchFamily="18" charset="0"/>
                          </a:rPr>
                          <m:t>−</m:t>
                        </m:r>
                        <m:sSub>
                          <m:sSubPr>
                            <m:ctrlPr>
                              <a:rPr lang="it-IT" sz="1100" b="1" i="1" u="none" strike="noStrike">
                                <a:solidFill>
                                  <a:schemeClr val="tx1"/>
                                </a:solidFill>
                                <a:effectLst/>
                                <a:latin typeface="Cambria Math" panose="02040503050406030204" pitchFamily="18" charset="0"/>
                                <a:ea typeface="+mn-ea"/>
                                <a:cs typeface="+mn-cs"/>
                              </a:rPr>
                            </m:ctrlPr>
                          </m:sSubPr>
                          <m:e>
                            <m:r>
                              <a:rPr lang="it-IT" sz="1100" b="1" i="1" u="none" strike="noStrike">
                                <a:solidFill>
                                  <a:schemeClr val="tx1"/>
                                </a:solidFill>
                                <a:effectLst/>
                                <a:latin typeface="Cambria Math" panose="02040503050406030204" pitchFamily="18" charset="0"/>
                                <a:ea typeface="Cambria Math" panose="02040503050406030204" pitchFamily="18" charset="0"/>
                                <a:cs typeface="+mn-cs"/>
                              </a:rPr>
                              <m:t>𝝁</m:t>
                            </m:r>
                          </m:e>
                          <m:sub>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𝚫</m:t>
                            </m:r>
                            <m:r>
                              <a:rPr lang="it-IT" sz="1100" b="1" i="1" dirty="0" smtClean="0">
                                <a:solidFill>
                                  <a:schemeClr val="tx1"/>
                                </a:solidFill>
                                <a:latin typeface="Cambria Math" panose="02040503050406030204" pitchFamily="18" charset="0"/>
                                <a:cs typeface="Times New Roman" panose="02020603050405020304" pitchFamily="18" charset="0"/>
                              </a:rPr>
                              <m:t>𝑽</m:t>
                            </m:r>
                          </m:sub>
                        </m:sSub>
                      </m:e>
                    </m:d>
                    <m:r>
                      <a:rPr lang="it-IT" sz="1100" b="1" i="1" dirty="0" smtClean="0">
                        <a:solidFill>
                          <a:schemeClr val="tx1"/>
                        </a:solidFill>
                        <a:latin typeface="Cambria Math" panose="02040503050406030204" pitchFamily="18" charset="0"/>
                        <a:cs typeface="Times New Roman" panose="02020603050405020304" pitchFamily="18" charset="0"/>
                      </a:rPr>
                      <m:t> </m:t>
                    </m:r>
                  </m:oMath>
                </m:oMathPara>
              </a14:m>
              <a:endParaRPr lang="en-GB">
                <a:solidFill>
                  <a:schemeClr val="tx1"/>
                </a:solidFill>
                <a:effectLst/>
              </a:endParaRPr>
            </a:p>
          </xdr:txBody>
        </xdr:sp>
      </mc:Choice>
      <mc:Fallback xmlns="">
        <xdr:sp macro="" textlink="">
          <xdr:nvSpPr>
            <xdr:cNvPr id="8" name="Rectangle: Rounded Corners 1">
              <a:extLst>
                <a:ext uri="{FF2B5EF4-FFF2-40B4-BE49-F238E27FC236}">
                  <a16:creationId xmlns:a16="http://schemas.microsoft.com/office/drawing/2014/main" id="{6975FDE3-0C08-4CE5-8A2F-A1B8BFF6EEAE}"/>
                </a:ext>
              </a:extLst>
            </xdr:cNvPr>
            <xdr:cNvSpPr/>
          </xdr:nvSpPr>
          <xdr:spPr>
            <a:xfrm>
              <a:off x="5649871" y="26129599"/>
              <a:ext cx="3969670" cy="794401"/>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it-IT" sz="1100" b="1" i="1" dirty="0">
                <a:solidFill>
                  <a:schemeClr val="tx1"/>
                </a:solidFill>
                <a:latin typeface="Cambria Math" panose="020405030504060302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cs typeface="Times New Roman" panose="02020603050405020304" pitchFamily="18" charset="0"/>
                </a:rPr>
                <a:t>〖𝑽𝒂𝒓〗_𝒑=|𝒙_𝟏</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𝟐−𝒑)/(</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 )+𝒙_𝟐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a:t>
              </a:r>
              <a:r>
                <a:rPr lang="it-IT" sz="1100" b="1" i="0" dirty="0">
                  <a:solidFill>
                    <a:schemeClr val="tx1"/>
                  </a:solidFill>
                  <a:latin typeface="Cambria Math" panose="02040503050406030204" pitchFamily="18" charset="0"/>
                  <a:cs typeface="Times New Roman" panose="02020603050405020304" pitchFamily="18" charset="0"/>
                </a:rPr>
                <a:t>𝒑−</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𝟐−</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𝜶_</a:t>
              </a:r>
              <a:r>
                <a:rPr lang="it-IT" sz="1100" b="1" i="0" dirty="0">
                  <a:solidFill>
                    <a:schemeClr val="tx1"/>
                  </a:solidFill>
                  <a:latin typeface="Cambria Math" panose="02040503050406030204" pitchFamily="18" charset="0"/>
                  <a:cs typeface="Times New Roman" panose="02020603050405020304" pitchFamily="18" charset="0"/>
                </a:rPr>
                <a:t>𝟏 )−</a:t>
              </a:r>
              <a:r>
                <a:rPr lang="it-IT" sz="1100" b="1" i="0" u="none" strike="noStrike">
                  <a:solidFill>
                    <a:schemeClr val="tx1"/>
                  </a:solidFill>
                  <a:effectLst/>
                  <a:latin typeface="Cambria Math" panose="02040503050406030204" pitchFamily="18" charset="0"/>
                  <a:ea typeface="Cambria Math" panose="02040503050406030204" pitchFamily="18" charset="0"/>
                  <a:cs typeface="+mn-cs"/>
                </a:rPr>
                <a:t>𝝁</a:t>
              </a:r>
              <a:r>
                <a:rPr lang="it-IT" sz="1100" b="1" i="0" u="none" strike="noStrike">
                  <a:solidFill>
                    <a:schemeClr val="tx1"/>
                  </a:solidFill>
                  <a:effectLst/>
                  <a:latin typeface="Cambria Math" panose="02040503050406030204" pitchFamily="18" charset="0"/>
                  <a:ea typeface="+mn-ea"/>
                  <a:cs typeface="+mn-cs"/>
                </a:rPr>
                <a:t>_</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𝚫</a:t>
              </a:r>
              <a:r>
                <a:rPr lang="it-IT" sz="1100" b="1" i="0" dirty="0">
                  <a:solidFill>
                    <a:schemeClr val="tx1"/>
                  </a:solidFill>
                  <a:latin typeface="Cambria Math" panose="02040503050406030204" pitchFamily="18" charset="0"/>
                  <a:cs typeface="Times New Roman" panose="02020603050405020304" pitchFamily="18" charset="0"/>
                </a:rPr>
                <a:t>𝑽 |  </a:t>
              </a:r>
              <a:endParaRPr lang="en-GB">
                <a:solidFill>
                  <a:schemeClr val="tx1"/>
                </a:solidFill>
                <a:effectLst/>
              </a:endParaRPr>
            </a:p>
          </xdr:txBody>
        </xdr:sp>
      </mc:Fallback>
    </mc:AlternateContent>
    <xdr:clientData/>
  </xdr:twoCellAnchor>
  <xdr:twoCellAnchor>
    <xdr:from>
      <xdr:col>8</xdr:col>
      <xdr:colOff>0</xdr:colOff>
      <xdr:row>84</xdr:row>
      <xdr:rowOff>0</xdr:rowOff>
    </xdr:from>
    <xdr:to>
      <xdr:col>11</xdr:col>
      <xdr:colOff>228600</xdr:colOff>
      <xdr:row>87</xdr:row>
      <xdr:rowOff>88900</xdr:rowOff>
    </xdr:to>
    <mc:AlternateContent xmlns:mc="http://schemas.openxmlformats.org/markup-compatibility/2006" xmlns:a14="http://schemas.microsoft.com/office/drawing/2010/main">
      <mc:Choice Requires="a14">
        <xdr:sp macro="" textlink="">
          <xdr:nvSpPr>
            <xdr:cNvPr id="45" name="Rectangle: Rounded Corners 1">
              <a:extLst>
                <a:ext uri="{FF2B5EF4-FFF2-40B4-BE49-F238E27FC236}">
                  <a16:creationId xmlns:a16="http://schemas.microsoft.com/office/drawing/2014/main" id="{AE082256-AEB1-BC4D-B78B-0E0FB844E2DB}"/>
                </a:ext>
              </a:extLst>
            </xdr:cNvPr>
            <xdr:cNvSpPr/>
          </xdr:nvSpPr>
          <xdr:spPr>
            <a:xfrm>
              <a:off x="10092267" y="17966267"/>
              <a:ext cx="3327400" cy="749300"/>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𝜹</m:t>
                        </m:r>
                      </m:e>
                      <m: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up>
                    </m:sSup>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 </m:t>
                    </m:r>
                    <m:limLow>
                      <m:limLowPr>
                        <m:ctrlPr>
                          <a:rPr lang="it-IT" sz="1100" b="1" i="1" dirty="0" smtClean="0">
                            <a:solidFill>
                              <a:schemeClr val="tx1"/>
                            </a:solidFill>
                            <a:latin typeface="Cambria Math" panose="02040503050406030204" pitchFamily="18" charset="0"/>
                            <a:cs typeface="Times New Roman" panose="02020603050405020304" pitchFamily="18" charset="0"/>
                          </a:rPr>
                        </m:ctrlPr>
                      </m:limLowPr>
                      <m:e>
                        <m:groupChr>
                          <m:groupChrPr>
                            <m:chr m:val="⏟"/>
                            <m:ctrlPr>
                              <a:rPr lang="it-IT" sz="1100" b="1" i="1" dirty="0" smtClean="0">
                                <a:solidFill>
                                  <a:schemeClr val="tx1"/>
                                </a:solidFill>
                                <a:latin typeface="Cambria Math" panose="02040503050406030204" pitchFamily="18" charset="0"/>
                                <a:cs typeface="Times New Roman" panose="02020603050405020304" pitchFamily="18" charset="0"/>
                              </a:rPr>
                            </m:ctrlPr>
                          </m:groupChrPr>
                          <m:e>
                            <m:f>
                              <m:f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fPr>
                              <m:num>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𝑽</m:t>
                                </m:r>
                              </m:num>
                              <m:den>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d>
                                      <m:d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d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e>
                                    </m:d>
                                  </m:sup>
                                </m:sSup>
                              </m:den>
                            </m:f>
                          </m:e>
                        </m:groupChr>
                      </m:e>
                      <m:lim>
                        <m:eqArr>
                          <m:eqArrPr>
                            <m:ctrlPr>
                              <a:rPr lang="it-IT" sz="1100" b="1" i="1" dirty="0" smtClean="0">
                                <a:solidFill>
                                  <a:schemeClr val="tx1"/>
                                </a:solidFill>
                                <a:latin typeface="Cambria Math" panose="02040503050406030204" pitchFamily="18" charset="0"/>
                                <a:cs typeface="Times New Roman" panose="02020603050405020304" pitchFamily="18" charset="0"/>
                              </a:rPr>
                            </m:ctrlPr>
                          </m:eqArrPr>
                          <m:e>
                            <m:r>
                              <a:rPr lang="it-IT" sz="1100" b="1" i="1" dirty="0" smtClean="0">
                                <a:solidFill>
                                  <a:schemeClr val="tx1"/>
                                </a:solidFill>
                                <a:latin typeface="Cambria Math" panose="02040503050406030204" pitchFamily="18" charset="0"/>
                                <a:cs typeface="Times New Roman" panose="02020603050405020304" pitchFamily="18" charset="0"/>
                              </a:rPr>
                              <m:t> </m:t>
                            </m:r>
                          </m:e>
                          <m:e>
                            <m:r>
                              <a:rPr lang="it-IT" sz="1100" b="1" i="1" dirty="0" smtClean="0">
                                <a:solidFill>
                                  <a:schemeClr val="tx1"/>
                                </a:solidFill>
                                <a:latin typeface="Cambria Math" panose="02040503050406030204" pitchFamily="18" charset="0"/>
                                <a:cs typeface="Times New Roman" panose="02020603050405020304" pitchFamily="18" charset="0"/>
                              </a:rPr>
                              <m:t> </m:t>
                            </m:r>
                          </m:e>
                          <m:e>
                            <m:r>
                              <a:rPr lang="it-IT" sz="1100" b="1" i="1" dirty="0" smtClean="0">
                                <a:solidFill>
                                  <a:schemeClr val="tx1"/>
                                </a:solidFill>
                                <a:latin typeface="Cambria Math" panose="02040503050406030204" pitchFamily="18" charset="0"/>
                                <a:cs typeface="Times New Roman" panose="02020603050405020304" pitchFamily="18" charset="0"/>
                              </a:rPr>
                              <m:t> </m:t>
                            </m:r>
                          </m:e>
                          <m:e>
                            <m:sSub>
                              <m:sSubPr>
                                <m:ctrlPr>
                                  <a:rPr lang="it-IT" sz="1100" b="1" i="1" dirty="0">
                                    <a:solidFill>
                                      <a:schemeClr val="tx1"/>
                                    </a:solidFill>
                                    <a:latin typeface="Cambria Math" panose="02040503050406030204" pitchFamily="18" charset="0"/>
                                    <a:cs typeface="Times New Roman" panose="02020603050405020304" pitchFamily="18" charset="0"/>
                                  </a:rPr>
                                </m:ctrlPr>
                              </m:sSubPr>
                              <m:e>
                                <m:r>
                                  <a:rPr lang="it-IT" sz="1100" b="1" i="1" dirty="0">
                                    <a:solidFill>
                                      <a:schemeClr val="tx1"/>
                                    </a:solidFill>
                                    <a:latin typeface="Cambria Math" panose="02040503050406030204" pitchFamily="18" charset="0"/>
                                    <a:cs typeface="Times New Roman" panose="02020603050405020304" pitchFamily="18" charset="0"/>
                                  </a:rPr>
                                  <m:t>𝑪</m:t>
                                </m:r>
                              </m:e>
                              <m:sub>
                                <m:r>
                                  <a:rPr lang="it-IT" sz="1100" b="1" i="1" dirty="0">
                                    <a:solidFill>
                                      <a:schemeClr val="tx1"/>
                                    </a:solidFill>
                                    <a:latin typeface="Cambria Math" panose="02040503050406030204" pitchFamily="18" charset="0"/>
                                    <a:cs typeface="Times New Roman" panose="02020603050405020304" pitchFamily="18" charset="0"/>
                                  </a:rPr>
                                  <m:t>𝒊</m:t>
                                </m:r>
                              </m:sub>
                            </m:sSub>
                          </m:e>
                        </m:eqArr>
                      </m:lim>
                    </m:limLow>
                    <m:r>
                      <a:rPr lang="it-IT" sz="1100" b="1" i="1" dirty="0" smtClean="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sSup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𝑷</m:t>
                        </m:r>
                      </m:e>
                      <m:sup>
                        <m:d>
                          <m:dPr>
                            <m:ctrlP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ctrlPr>
                          </m:dPr>
                          <m:e>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𝒊</m:t>
                            </m:r>
                          </m:e>
                        </m:d>
                      </m:sup>
                    </m:sSup>
                    <m:r>
                      <a:rPr lang="it-IT" sz="1100" b="1" i="1"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m:t>=</m:t>
                    </m:r>
                    <m:sSup>
                      <m:sSupPr>
                        <m:ctrlPr>
                          <a:rPr lang="en-GB" i="1">
                            <a:solidFill>
                              <a:schemeClr val="tx1"/>
                            </a:solidFill>
                            <a:latin typeface="Cambria Math" panose="02040503050406030204" pitchFamily="18" charset="0"/>
                          </a:rPr>
                        </m:ctrlPr>
                      </m:sSupPr>
                      <m:e>
                        <m:r>
                          <a:rPr lang="it-IT" b="0" i="1">
                            <a:solidFill>
                              <a:schemeClr val="tx1"/>
                            </a:solidFill>
                            <a:latin typeface="Cambria Math" panose="02040503050406030204" pitchFamily="18" charset="0"/>
                          </a:rPr>
                          <m:t>𝑃𝑉</m:t>
                        </m:r>
                      </m:e>
                      <m:sup>
                        <m:d>
                          <m:dPr>
                            <m:ctrlPr>
                              <a:rPr lang="it-IT" b="0" i="1">
                                <a:solidFill>
                                  <a:schemeClr val="tx1"/>
                                </a:solidFill>
                                <a:latin typeface="Cambria Math" panose="02040503050406030204" pitchFamily="18" charset="0"/>
                              </a:rPr>
                            </m:ctrlPr>
                          </m:dPr>
                          <m:e>
                            <m:r>
                              <a:rPr lang="it-IT" b="0" i="1">
                                <a:solidFill>
                                  <a:schemeClr val="tx1"/>
                                </a:solidFill>
                                <a:latin typeface="Cambria Math" panose="02040503050406030204" pitchFamily="18" charset="0"/>
                              </a:rPr>
                              <m:t>𝑖</m:t>
                            </m:r>
                          </m:e>
                        </m:d>
                      </m:sup>
                    </m:sSup>
                    <m:r>
                      <a:rPr lang="it-IT" sz="1100" b="1" i="1" dirty="0" smtClean="0">
                        <a:solidFill>
                          <a:schemeClr val="tx1"/>
                        </a:solidFill>
                        <a:latin typeface="Cambria Math" panose="02040503050406030204" pitchFamily="18" charset="0"/>
                        <a:cs typeface="Times New Roman" panose="02020603050405020304" pitchFamily="18" charset="0"/>
                      </a:rPr>
                      <m:t> </m:t>
                    </m:r>
                  </m:oMath>
                </m:oMathPara>
              </a14:m>
              <a:endParaRPr lang="en-GB">
                <a:solidFill>
                  <a:schemeClr val="tx1"/>
                </a:solidFill>
                <a:effectLst/>
              </a:endParaRPr>
            </a:p>
          </xdr:txBody>
        </xdr:sp>
      </mc:Choice>
      <mc:Fallback xmlns="">
        <xdr:sp macro="" textlink="">
          <xdr:nvSpPr>
            <xdr:cNvPr id="45" name="Rectangle: Rounded Corners 1">
              <a:extLst>
                <a:ext uri="{FF2B5EF4-FFF2-40B4-BE49-F238E27FC236}">
                  <a16:creationId xmlns:a16="http://schemas.microsoft.com/office/drawing/2014/main" id="{AE082256-AEB1-BC4D-B78B-0E0FB844E2DB}"/>
                </a:ext>
              </a:extLst>
            </xdr:cNvPr>
            <xdr:cNvSpPr/>
          </xdr:nvSpPr>
          <xdr:spPr>
            <a:xfrm>
              <a:off x="10092267" y="17966267"/>
              <a:ext cx="3327400" cy="749300"/>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𝜹^((𝒊))= </a:t>
              </a:r>
              <a:r>
                <a:rPr lang="it-IT" sz="1100" b="1" i="0" dirty="0">
                  <a:solidFill>
                    <a:schemeClr val="tx1"/>
                  </a:solidFill>
                  <a:latin typeface="Cambria Math" panose="02040503050406030204" pitchFamily="18" charset="0"/>
                  <a:cs typeface="Times New Roman" panose="02020603050405020304" pitchFamily="18" charset="0"/>
                </a:rPr>
                <a:t>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 𝝏𝑽/(𝝏𝑷^((𝒊) ) ))┬█(</a:t>
              </a:r>
              <a:r>
                <a:rPr lang="it-IT" sz="1100" b="1" i="0" dirty="0">
                  <a:solidFill>
                    <a:schemeClr val="tx1"/>
                  </a:solidFill>
                  <a:latin typeface="Cambria Math" panose="02040503050406030204" pitchFamily="18" charset="0"/>
                  <a:cs typeface="Times New Roman" panose="02020603050405020304" pitchFamily="18" charset="0"/>
                </a:rPr>
                <a:t> @ @ @𝑪_𝒊 )</a:t>
              </a:r>
              <a:r>
                <a:rPr lang="it-IT" sz="1100" b="1" i="0" dirty="0">
                  <a:solidFill>
                    <a:schemeClr val="tx1"/>
                  </a:solidFill>
                  <a:latin typeface="Cambria Math" panose="02040503050406030204" pitchFamily="18" charset="0"/>
                  <a:ea typeface="Cambria Math" panose="02040503050406030204" pitchFamily="18" charset="0"/>
                  <a:cs typeface="Times New Roman" panose="02020603050405020304" pitchFamily="18" charset="0"/>
                </a:rPr>
                <a:t>×𝑷^((𝒊) )=</a:t>
              </a:r>
              <a:r>
                <a:rPr lang="en-GB" i="0">
                  <a:solidFill>
                    <a:schemeClr val="tx1"/>
                  </a:solidFill>
                  <a:latin typeface="Cambria Math" panose="02040503050406030204" pitchFamily="18" charset="0"/>
                </a:rPr>
                <a:t>〖</a:t>
              </a:r>
              <a:r>
                <a:rPr lang="it-IT" b="0" i="0">
                  <a:solidFill>
                    <a:schemeClr val="tx1"/>
                  </a:solidFill>
                  <a:latin typeface="Cambria Math" panose="02040503050406030204" pitchFamily="18" charset="0"/>
                </a:rPr>
                <a:t>𝑃𝑉</a:t>
              </a:r>
              <a:r>
                <a:rPr lang="en-GB" b="0" i="0">
                  <a:solidFill>
                    <a:schemeClr val="tx1"/>
                  </a:solidFill>
                  <a:latin typeface="Cambria Math" panose="02040503050406030204" pitchFamily="18" charset="0"/>
                </a:rPr>
                <a:t>〗^(</a:t>
              </a:r>
              <a:r>
                <a:rPr lang="it-IT" b="0" i="0">
                  <a:solidFill>
                    <a:schemeClr val="tx1"/>
                  </a:solidFill>
                  <a:latin typeface="Cambria Math" panose="02040503050406030204" pitchFamily="18" charset="0"/>
                </a:rPr>
                <a:t>(𝑖) </a:t>
              </a:r>
              <a:r>
                <a:rPr lang="en-GB" b="0" i="0">
                  <a:solidFill>
                    <a:schemeClr val="tx1"/>
                  </a:solidFill>
                  <a:latin typeface="Cambria Math" panose="02040503050406030204" pitchFamily="18" charset="0"/>
                </a:rPr>
                <a:t>)</a:t>
              </a:r>
              <a:r>
                <a:rPr lang="it-IT" sz="1100" b="1" i="0" dirty="0">
                  <a:solidFill>
                    <a:schemeClr val="tx1"/>
                  </a:solidFill>
                  <a:latin typeface="Cambria Math" panose="02040503050406030204" pitchFamily="18" charset="0"/>
                </a:rPr>
                <a:t> </a:t>
              </a:r>
              <a:r>
                <a:rPr lang="it-IT" sz="1100" b="1" i="0" dirty="0">
                  <a:solidFill>
                    <a:schemeClr val="tx1"/>
                  </a:solidFill>
                  <a:latin typeface="Cambria Math" panose="02040503050406030204" pitchFamily="18" charset="0"/>
                  <a:cs typeface="Times New Roman" panose="02020603050405020304" pitchFamily="18" charset="0"/>
                </a:rPr>
                <a:t> </a:t>
              </a:r>
              <a:endParaRPr lang="en-GB">
                <a:solidFill>
                  <a:schemeClr val="tx1"/>
                </a:solidFill>
                <a:effectLst/>
              </a:endParaRP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2D62A-4FBE-4750-AB30-7401E970C92F}">
  <sheetPr codeName="Sheet1">
    <tabColor rgb="FF044689"/>
  </sheetPr>
  <dimension ref="A1:XFC28"/>
  <sheetViews>
    <sheetView showGridLines="0" zoomScaleNormal="100" workbookViewId="0"/>
  </sheetViews>
  <sheetFormatPr defaultColWidth="0" defaultRowHeight="14" zeroHeight="1" x14ac:dyDescent="0.3"/>
  <cols>
    <col min="1" max="1" width="1.453125" style="3" customWidth="1"/>
    <col min="2" max="15" width="8.453125" style="3" customWidth="1"/>
    <col min="16" max="16" width="8.453125" style="3" hidden="1" customWidth="1"/>
    <col min="17" max="16383" width="8.453125" style="3" hidden="1"/>
    <col min="16384" max="16384" width="0" style="3" hidden="1"/>
  </cols>
  <sheetData>
    <row r="1" spans="1:17" x14ac:dyDescent="0.3">
      <c r="A1" s="88"/>
      <c r="B1" s="88"/>
      <c r="C1" s="88"/>
      <c r="D1" s="88"/>
      <c r="E1" s="88"/>
      <c r="F1" s="88"/>
      <c r="G1" s="88"/>
      <c r="H1" s="88"/>
      <c r="I1" s="88"/>
      <c r="J1" s="88"/>
      <c r="K1" s="88"/>
      <c r="L1" s="88"/>
      <c r="M1" s="88"/>
      <c r="N1" s="88"/>
      <c r="O1" s="88"/>
      <c r="P1" s="88"/>
    </row>
    <row r="2" spans="1:17" x14ac:dyDescent="0.3">
      <c r="A2" s="88"/>
      <c r="B2" s="88"/>
      <c r="C2" s="88"/>
      <c r="D2" s="88"/>
      <c r="E2" s="88"/>
      <c r="F2" s="88"/>
      <c r="G2" s="88"/>
      <c r="H2" s="88"/>
      <c r="I2" s="88"/>
      <c r="J2" s="88"/>
      <c r="K2" s="88"/>
      <c r="L2" s="88"/>
      <c r="M2" s="88"/>
      <c r="N2" s="88"/>
      <c r="O2" s="88"/>
      <c r="P2" s="88"/>
    </row>
    <row r="3" spans="1:17" x14ac:dyDescent="0.3">
      <c r="A3" s="88"/>
      <c r="B3" s="88"/>
      <c r="C3" s="88"/>
      <c r="D3" s="88"/>
      <c r="E3" s="88"/>
      <c r="F3" s="88"/>
      <c r="G3" s="88"/>
      <c r="H3" s="88"/>
      <c r="I3" s="88"/>
      <c r="J3" s="88"/>
      <c r="K3" s="88"/>
      <c r="L3" s="88"/>
      <c r="M3" s="88"/>
      <c r="N3" s="88"/>
      <c r="O3" s="88"/>
      <c r="P3" s="88"/>
    </row>
    <row r="4" spans="1:17" x14ac:dyDescent="0.3">
      <c r="A4" s="88"/>
      <c r="P4" s="84"/>
      <c r="Q4" s="84"/>
    </row>
    <row r="5" spans="1:17" x14ac:dyDescent="0.3">
      <c r="A5" s="88"/>
      <c r="B5" s="84"/>
      <c r="C5" s="84"/>
      <c r="D5" s="84"/>
      <c r="E5" s="84"/>
      <c r="F5" s="84"/>
      <c r="G5" s="84"/>
      <c r="H5" s="84"/>
      <c r="I5" s="84"/>
      <c r="J5" s="84"/>
      <c r="K5" s="84"/>
      <c r="L5" s="84"/>
      <c r="M5" s="84"/>
      <c r="N5" s="84"/>
      <c r="O5" s="84"/>
      <c r="P5" s="84"/>
      <c r="Q5" s="84"/>
    </row>
    <row r="6" spans="1:17" x14ac:dyDescent="0.3">
      <c r="A6" s="88"/>
      <c r="B6" s="84"/>
      <c r="C6" s="84"/>
      <c r="D6" s="84"/>
      <c r="E6" s="84"/>
      <c r="F6" s="84"/>
      <c r="G6" s="84"/>
      <c r="H6" s="84"/>
      <c r="I6" s="84"/>
      <c r="J6" s="84"/>
      <c r="K6" s="84"/>
      <c r="L6" s="84"/>
      <c r="M6" s="84"/>
      <c r="N6" s="84"/>
      <c r="O6" s="84"/>
      <c r="P6" s="84"/>
      <c r="Q6" s="84"/>
    </row>
    <row r="7" spans="1:17" x14ac:dyDescent="0.3">
      <c r="A7" s="88"/>
      <c r="B7" s="84"/>
      <c r="C7" s="84"/>
      <c r="D7" s="84"/>
      <c r="E7" s="84"/>
      <c r="F7" s="84"/>
      <c r="G7" s="84"/>
      <c r="H7" s="84"/>
      <c r="I7" s="84"/>
      <c r="J7" s="84"/>
      <c r="K7" s="84"/>
      <c r="L7" s="84"/>
      <c r="M7" s="84"/>
      <c r="N7" s="84"/>
      <c r="O7" s="84"/>
      <c r="P7" s="84"/>
      <c r="Q7" s="84"/>
    </row>
    <row r="8" spans="1:17" ht="25" x14ac:dyDescent="0.5">
      <c r="A8" s="88"/>
      <c r="B8" s="84"/>
      <c r="C8" s="215" t="s">
        <v>117</v>
      </c>
      <c r="D8" s="85"/>
      <c r="E8" s="86"/>
      <c r="F8" s="85"/>
      <c r="G8" s="84"/>
      <c r="H8" s="84"/>
      <c r="I8" s="84"/>
      <c r="J8" s="84"/>
      <c r="K8" s="84"/>
      <c r="L8" s="84"/>
      <c r="M8" s="84"/>
      <c r="N8" s="84"/>
      <c r="O8" s="84"/>
      <c r="P8" s="84"/>
      <c r="Q8" s="84"/>
    </row>
    <row r="9" spans="1:17" ht="22.5" x14ac:dyDescent="0.45">
      <c r="A9" s="88"/>
      <c r="B9" s="84"/>
      <c r="C9" s="84"/>
      <c r="E9" s="86"/>
      <c r="F9" s="86"/>
      <c r="G9" s="84"/>
      <c r="H9" s="84"/>
      <c r="I9" s="84"/>
      <c r="J9" s="84"/>
      <c r="K9" s="84"/>
      <c r="L9" s="84"/>
      <c r="M9" s="84"/>
      <c r="N9" s="84"/>
      <c r="O9" s="84"/>
      <c r="P9" s="84"/>
      <c r="Q9" s="84"/>
    </row>
    <row r="10" spans="1:17" x14ac:dyDescent="0.3">
      <c r="A10" s="88"/>
      <c r="B10" s="84"/>
      <c r="C10" s="84"/>
      <c r="D10" s="84"/>
      <c r="E10" s="84"/>
      <c r="F10" s="84"/>
      <c r="G10" s="84"/>
      <c r="H10" s="84"/>
      <c r="I10" s="84"/>
      <c r="J10" s="84"/>
      <c r="K10" s="84"/>
      <c r="L10" s="84"/>
      <c r="M10" s="84"/>
      <c r="N10" s="84"/>
      <c r="O10" s="84"/>
      <c r="P10" s="84"/>
      <c r="Q10" s="84"/>
    </row>
    <row r="11" spans="1:17" x14ac:dyDescent="0.3">
      <c r="A11" s="88"/>
      <c r="B11" s="84"/>
      <c r="C11" s="89" t="s">
        <v>115</v>
      </c>
      <c r="D11" s="84"/>
      <c r="E11" s="84"/>
      <c r="F11" s="84"/>
      <c r="G11" s="84"/>
      <c r="H11" s="84"/>
      <c r="I11" s="84"/>
      <c r="J11" s="84"/>
      <c r="K11" s="84"/>
      <c r="L11" s="84"/>
      <c r="M11" s="84"/>
      <c r="N11" s="84"/>
      <c r="O11" s="84"/>
      <c r="P11" s="84"/>
      <c r="Q11" s="84"/>
    </row>
    <row r="12" spans="1:17" x14ac:dyDescent="0.3">
      <c r="A12" s="88"/>
      <c r="B12" s="84"/>
      <c r="C12" s="118" t="s">
        <v>0</v>
      </c>
      <c r="D12" s="84"/>
      <c r="E12" s="84"/>
      <c r="F12" s="84"/>
      <c r="G12" s="84"/>
      <c r="H12" s="84"/>
      <c r="I12" s="84"/>
      <c r="J12" s="84"/>
      <c r="K12" s="84"/>
      <c r="L12" s="84"/>
      <c r="M12" s="84"/>
      <c r="N12" s="84"/>
      <c r="O12" s="84"/>
      <c r="P12" s="84"/>
      <c r="Q12" s="84"/>
    </row>
    <row r="13" spans="1:17" ht="28" x14ac:dyDescent="0.6">
      <c r="A13" s="88"/>
      <c r="D13" s="87"/>
    </row>
    <row r="14" spans="1:17" ht="28" x14ac:dyDescent="0.6">
      <c r="A14" s="88"/>
      <c r="D14" s="87"/>
    </row>
    <row r="15" spans="1:17" x14ac:dyDescent="0.3">
      <c r="A15" s="88"/>
      <c r="C15" s="3" t="s">
        <v>1</v>
      </c>
      <c r="D15" s="84"/>
    </row>
    <row r="16" spans="1:17" x14ac:dyDescent="0.3">
      <c r="A16" s="88"/>
      <c r="D16" s="84"/>
    </row>
    <row r="17" spans="1:4" x14ac:dyDescent="0.3">
      <c r="A17" s="88"/>
      <c r="D17" s="84"/>
    </row>
    <row r="18" spans="1:4" x14ac:dyDescent="0.3">
      <c r="A18" s="88"/>
      <c r="D18" s="84"/>
    </row>
    <row r="19" spans="1:4" hidden="1" x14ac:dyDescent="0.3">
      <c r="D19" s="84"/>
    </row>
    <row r="20" spans="1:4" hidden="1" x14ac:dyDescent="0.3">
      <c r="D20" s="84"/>
    </row>
    <row r="21" spans="1:4" hidden="1" x14ac:dyDescent="0.3">
      <c r="D21" s="84"/>
    </row>
    <row r="22" spans="1:4" hidden="1" x14ac:dyDescent="0.3">
      <c r="D22" s="84"/>
    </row>
    <row r="23" spans="1:4" hidden="1" x14ac:dyDescent="0.3">
      <c r="D23" s="84"/>
    </row>
    <row r="24" spans="1:4" hidden="1" x14ac:dyDescent="0.3">
      <c r="D24" s="84"/>
    </row>
    <row r="25" spans="1:4" hidden="1" x14ac:dyDescent="0.3">
      <c r="D25" s="84"/>
    </row>
    <row r="26" spans="1:4" hidden="1" x14ac:dyDescent="0.3">
      <c r="D26" s="84"/>
    </row>
    <row r="27" spans="1:4" hidden="1" x14ac:dyDescent="0.3">
      <c r="D27" s="84"/>
    </row>
    <row r="28" spans="1:4" hidden="1" x14ac:dyDescent="0.3">
      <c r="D28" s="8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68DCC-3C17-44F9-9CE0-79F405DD180F}">
  <sheetPr codeName="Sheet3"/>
  <dimension ref="B2:H17"/>
  <sheetViews>
    <sheetView showGridLines="0" zoomScaleNormal="100" workbookViewId="0"/>
  </sheetViews>
  <sheetFormatPr defaultColWidth="10.6328125" defaultRowHeight="14" x14ac:dyDescent="0.3"/>
  <cols>
    <col min="1" max="1" width="1.453125" style="3" customWidth="1"/>
    <col min="2" max="2" width="25.453125" style="3" customWidth="1"/>
    <col min="3" max="6" width="14.6328125" style="3" customWidth="1"/>
    <col min="7" max="16384" width="10.6328125" style="3"/>
  </cols>
  <sheetData>
    <row r="2" spans="2:8" ht="20" x14ac:dyDescent="0.4">
      <c r="B2" s="104" t="s">
        <v>2</v>
      </c>
    </row>
    <row r="4" spans="2:8" ht="14.5" x14ac:dyDescent="0.35">
      <c r="B4" s="114" t="s">
        <v>3</v>
      </c>
    </row>
    <row r="5" spans="2:8" x14ac:dyDescent="0.3">
      <c r="B5" s="117" t="s">
        <v>4</v>
      </c>
      <c r="C5" s="117" t="s">
        <v>5</v>
      </c>
      <c r="D5" s="116" t="s">
        <v>6</v>
      </c>
      <c r="E5" s="116"/>
    </row>
    <row r="6" spans="2:8" x14ac:dyDescent="0.3">
      <c r="B6" s="119">
        <v>45382</v>
      </c>
      <c r="C6" s="120">
        <v>0.95</v>
      </c>
      <c r="D6" s="213" t="s">
        <v>7</v>
      </c>
      <c r="E6" s="213"/>
    </row>
    <row r="8" spans="2:8" ht="14.5" x14ac:dyDescent="0.35">
      <c r="B8" s="115" t="s">
        <v>8</v>
      </c>
      <c r="C8" s="214" cm="1">
        <f t="array" ref="C8">IFERROR(INDEX($C$14:$F$17,MATCH(B6,$B$14:$B$17,0),MATCH(1,(LOOKUP(COLUMN($C$11:$F$11),COLUMN($C$11:$F$11)/($C$11:$F$11&lt;&gt;""),$C$11:$F$11)=D6)*($C$13:$F$13=C6),0)),"Please select the inputs above")</f>
        <v>51.377142665051657</v>
      </c>
      <c r="D8" s="214"/>
    </row>
    <row r="9" spans="2:8" ht="14.5" x14ac:dyDescent="0.35">
      <c r="B9"/>
    </row>
    <row r="11" spans="2:8" x14ac:dyDescent="0.3">
      <c r="C11" s="96" t="s">
        <v>116</v>
      </c>
      <c r="D11" s="123"/>
      <c r="E11" s="96" t="s">
        <v>7</v>
      </c>
      <c r="F11" s="96"/>
    </row>
    <row r="12" spans="2:8" ht="25.5" customHeight="1" x14ac:dyDescent="0.3">
      <c r="C12" s="124" t="s">
        <v>9</v>
      </c>
      <c r="D12" s="125"/>
      <c r="E12" s="125"/>
      <c r="F12" s="125"/>
    </row>
    <row r="13" spans="2:8" ht="25.5" customHeight="1" x14ac:dyDescent="0.3">
      <c r="B13" s="122" t="s">
        <v>10</v>
      </c>
      <c r="C13" s="109">
        <v>0.95</v>
      </c>
      <c r="D13" s="121">
        <v>0.99</v>
      </c>
      <c r="E13" s="109">
        <v>0.95</v>
      </c>
      <c r="F13" s="121">
        <v>0.99</v>
      </c>
    </row>
    <row r="14" spans="2:8" ht="20" customHeight="1" x14ac:dyDescent="0.3">
      <c r="B14" s="110">
        <v>45382</v>
      </c>
      <c r="C14" s="99">
        <f>+'31Mar24'!C106</f>
        <v>54.324429006835103</v>
      </c>
      <c r="D14" s="99">
        <f>+'31Mar24'!D106</f>
        <v>76.832076640617686</v>
      </c>
      <c r="E14" s="99">
        <f>+'31Mar24'!C120</f>
        <v>51.377142665051657</v>
      </c>
      <c r="F14" s="100">
        <f>+'31Mar24'!D120</f>
        <v>60.071147265369952</v>
      </c>
      <c r="H14" s="3" t="s">
        <v>11</v>
      </c>
    </row>
    <row r="15" spans="2:8" ht="20" customHeight="1" x14ac:dyDescent="0.3">
      <c r="B15" s="111">
        <v>45473</v>
      </c>
      <c r="C15" s="97">
        <f>+'30Jun24'!C106</f>
        <v>35.757039585817353</v>
      </c>
      <c r="D15" s="97">
        <f>+'30Jun24'!D106</f>
        <v>50.57186345306004</v>
      </c>
      <c r="E15" s="97">
        <f>+'30Jun24'!C120</f>
        <v>28.400840117897712</v>
      </c>
      <c r="F15" s="98">
        <f>+'30Jun24'!D120</f>
        <v>53.008951538716829</v>
      </c>
    </row>
    <row r="16" spans="2:8" ht="20" customHeight="1" x14ac:dyDescent="0.3">
      <c r="B16" s="110">
        <v>45565</v>
      </c>
      <c r="C16" s="99">
        <f>+'30Sep24'!C106</f>
        <v>34.971916432960207</v>
      </c>
      <c r="D16" s="99">
        <f>+'30Sep24'!D106</f>
        <v>49.46144879513416</v>
      </c>
      <c r="E16" s="99">
        <f>+'30Sep24'!C120</f>
        <v>29.429619720260199</v>
      </c>
      <c r="F16" s="100">
        <f>+'30Sep24'!D120</f>
        <v>48.799783477639686</v>
      </c>
    </row>
    <row r="17" spans="2:6" ht="20" customHeight="1" x14ac:dyDescent="0.3">
      <c r="B17" s="112">
        <v>45657</v>
      </c>
      <c r="C17" s="101">
        <f>+'31Dec24'!C106</f>
        <v>31.689083114372519</v>
      </c>
      <c r="D17" s="101">
        <f>+'31Dec24'!D106</f>
        <v>44.818474984947088</v>
      </c>
      <c r="E17" s="101">
        <f>+'31Dec24'!C121</f>
        <v>27.19089369631855</v>
      </c>
      <c r="F17" s="102">
        <f>+'31Dec24'!D121</f>
        <v>47.08567833928408</v>
      </c>
    </row>
  </sheetData>
  <mergeCells count="1">
    <mergeCell ref="D6:E6"/>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C5DB93C-6EDB-4912-87D6-229AC633091C}">
          <x14:formula1>
            <xm:f>Sheet1!$F$4:$F$6</xm:f>
          </x14:formula1>
          <xm:sqref>D6</xm:sqref>
        </x14:dataValidation>
        <x14:dataValidation type="list" allowBlank="1" showInputMessage="1" showErrorMessage="1" xr:uid="{7F5B35CD-7115-499E-81CA-E1FD66A7241C}">
          <x14:formula1>
            <xm:f>Sheet1!$D$4:$D$6</xm:f>
          </x14:formula1>
          <xm:sqref>C6</xm:sqref>
        </x14:dataValidation>
        <x14:dataValidation type="list" allowBlank="1" showInputMessage="1" showErrorMessage="1" xr:uid="{003F931A-B307-44BD-B81E-FC330ED6C81D}">
          <x14:formula1>
            <xm:f>Sheet1!$B$4:$B$8</xm:f>
          </x14:formula1>
          <xm:sqref>B6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C4C4-79ED-4920-93E4-517BBD439F40}">
  <sheetPr codeName="Sheet8"/>
  <dimension ref="B4:F8"/>
  <sheetViews>
    <sheetView showGridLines="0" workbookViewId="0">
      <selection activeCell="C24" sqref="C24"/>
    </sheetView>
  </sheetViews>
  <sheetFormatPr defaultColWidth="10.6328125" defaultRowHeight="14.5" x14ac:dyDescent="0.35"/>
  <cols>
    <col min="2" max="2" width="11.453125" bestFit="1" customWidth="1"/>
  </cols>
  <sheetData>
    <row r="4" spans="2:6" x14ac:dyDescent="0.35">
      <c r="B4" s="113" t="s">
        <v>12</v>
      </c>
      <c r="D4" s="113" t="s">
        <v>12</v>
      </c>
      <c r="F4" s="113" t="s">
        <v>12</v>
      </c>
    </row>
    <row r="5" spans="2:6" x14ac:dyDescent="0.35">
      <c r="B5" s="110">
        <v>45382</v>
      </c>
      <c r="D5" s="108">
        <v>0.95</v>
      </c>
      <c r="F5" s="3" t="s">
        <v>116</v>
      </c>
    </row>
    <row r="6" spans="2:6" x14ac:dyDescent="0.35">
      <c r="B6" s="111">
        <v>45473</v>
      </c>
      <c r="D6" s="103">
        <v>0.99</v>
      </c>
      <c r="F6" s="3" t="s">
        <v>7</v>
      </c>
    </row>
    <row r="7" spans="2:6" x14ac:dyDescent="0.35">
      <c r="B7" s="110">
        <v>45565</v>
      </c>
    </row>
    <row r="8" spans="2:6" x14ac:dyDescent="0.35">
      <c r="B8" s="112">
        <v>45657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E10CA-8868-4B28-87DA-4AEC71DF1632}">
  <sheetPr codeName="Sheet9">
    <tabColor rgb="FF044689"/>
  </sheetPr>
  <dimension ref="A1:Q28"/>
  <sheetViews>
    <sheetView showGridLines="0" zoomScaleNormal="100" workbookViewId="0"/>
  </sheetViews>
  <sheetFormatPr defaultColWidth="0" defaultRowHeight="14" zeroHeight="1" x14ac:dyDescent="0.3"/>
  <cols>
    <col min="1" max="1" width="1.453125" style="3" customWidth="1"/>
    <col min="2" max="2" width="5.1796875" style="3" customWidth="1"/>
    <col min="3" max="15" width="8.453125" style="3" customWidth="1"/>
    <col min="16" max="17" width="0" style="3" hidden="1" customWidth="1"/>
    <col min="18" max="16384" width="10.6328125" style="3" hidden="1"/>
  </cols>
  <sheetData>
    <row r="1" spans="1:17" x14ac:dyDescent="0.3">
      <c r="A1" s="88"/>
      <c r="B1" s="88"/>
      <c r="C1" s="88"/>
      <c r="D1" s="88"/>
      <c r="E1" s="88"/>
      <c r="F1" s="88"/>
      <c r="G1" s="88"/>
      <c r="H1" s="88"/>
      <c r="I1" s="88"/>
      <c r="J1" s="88"/>
      <c r="K1" s="88"/>
      <c r="L1" s="88"/>
      <c r="M1" s="88"/>
      <c r="N1" s="88"/>
      <c r="O1" s="88"/>
      <c r="P1" s="88"/>
    </row>
    <row r="2" spans="1:17" x14ac:dyDescent="0.3">
      <c r="A2" s="88"/>
      <c r="B2" s="88"/>
      <c r="C2" s="88"/>
      <c r="D2" s="88"/>
      <c r="E2" s="88"/>
      <c r="F2" s="88"/>
      <c r="G2" s="88"/>
      <c r="H2" s="88"/>
      <c r="I2" s="88"/>
      <c r="J2" s="88"/>
      <c r="K2" s="88"/>
      <c r="L2" s="88"/>
      <c r="M2" s="88"/>
      <c r="N2" s="88"/>
      <c r="O2" s="88"/>
      <c r="P2" s="88"/>
    </row>
    <row r="3" spans="1:17" x14ac:dyDescent="0.3">
      <c r="A3" s="88"/>
      <c r="B3" s="88"/>
      <c r="C3" s="88"/>
      <c r="D3" s="88"/>
      <c r="E3" s="88"/>
      <c r="F3" s="88"/>
      <c r="G3" s="88"/>
      <c r="H3" s="88"/>
      <c r="I3" s="88"/>
      <c r="J3" s="88"/>
      <c r="K3" s="88"/>
      <c r="L3" s="88"/>
      <c r="M3" s="88"/>
      <c r="N3" s="88"/>
      <c r="O3" s="88"/>
      <c r="P3" s="88"/>
    </row>
    <row r="4" spans="1:17" x14ac:dyDescent="0.3">
      <c r="A4" s="88"/>
      <c r="B4" s="88"/>
      <c r="P4" s="84"/>
      <c r="Q4" s="84"/>
    </row>
    <row r="5" spans="1:17" x14ac:dyDescent="0.3">
      <c r="A5" s="88"/>
      <c r="B5" s="88"/>
      <c r="C5" s="84"/>
      <c r="D5" s="84"/>
      <c r="E5" s="84"/>
      <c r="F5" s="84"/>
      <c r="G5" s="84"/>
      <c r="H5" s="84"/>
      <c r="I5" s="84"/>
      <c r="J5" s="84"/>
      <c r="K5" s="84"/>
      <c r="L5" s="84"/>
      <c r="M5" s="84"/>
      <c r="N5" s="84"/>
      <c r="O5" s="84"/>
      <c r="P5" s="84"/>
      <c r="Q5" s="84"/>
    </row>
    <row r="6" spans="1:17" x14ac:dyDescent="0.3">
      <c r="A6" s="88"/>
      <c r="B6" s="88"/>
      <c r="C6" s="84"/>
      <c r="D6" s="84"/>
      <c r="E6" s="84"/>
      <c r="F6" s="84"/>
      <c r="G6" s="84"/>
      <c r="H6" s="84"/>
      <c r="I6" s="84"/>
      <c r="J6" s="84"/>
      <c r="K6" s="84"/>
      <c r="L6" s="84"/>
      <c r="M6" s="84"/>
      <c r="N6" s="84"/>
      <c r="O6" s="84"/>
      <c r="P6" s="84"/>
      <c r="Q6" s="84"/>
    </row>
    <row r="7" spans="1:17" x14ac:dyDescent="0.3">
      <c r="A7" s="88"/>
      <c r="B7" s="88"/>
      <c r="C7" s="84"/>
      <c r="D7" s="84"/>
      <c r="E7" s="84"/>
      <c r="F7" s="84"/>
      <c r="G7" s="84"/>
      <c r="H7" s="84"/>
      <c r="I7" s="84"/>
      <c r="J7" s="84"/>
      <c r="K7" s="84"/>
      <c r="L7" s="84"/>
      <c r="M7" s="84"/>
      <c r="N7" s="84"/>
      <c r="O7" s="84"/>
      <c r="P7" s="84"/>
      <c r="Q7" s="84"/>
    </row>
    <row r="8" spans="1:17" ht="23" x14ac:dyDescent="0.5">
      <c r="A8" s="88"/>
      <c r="B8" s="88"/>
      <c r="D8" s="132"/>
      <c r="E8" s="86"/>
      <c r="F8" s="132"/>
      <c r="G8" s="84"/>
      <c r="H8" s="84"/>
      <c r="I8" s="84"/>
      <c r="J8" s="84"/>
      <c r="K8" s="84"/>
      <c r="L8" s="84"/>
      <c r="M8" s="84"/>
      <c r="N8" s="84"/>
      <c r="O8" s="84"/>
      <c r="P8" s="84"/>
      <c r="Q8" s="84"/>
    </row>
    <row r="9" spans="1:17" ht="25" x14ac:dyDescent="0.5">
      <c r="A9" s="88"/>
      <c r="B9" s="88"/>
      <c r="D9" s="91" t="s">
        <v>13</v>
      </c>
      <c r="E9" s="86"/>
      <c r="F9" s="86"/>
      <c r="G9" s="84"/>
      <c r="H9" s="84"/>
      <c r="I9" s="84"/>
      <c r="J9" s="84"/>
      <c r="K9" s="84"/>
      <c r="L9" s="84"/>
      <c r="M9" s="84"/>
      <c r="N9" s="84"/>
      <c r="O9" s="84"/>
      <c r="P9" s="84"/>
      <c r="Q9" s="84"/>
    </row>
    <row r="10" spans="1:17" ht="14.5" x14ac:dyDescent="0.35">
      <c r="A10" s="88"/>
      <c r="B10" s="88"/>
      <c r="D10"/>
      <c r="E10"/>
      <c r="F10"/>
      <c r="G10"/>
      <c r="H10"/>
      <c r="I10"/>
      <c r="J10"/>
      <c r="K10"/>
      <c r="L10" s="84"/>
      <c r="M10" s="84"/>
      <c r="N10" s="84"/>
      <c r="O10" s="84"/>
      <c r="P10" s="84"/>
      <c r="Q10" s="84"/>
    </row>
    <row r="11" spans="1:17" ht="14.5" x14ac:dyDescent="0.35">
      <c r="A11" s="88"/>
      <c r="B11" s="88"/>
      <c r="C11"/>
      <c r="D11"/>
      <c r="E11"/>
      <c r="F11"/>
      <c r="G11"/>
      <c r="H11"/>
      <c r="I11"/>
      <c r="J11"/>
      <c r="K11"/>
      <c r="L11" s="84"/>
      <c r="M11" s="84"/>
      <c r="N11" s="84"/>
      <c r="O11" s="84"/>
      <c r="P11" s="84"/>
      <c r="Q11" s="84"/>
    </row>
    <row r="12" spans="1:17" ht="14.5" x14ac:dyDescent="0.35">
      <c r="A12" s="88"/>
      <c r="B12" s="88"/>
      <c r="C12"/>
      <c r="D12"/>
      <c r="E12"/>
      <c r="F12"/>
      <c r="G12"/>
      <c r="H12"/>
      <c r="I12"/>
      <c r="J12"/>
      <c r="K12"/>
      <c r="L12" s="84"/>
      <c r="M12" s="84"/>
      <c r="N12" s="84"/>
      <c r="O12" s="84"/>
      <c r="P12" s="84"/>
      <c r="Q12" s="84"/>
    </row>
    <row r="13" spans="1:17" ht="14.5" x14ac:dyDescent="0.35">
      <c r="A13" s="88"/>
      <c r="B13" s="88"/>
      <c r="C13"/>
      <c r="D13"/>
      <c r="E13"/>
      <c r="F13"/>
      <c r="G13"/>
      <c r="H13"/>
      <c r="I13"/>
      <c r="J13"/>
      <c r="K13"/>
    </row>
    <row r="14" spans="1:17" ht="14.5" x14ac:dyDescent="0.35">
      <c r="A14" s="88"/>
      <c r="B14" s="88"/>
      <c r="C14"/>
      <c r="D14"/>
      <c r="E14"/>
      <c r="F14"/>
      <c r="G14"/>
      <c r="H14"/>
      <c r="I14"/>
      <c r="J14"/>
      <c r="K14"/>
    </row>
    <row r="15" spans="1:17" ht="14.5" x14ac:dyDescent="0.35">
      <c r="A15" s="88"/>
      <c r="B15" s="88"/>
      <c r="C15"/>
      <c r="D15"/>
      <c r="E15"/>
      <c r="F15"/>
      <c r="G15"/>
      <c r="H15"/>
      <c r="I15"/>
      <c r="J15"/>
      <c r="K15"/>
    </row>
    <row r="16" spans="1:17" x14ac:dyDescent="0.3">
      <c r="A16" s="88"/>
      <c r="B16" s="88"/>
      <c r="D16" s="84"/>
    </row>
    <row r="17" spans="1:4" x14ac:dyDescent="0.3">
      <c r="A17" s="88"/>
      <c r="B17" s="88"/>
      <c r="D17" s="84"/>
    </row>
    <row r="18" spans="1:4" x14ac:dyDescent="0.3">
      <c r="A18" s="88"/>
      <c r="B18" s="88"/>
      <c r="D18" s="84"/>
    </row>
    <row r="19" spans="1:4" hidden="1" x14ac:dyDescent="0.3">
      <c r="D19" s="84"/>
    </row>
    <row r="20" spans="1:4" hidden="1" x14ac:dyDescent="0.3">
      <c r="D20" s="84"/>
    </row>
    <row r="21" spans="1:4" hidden="1" x14ac:dyDescent="0.3">
      <c r="D21" s="84"/>
    </row>
    <row r="22" spans="1:4" hidden="1" x14ac:dyDescent="0.3">
      <c r="D22" s="84"/>
    </row>
    <row r="23" spans="1:4" hidden="1" x14ac:dyDescent="0.3">
      <c r="D23" s="84"/>
    </row>
    <row r="24" spans="1:4" hidden="1" x14ac:dyDescent="0.3">
      <c r="D24" s="84"/>
    </row>
    <row r="25" spans="1:4" hidden="1" x14ac:dyDescent="0.3">
      <c r="D25" s="84"/>
    </row>
    <row r="26" spans="1:4" hidden="1" x14ac:dyDescent="0.3">
      <c r="D26" s="84"/>
    </row>
    <row r="27" spans="1:4" hidden="1" x14ac:dyDescent="0.3">
      <c r="D27" s="84"/>
    </row>
    <row r="28" spans="1:4" hidden="1" x14ac:dyDescent="0.3">
      <c r="D28" s="8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CB859-915E-4939-84D9-191E9B7AB2BD}">
  <sheetPr codeName="Sheet7"/>
  <dimension ref="B2:R100"/>
  <sheetViews>
    <sheetView showGridLines="0" zoomScaleNormal="100" workbookViewId="0"/>
  </sheetViews>
  <sheetFormatPr defaultColWidth="10.6328125" defaultRowHeight="12.5" x14ac:dyDescent="0.25"/>
  <cols>
    <col min="1" max="1" width="1.453125" style="25" customWidth="1"/>
    <col min="2" max="4" width="10.6328125" style="25"/>
    <col min="5" max="9" width="10.453125" style="25" customWidth="1"/>
    <col min="10" max="16384" width="10.6328125" style="25"/>
  </cols>
  <sheetData>
    <row r="2" spans="2:9" ht="20" x14ac:dyDescent="0.4">
      <c r="B2" s="104" t="s">
        <v>14</v>
      </c>
    </row>
    <row r="6" spans="2:9" ht="13" x14ac:dyDescent="0.3">
      <c r="B6" s="27" t="s">
        <v>15</v>
      </c>
    </row>
    <row r="7" spans="2:9" ht="13" x14ac:dyDescent="0.3">
      <c r="B7" s="23" t="s">
        <v>16</v>
      </c>
      <c r="C7" s="24"/>
      <c r="D7" s="24" t="s">
        <v>17</v>
      </c>
      <c r="E7" s="26">
        <v>45657</v>
      </c>
      <c r="F7" s="26">
        <v>45838</v>
      </c>
      <c r="G7" s="26">
        <v>46022</v>
      </c>
      <c r="H7" s="26">
        <v>46203</v>
      </c>
      <c r="I7" s="26">
        <v>46387</v>
      </c>
    </row>
    <row r="8" spans="2:9" ht="13" x14ac:dyDescent="0.3">
      <c r="B8" s="23"/>
      <c r="C8" s="24"/>
      <c r="D8" s="24" t="s">
        <v>18</v>
      </c>
      <c r="E8" s="90">
        <v>200</v>
      </c>
      <c r="F8" s="90">
        <v>200</v>
      </c>
      <c r="G8" s="90">
        <v>200</v>
      </c>
      <c r="H8" s="90">
        <v>200</v>
      </c>
      <c r="I8" s="90">
        <v>10200</v>
      </c>
    </row>
    <row r="9" spans="2:9" ht="14.5" x14ac:dyDescent="0.35">
      <c r="B9" s="27"/>
      <c r="E9"/>
    </row>
    <row r="10" spans="2:9" ht="13" x14ac:dyDescent="0.3">
      <c r="B10" s="23" t="s">
        <v>19</v>
      </c>
      <c r="C10" s="24"/>
      <c r="D10" s="24" t="s">
        <v>17</v>
      </c>
      <c r="E10" s="26">
        <v>45747</v>
      </c>
      <c r="F10" s="26">
        <v>45838</v>
      </c>
      <c r="G10" s="26">
        <v>46022</v>
      </c>
      <c r="H10" s="26">
        <v>46203</v>
      </c>
      <c r="I10" s="24"/>
    </row>
    <row r="11" spans="2:9" x14ac:dyDescent="0.25">
      <c r="B11" s="24"/>
      <c r="C11" s="24"/>
      <c r="D11" s="24" t="s">
        <v>18</v>
      </c>
      <c r="E11" s="90">
        <v>150</v>
      </c>
      <c r="F11" s="90">
        <v>150</v>
      </c>
      <c r="G11" s="90">
        <v>150</v>
      </c>
      <c r="H11" s="90">
        <v>5150</v>
      </c>
      <c r="I11" s="90"/>
    </row>
    <row r="13" spans="2:9" ht="14.5" x14ac:dyDescent="0.35">
      <c r="E13"/>
    </row>
    <row r="14" spans="2:9" x14ac:dyDescent="0.25">
      <c r="B14" s="25" t="s">
        <v>20</v>
      </c>
      <c r="D14" s="126">
        <v>365</v>
      </c>
    </row>
    <row r="16" spans="2:9" x14ac:dyDescent="0.25">
      <c r="B16" s="25" t="s">
        <v>21</v>
      </c>
      <c r="D16" s="51">
        <v>12</v>
      </c>
    </row>
    <row r="19" spans="2:4" x14ac:dyDescent="0.25">
      <c r="B19" s="25" t="s">
        <v>22</v>
      </c>
      <c r="D19" s="52">
        <v>0.94</v>
      </c>
    </row>
    <row r="88" spans="14:14" ht="14.5" x14ac:dyDescent="0.35">
      <c r="N88" s="194"/>
    </row>
    <row r="89" spans="14:14" ht="14.5" x14ac:dyDescent="0.35">
      <c r="N89" s="194"/>
    </row>
    <row r="100" spans="18:18" ht="14.5" x14ac:dyDescent="0.35">
      <c r="R100" s="19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E1C09-E8A1-427A-8EDE-9D0F14494ED6}">
  <sheetPr codeName="Foglio3"/>
  <dimension ref="A2:X341"/>
  <sheetViews>
    <sheetView showGridLines="0" zoomScaleNormal="100" workbookViewId="0">
      <pane xSplit="2" ySplit="3" topLeftCell="C4" activePane="bottomRight" state="frozen"/>
      <selection pane="topRight" activeCell="C1" sqref="C1"/>
      <selection pane="bottomLeft" activeCell="A4" sqref="A4"/>
      <selection pane="bottomRight"/>
    </sheetView>
  </sheetViews>
  <sheetFormatPr defaultColWidth="8.6328125" defaultRowHeight="15" customHeight="1" x14ac:dyDescent="0.35"/>
  <cols>
    <col min="1" max="1" width="1.453125" style="130" customWidth="1"/>
    <col min="2" max="11" width="15" customWidth="1"/>
    <col min="12" max="12" width="10.453125" customWidth="1"/>
    <col min="13" max="22" width="15" customWidth="1"/>
    <col min="23" max="23" width="12" bestFit="1" customWidth="1"/>
    <col min="24" max="24" width="12.1796875" bestFit="1" customWidth="1"/>
  </cols>
  <sheetData>
    <row r="2" spans="1:24" ht="15" customHeight="1" x14ac:dyDescent="0.35">
      <c r="B2" s="32"/>
      <c r="C2" s="35" t="s">
        <v>23</v>
      </c>
      <c r="D2" s="36"/>
      <c r="E2" s="36"/>
      <c r="F2" s="36"/>
      <c r="G2" s="37"/>
      <c r="H2" s="35" t="s">
        <v>24</v>
      </c>
      <c r="I2" s="36"/>
      <c r="J2" s="36"/>
      <c r="K2" s="36"/>
      <c r="L2" s="37"/>
      <c r="M2" s="32" t="s">
        <v>25</v>
      </c>
      <c r="N2" s="33"/>
      <c r="O2" s="33"/>
      <c r="P2" s="33"/>
      <c r="Q2" s="33"/>
      <c r="R2" s="35" t="s">
        <v>26</v>
      </c>
      <c r="S2" s="36"/>
      <c r="T2" s="36"/>
      <c r="U2" s="36"/>
      <c r="V2" s="37"/>
    </row>
    <row r="3" spans="1:24" ht="15" customHeight="1" x14ac:dyDescent="0.35">
      <c r="B3" s="32" t="s">
        <v>4</v>
      </c>
      <c r="C3" s="38">
        <v>3</v>
      </c>
      <c r="D3" s="39">
        <v>6</v>
      </c>
      <c r="E3" s="39">
        <v>12</v>
      </c>
      <c r="F3" s="39">
        <v>24</v>
      </c>
      <c r="G3" s="40">
        <v>60</v>
      </c>
      <c r="H3" s="38">
        <v>3</v>
      </c>
      <c r="I3" s="39">
        <v>6</v>
      </c>
      <c r="J3" s="39">
        <v>12</v>
      </c>
      <c r="K3" s="39">
        <v>24</v>
      </c>
      <c r="L3" s="40">
        <v>60</v>
      </c>
      <c r="M3" s="34">
        <v>3</v>
      </c>
      <c r="N3" s="34">
        <v>6</v>
      </c>
      <c r="O3" s="34">
        <v>12</v>
      </c>
      <c r="P3" s="34">
        <v>24</v>
      </c>
      <c r="Q3" s="34">
        <v>60</v>
      </c>
      <c r="R3" s="38">
        <v>3</v>
      </c>
      <c r="S3" s="39">
        <v>6</v>
      </c>
      <c r="T3" s="39">
        <v>12</v>
      </c>
      <c r="U3" s="39">
        <v>24</v>
      </c>
      <c r="V3" s="40">
        <v>60</v>
      </c>
    </row>
    <row r="4" spans="1:24" s="29" customFormat="1" ht="20" customHeight="1" x14ac:dyDescent="0.35">
      <c r="A4" s="131"/>
      <c r="B4" s="28">
        <v>43829</v>
      </c>
      <c r="C4" s="30">
        <v>-5.0716950000000002E-3</v>
      </c>
      <c r="D4" s="30">
        <v>-4.9333349999999996E-3</v>
      </c>
      <c r="E4" s="30">
        <v>-4.6340749999999997E-3</v>
      </c>
      <c r="F4" s="30">
        <v>-3.9604250000000001E-3</v>
      </c>
      <c r="G4" s="30">
        <v>-1.5802949999999998E-3</v>
      </c>
      <c r="H4" s="31">
        <f>EXP(-0.25*C4)</f>
        <v>1.0012687279051511</v>
      </c>
      <c r="I4" s="31">
        <f>EXP(-0.5*D4)</f>
        <v>1.0024697122272064</v>
      </c>
      <c r="J4" s="31">
        <f>EXP(-1*E4)</f>
        <v>1.0046448289306429</v>
      </c>
      <c r="K4" s="31">
        <f>EXP(-2*F4)</f>
        <v>1.0079523029221431</v>
      </c>
      <c r="L4" s="31">
        <f>EXP(-5*G4)</f>
        <v>1.0079327740354607</v>
      </c>
      <c r="M4" s="31"/>
      <c r="N4" s="31"/>
      <c r="O4" s="31"/>
      <c r="P4" s="31"/>
      <c r="Q4" s="31"/>
      <c r="R4" s="30">
        <f>+EXP(C4)-1</f>
        <v>-5.0588556698063503E-3</v>
      </c>
      <c r="S4" s="30">
        <f>+EXP(D4)-1</f>
        <v>-4.9211860893149106E-3</v>
      </c>
      <c r="T4" s="30">
        <f>+EXP(E4)-1</f>
        <v>-4.6233542411072692E-3</v>
      </c>
      <c r="U4" s="30">
        <f>+EXP(F4)-1</f>
        <v>-3.9525928598557192E-3</v>
      </c>
      <c r="V4" s="30">
        <f>+EXP(G4)-1</f>
        <v>-1.5790469913503635E-3</v>
      </c>
      <c r="X4" s="139"/>
    </row>
    <row r="5" spans="1:24" s="29" customFormat="1" ht="20" customHeight="1" x14ac:dyDescent="0.35">
      <c r="A5" s="131"/>
      <c r="B5" s="28">
        <v>43836</v>
      </c>
      <c r="C5" s="30">
        <v>-5.2415180000000006E-3</v>
      </c>
      <c r="D5" s="30">
        <v>-5.0844339999999997E-3</v>
      </c>
      <c r="E5" s="30">
        <v>-4.7550860000000004E-3</v>
      </c>
      <c r="F5" s="30">
        <v>-4.0451259999999996E-3</v>
      </c>
      <c r="G5" s="30">
        <v>-1.6649480000000001E-3</v>
      </c>
      <c r="H5" s="31">
        <f>EXP(-0.25*C5)</f>
        <v>1.0013112384223475</v>
      </c>
      <c r="I5" s="31">
        <f t="shared" ref="I5:I68" si="0">EXP(-0.5*D5)</f>
        <v>1.002545451173714</v>
      </c>
      <c r="J5" s="31">
        <f t="shared" ref="J5:J68" si="1">EXP(-1*E5)</f>
        <v>1.0047664093621731</v>
      </c>
      <c r="K5" s="31">
        <f t="shared" ref="K5:K68" si="2">EXP(-2*F5)</f>
        <v>1.0081230665216019</v>
      </c>
      <c r="L5" s="31">
        <f>EXP(-5*G5)</f>
        <v>1.008359487001024</v>
      </c>
      <c r="M5" s="30">
        <f>+LN(H5/H4)</f>
        <v>4.2455750000129533E-5</v>
      </c>
      <c r="N5" s="30">
        <f t="shared" ref="N5:Q20" si="3">+LN(I5/I4)</f>
        <v>7.5549499999958447E-5</v>
      </c>
      <c r="O5" s="30">
        <f t="shared" si="3"/>
        <v>1.2101100000011027E-4</v>
      </c>
      <c r="P5" s="30">
        <f t="shared" si="3"/>
        <v>1.6940199999981807E-4</v>
      </c>
      <c r="Q5" s="30">
        <f t="shared" si="3"/>
        <v>4.2326500000011908E-4</v>
      </c>
      <c r="R5" s="30">
        <f>+EXP(C5)-1</f>
        <v>-5.2278052135946718E-3</v>
      </c>
      <c r="S5" s="30">
        <f t="shared" ref="S5:V20" si="4">+EXP(D5)-1</f>
        <v>-5.0715301443137184E-3</v>
      </c>
      <c r="T5" s="30">
        <f t="shared" si="4"/>
        <v>-4.7437984767014774E-3</v>
      </c>
      <c r="U5" s="30">
        <f t="shared" si="4"/>
        <v>-4.0369554984375222E-3</v>
      </c>
      <c r="V5" s="30">
        <f t="shared" si="4"/>
        <v>-1.6635627429789634E-3</v>
      </c>
    </row>
    <row r="6" spans="1:24" s="29" customFormat="1" ht="20" customHeight="1" x14ac:dyDescent="0.35">
      <c r="A6" s="131"/>
      <c r="B6" s="28">
        <v>43843</v>
      </c>
      <c r="C6" s="30">
        <v>-5.0028260000000001E-3</v>
      </c>
      <c r="D6" s="30">
        <v>-4.8202799999999997E-3</v>
      </c>
      <c r="E6" s="30">
        <v>-4.4519859999999998E-3</v>
      </c>
      <c r="F6" s="30">
        <v>-3.7027240000000001E-3</v>
      </c>
      <c r="G6" s="30">
        <v>-1.373752E-3</v>
      </c>
      <c r="H6" s="31">
        <f t="shared" ref="H6:H68" si="5">EXP(-0.25*C6)</f>
        <v>1.0012514889595496</v>
      </c>
      <c r="I6" s="31">
        <f t="shared" si="0"/>
        <v>1.002413046722143</v>
      </c>
      <c r="J6" s="31">
        <f t="shared" si="1"/>
        <v>1.0044619108125818</v>
      </c>
      <c r="K6" s="31">
        <f t="shared" si="2"/>
        <v>1.0074329361421479</v>
      </c>
      <c r="L6" s="31">
        <f t="shared" ref="L6:L68" si="6">EXP(-5*G6)</f>
        <v>1.0068924040360376</v>
      </c>
      <c r="M6" s="30">
        <f t="shared" ref="M6:M69" si="7">+LN(H6/H5)</f>
        <v>-5.9673000000092567E-5</v>
      </c>
      <c r="N6" s="30">
        <f t="shared" si="3"/>
        <v>-1.3207700000007918E-4</v>
      </c>
      <c r="O6" s="30">
        <f t="shared" si="3"/>
        <v>-3.0309999999995625E-4</v>
      </c>
      <c r="P6" s="30">
        <f t="shared" si="3"/>
        <v>-6.848040000000205E-4</v>
      </c>
      <c r="Q6" s="30">
        <f t="shared" si="3"/>
        <v>-1.4559799999999147E-3</v>
      </c>
      <c r="R6" s="30">
        <f t="shared" ref="R6:R69" si="8">+EXP(C6)-1</f>
        <v>-4.9903327086107119E-3</v>
      </c>
      <c r="S6" s="30">
        <f t="shared" si="4"/>
        <v>-4.8086810945019431E-3</v>
      </c>
      <c r="T6" s="30">
        <f t="shared" si="4"/>
        <v>-4.4420906005009364E-3</v>
      </c>
      <c r="U6" s="30">
        <f t="shared" si="4"/>
        <v>-3.6958773704898196E-3</v>
      </c>
      <c r="V6" s="30">
        <f t="shared" si="4"/>
        <v>-1.3728088346623979E-3</v>
      </c>
      <c r="X6" s="140"/>
    </row>
    <row r="7" spans="1:24" s="29" customFormat="1" ht="20" customHeight="1" x14ac:dyDescent="0.35">
      <c r="A7" s="131"/>
      <c r="B7" s="28">
        <v>43850</v>
      </c>
      <c r="C7" s="30">
        <v>-4.7139720000000003E-3</v>
      </c>
      <c r="D7" s="30">
        <v>-4.5480479999999998E-3</v>
      </c>
      <c r="E7" s="30">
        <v>-4.2256679999999993E-3</v>
      </c>
      <c r="F7" s="30">
        <v>-3.6028060000000001E-3</v>
      </c>
      <c r="G7" s="30">
        <v>-1.7196220000000001E-3</v>
      </c>
      <c r="H7" s="31">
        <f t="shared" si="5"/>
        <v>1.0011791876957468</v>
      </c>
      <c r="I7" s="31">
        <f t="shared" si="0"/>
        <v>1.0022766115535908</v>
      </c>
      <c r="J7" s="31">
        <f t="shared" si="1"/>
        <v>1.0042346087240979</v>
      </c>
      <c r="K7" s="31">
        <f t="shared" si="2"/>
        <v>1.0072316348882098</v>
      </c>
      <c r="L7" s="31">
        <f t="shared" si="6"/>
        <v>1.0086351799153546</v>
      </c>
      <c r="M7" s="30">
        <f t="shared" si="7"/>
        <v>-7.2213499999985772E-5</v>
      </c>
      <c r="N7" s="30">
        <f t="shared" si="3"/>
        <v>-1.3611599999997941E-4</v>
      </c>
      <c r="O7" s="30">
        <f t="shared" si="3"/>
        <v>-2.2631799999989259E-4</v>
      </c>
      <c r="P7" s="30">
        <f t="shared" si="3"/>
        <v>-1.9983599999979858E-4</v>
      </c>
      <c r="Q7" s="30">
        <f t="shared" si="3"/>
        <v>1.7293499999999648E-3</v>
      </c>
      <c r="R7" s="30">
        <f t="shared" si="8"/>
        <v>-4.7028786720494375E-3</v>
      </c>
      <c r="S7" s="30">
        <f t="shared" si="4"/>
        <v>-4.5377212910824305E-3</v>
      </c>
      <c r="T7" s="30">
        <f t="shared" si="4"/>
        <v>-4.2167524274809853E-3</v>
      </c>
      <c r="U7" s="30">
        <f t="shared" si="4"/>
        <v>-3.5963236816450861E-3</v>
      </c>
      <c r="V7" s="30">
        <f t="shared" si="4"/>
        <v>-1.7181442972399319E-3</v>
      </c>
      <c r="X7" s="141"/>
    </row>
    <row r="8" spans="1:24" s="29" customFormat="1" ht="20" customHeight="1" x14ac:dyDescent="0.35">
      <c r="A8" s="131"/>
      <c r="B8" s="28">
        <v>43857</v>
      </c>
      <c r="C8" s="30">
        <v>-4.9036899999999996E-3</v>
      </c>
      <c r="D8" s="30">
        <v>-4.8430299999999999E-3</v>
      </c>
      <c r="E8" s="30">
        <v>-4.7078459999999999E-3</v>
      </c>
      <c r="F8" s="30">
        <v>-4.3788679999999993E-3</v>
      </c>
      <c r="G8" s="30">
        <v>-2.943476E-3</v>
      </c>
      <c r="H8" s="31">
        <f t="shared" si="5"/>
        <v>1.0012266742501523</v>
      </c>
      <c r="I8" s="31">
        <f t="shared" si="0"/>
        <v>1.0024244492354013</v>
      </c>
      <c r="J8" s="31">
        <f t="shared" si="1"/>
        <v>1.0047189453181045</v>
      </c>
      <c r="K8" s="31">
        <f t="shared" si="2"/>
        <v>1.0087961971655115</v>
      </c>
      <c r="L8" s="31">
        <f t="shared" si="6"/>
        <v>1.0148262138981816</v>
      </c>
      <c r="M8" s="30">
        <f t="shared" si="7"/>
        <v>4.7429499999878363E-5</v>
      </c>
      <c r="N8" s="30">
        <f t="shared" si="3"/>
        <v>1.4749100000017529E-4</v>
      </c>
      <c r="O8" s="30">
        <f t="shared" si="3"/>
        <v>4.8217800000001083E-4</v>
      </c>
      <c r="P8" s="30">
        <f t="shared" si="3"/>
        <v>1.5521239999998172E-3</v>
      </c>
      <c r="Q8" s="30">
        <f t="shared" si="3"/>
        <v>6.1192699999999501E-3</v>
      </c>
      <c r="R8" s="30">
        <f t="shared" si="8"/>
        <v>-4.8916865406215537E-3</v>
      </c>
      <c r="S8" s="30">
        <f t="shared" si="4"/>
        <v>-4.8313214394721804E-3</v>
      </c>
      <c r="T8" s="30">
        <f t="shared" si="4"/>
        <v>-4.6967814632083993E-3</v>
      </c>
      <c r="U8" s="30">
        <f t="shared" si="4"/>
        <v>-4.3692947359699197E-3</v>
      </c>
      <c r="V8" s="30">
        <f t="shared" si="4"/>
        <v>-2.9391482217971943E-3</v>
      </c>
    </row>
    <row r="9" spans="1:24" s="29" customFormat="1" ht="20" customHeight="1" x14ac:dyDescent="0.35">
      <c r="A9" s="131"/>
      <c r="B9" s="28">
        <v>43864</v>
      </c>
      <c r="C9" s="30">
        <v>-5.1493159999999993E-3</v>
      </c>
      <c r="D9" s="30">
        <v>-5.0751499999999996E-3</v>
      </c>
      <c r="E9" s="30">
        <v>-4.910228E-3</v>
      </c>
      <c r="F9" s="30">
        <v>-4.5163960000000006E-3</v>
      </c>
      <c r="G9" s="30">
        <v>-2.9090099999999996E-3</v>
      </c>
      <c r="H9" s="31">
        <f t="shared" si="5"/>
        <v>1.0012881579636552</v>
      </c>
      <c r="I9" s="31">
        <f t="shared" si="0"/>
        <v>1.0025407973685312</v>
      </c>
      <c r="J9" s="31">
        <f t="shared" si="1"/>
        <v>1.0049223029249612</v>
      </c>
      <c r="K9" s="31">
        <f t="shared" si="2"/>
        <v>1.0090737107764614</v>
      </c>
      <c r="L9" s="31">
        <f t="shared" si="6"/>
        <v>1.014651343964841</v>
      </c>
      <c r="M9" s="30">
        <f>+LN(H9/H8)</f>
        <v>6.1406500000080579E-5</v>
      </c>
      <c r="N9" s="30">
        <f t="shared" si="3"/>
        <v>1.1606000000010346E-4</v>
      </c>
      <c r="O9" s="30">
        <f t="shared" si="3"/>
        <v>2.0238199999984951E-4</v>
      </c>
      <c r="P9" s="30">
        <f t="shared" si="3"/>
        <v>2.7505599999996214E-4</v>
      </c>
      <c r="Q9" s="30">
        <f t="shared" si="3"/>
        <v>-1.7233000000004825E-4</v>
      </c>
      <c r="R9" s="30">
        <f t="shared" si="8"/>
        <v>-5.1360809991779499E-3</v>
      </c>
      <c r="S9" s="30">
        <f t="shared" si="4"/>
        <v>-5.0622931855217601E-3</v>
      </c>
      <c r="T9" s="30">
        <f t="shared" si="4"/>
        <v>-4.8981925375068958E-3</v>
      </c>
      <c r="U9" s="30">
        <f t="shared" si="4"/>
        <v>-4.5062124203800735E-3</v>
      </c>
      <c r="V9" s="30">
        <f t="shared" si="4"/>
        <v>-2.904782930266081E-3</v>
      </c>
    </row>
    <row r="10" spans="1:24" s="29" customFormat="1" ht="20" customHeight="1" x14ac:dyDescent="0.35">
      <c r="A10" s="131"/>
      <c r="B10" s="28">
        <v>43871</v>
      </c>
      <c r="C10" s="30">
        <v>-5.2744080000000004E-3</v>
      </c>
      <c r="D10" s="30">
        <v>-5.1821899999999997E-3</v>
      </c>
      <c r="E10" s="30">
        <v>-4.9856840000000006E-3</v>
      </c>
      <c r="F10" s="30">
        <v>-4.5482780000000002E-3</v>
      </c>
      <c r="G10" s="30">
        <v>-2.9581800000000004E-3</v>
      </c>
      <c r="H10" s="31">
        <f>EXP(-0.25*C10)</f>
        <v>1.0013194717378546</v>
      </c>
      <c r="I10" s="31">
        <f t="shared" si="0"/>
        <v>1.002594454787866</v>
      </c>
      <c r="J10" s="31">
        <f t="shared" si="1"/>
        <v>1.0049981332031395</v>
      </c>
      <c r="K10" s="31">
        <f t="shared" si="2"/>
        <v>1.0091380554039688</v>
      </c>
      <c r="L10" s="31">
        <f t="shared" si="6"/>
        <v>1.014900826664159</v>
      </c>
      <c r="M10" s="30">
        <f t="shared" si="7"/>
        <v>3.127300000019455E-5</v>
      </c>
      <c r="N10" s="30">
        <f t="shared" si="3"/>
        <v>5.3519999999842773E-5</v>
      </c>
      <c r="O10" s="30">
        <f t="shared" si="3"/>
        <v>7.5456000000081238E-5</v>
      </c>
      <c r="P10" s="30">
        <f t="shared" si="3"/>
        <v>6.3763999999925334E-5</v>
      </c>
      <c r="Q10" s="30">
        <f t="shared" si="3"/>
        <v>2.4585000000004628E-4</v>
      </c>
      <c r="R10" s="30">
        <f t="shared" si="8"/>
        <v>-5.260522733038675E-3</v>
      </c>
      <c r="S10" s="30">
        <f t="shared" si="4"/>
        <v>-5.1687856180824276E-3</v>
      </c>
      <c r="T10" s="30">
        <f t="shared" si="4"/>
        <v>-4.9732761067022846E-3</v>
      </c>
      <c r="U10" s="30">
        <f t="shared" si="4"/>
        <v>-4.5379502473802402E-3</v>
      </c>
      <c r="V10" s="30">
        <f t="shared" si="4"/>
        <v>-2.9538088967762111E-3</v>
      </c>
    </row>
    <row r="11" spans="1:24" s="29" customFormat="1" ht="20" customHeight="1" x14ac:dyDescent="0.35">
      <c r="A11" s="131"/>
      <c r="B11" s="28">
        <v>43878</v>
      </c>
      <c r="C11" s="30">
        <v>-5.1926640000000005E-3</v>
      </c>
      <c r="D11" s="30">
        <v>-5.1329960000000008E-3</v>
      </c>
      <c r="E11" s="30">
        <v>-4.9922199999999995E-3</v>
      </c>
      <c r="F11" s="30">
        <v>-4.6344579999999993E-3</v>
      </c>
      <c r="G11" s="30">
        <v>-3.1179120000000005E-3</v>
      </c>
      <c r="H11" s="31">
        <f t="shared" si="5"/>
        <v>1.0012990089822194</v>
      </c>
      <c r="I11" s="31">
        <f t="shared" si="0"/>
        <v>1.0025697942753502</v>
      </c>
      <c r="J11" s="31">
        <f t="shared" si="1"/>
        <v>1.0050047018924047</v>
      </c>
      <c r="K11" s="31">
        <f t="shared" si="2"/>
        <v>1.0093120054297808</v>
      </c>
      <c r="L11" s="31">
        <f t="shared" si="6"/>
        <v>1.0157117111257723</v>
      </c>
      <c r="M11" s="30">
        <f t="shared" si="7"/>
        <v>-2.0436000000005064E-5</v>
      </c>
      <c r="N11" s="30">
        <f t="shared" si="3"/>
        <v>-2.4596999999939558E-5</v>
      </c>
      <c r="O11" s="30">
        <f t="shared" si="3"/>
        <v>6.5360000002207298E-6</v>
      </c>
      <c r="P11" s="30">
        <f t="shared" si="3"/>
        <v>1.723600000000942E-4</v>
      </c>
      <c r="Q11" s="30">
        <f t="shared" si="3"/>
        <v>7.9866000000008259E-4</v>
      </c>
      <c r="R11" s="30">
        <f t="shared" si="8"/>
        <v>-5.1792054256533104E-3</v>
      </c>
      <c r="S11" s="30">
        <f t="shared" si="4"/>
        <v>-5.1198446875320158E-3</v>
      </c>
      <c r="T11" s="30">
        <f t="shared" si="4"/>
        <v>-4.9797795801161948E-3</v>
      </c>
      <c r="U11" s="30">
        <f t="shared" si="4"/>
        <v>-4.6237354702896027E-3</v>
      </c>
      <c r="V11" s="30">
        <f t="shared" si="4"/>
        <v>-3.1130563601770023E-3</v>
      </c>
    </row>
    <row r="12" spans="1:24" s="29" customFormat="1" ht="20" customHeight="1" x14ac:dyDescent="0.35">
      <c r="A12" s="131"/>
      <c r="B12" s="28">
        <v>43885</v>
      </c>
      <c r="C12" s="30">
        <v>-5.2462919999999988E-3</v>
      </c>
      <c r="D12" s="30">
        <v>-5.1728699999999996E-3</v>
      </c>
      <c r="E12" s="30">
        <v>-5.0104780000000005E-3</v>
      </c>
      <c r="F12" s="30">
        <v>-4.630088000000001E-3</v>
      </c>
      <c r="G12" s="30">
        <v>-3.1597600000000002E-3</v>
      </c>
      <c r="H12" s="31">
        <f t="shared" si="5"/>
        <v>1.0013124334880237</v>
      </c>
      <c r="I12" s="31">
        <f t="shared" si="0"/>
        <v>1.0025897827085926</v>
      </c>
      <c r="J12" s="31">
        <f t="shared" si="1"/>
        <v>1.0050230514357643</v>
      </c>
      <c r="K12" s="31">
        <f t="shared" si="2"/>
        <v>1.0093031840814028</v>
      </c>
      <c r="L12" s="31">
        <f t="shared" si="6"/>
        <v>1.015924260880388</v>
      </c>
      <c r="M12" s="30">
        <f t="shared" si="7"/>
        <v>1.3406999999847318E-5</v>
      </c>
      <c r="N12" s="30">
        <f t="shared" si="3"/>
        <v>1.9936999999964214E-5</v>
      </c>
      <c r="O12" s="30">
        <f t="shared" si="3"/>
        <v>1.825800000003462E-5</v>
      </c>
      <c r="P12" s="30">
        <f t="shared" si="3"/>
        <v>-8.739999999858821E-6</v>
      </c>
      <c r="Q12" s="30">
        <f t="shared" si="3"/>
        <v>2.0923999999991291E-4</v>
      </c>
      <c r="R12" s="30">
        <f t="shared" si="8"/>
        <v>-5.2325542447166917E-3</v>
      </c>
      <c r="S12" s="30">
        <f t="shared" si="4"/>
        <v>-5.1595137479575337E-3</v>
      </c>
      <c r="T12" s="30">
        <f t="shared" si="4"/>
        <v>-4.9979464934544193E-3</v>
      </c>
      <c r="U12" s="30">
        <f t="shared" si="4"/>
        <v>-4.6193856665093236E-3</v>
      </c>
      <c r="V12" s="30">
        <f t="shared" si="4"/>
        <v>-3.1547732121048888E-3</v>
      </c>
    </row>
    <row r="13" spans="1:24" s="29" customFormat="1" ht="20" customHeight="1" x14ac:dyDescent="0.35">
      <c r="A13" s="131"/>
      <c r="B13" s="28">
        <v>43892</v>
      </c>
      <c r="C13" s="30">
        <v>-5.3208519999999992E-3</v>
      </c>
      <c r="D13" s="30">
        <v>-5.2834420000000002E-3</v>
      </c>
      <c r="E13" s="30">
        <v>-5.1814160000000012E-3</v>
      </c>
      <c r="F13" s="30">
        <v>-4.8825780000000011E-3</v>
      </c>
      <c r="G13" s="30">
        <v>-3.4632300000000003E-3</v>
      </c>
      <c r="H13" s="31">
        <f t="shared" si="5"/>
        <v>1.0013310981257377</v>
      </c>
      <c r="I13" s="31">
        <f t="shared" si="0"/>
        <v>1.0026452134195765</v>
      </c>
      <c r="J13" s="31">
        <f t="shared" si="1"/>
        <v>1.0051948627502534</v>
      </c>
      <c r="K13" s="31">
        <f t="shared" si="2"/>
        <v>1.0098129907135431</v>
      </c>
      <c r="L13" s="31">
        <f t="shared" si="6"/>
        <v>1.0174669436565069</v>
      </c>
      <c r="M13" s="30">
        <f t="shared" si="7"/>
        <v>1.864000000000181E-5</v>
      </c>
      <c r="N13" s="30">
        <f t="shared" si="3"/>
        <v>5.5286000000023736E-5</v>
      </c>
      <c r="O13" s="30">
        <f t="shared" si="3"/>
        <v>1.7093799999988015E-4</v>
      </c>
      <c r="P13" s="30">
        <f t="shared" si="3"/>
        <v>5.0497999999993682E-4</v>
      </c>
      <c r="Q13" s="30">
        <f t="shared" si="3"/>
        <v>1.5173499999999477E-3</v>
      </c>
      <c r="R13" s="30">
        <f t="shared" si="8"/>
        <v>-5.306721340488485E-3</v>
      </c>
      <c r="S13" s="30">
        <f t="shared" si="4"/>
        <v>-5.2695091688845785E-3</v>
      </c>
      <c r="T13" s="30">
        <f t="shared" si="4"/>
        <v>-5.1680156184245041E-3</v>
      </c>
      <c r="U13" s="30">
        <f t="shared" si="4"/>
        <v>-4.8706775921382173E-3</v>
      </c>
      <c r="V13" s="30">
        <f t="shared" si="4"/>
        <v>-3.4572399359685813E-3</v>
      </c>
    </row>
    <row r="14" spans="1:24" s="29" customFormat="1" ht="20" customHeight="1" x14ac:dyDescent="0.35">
      <c r="A14" s="131"/>
      <c r="B14" s="28">
        <v>43899</v>
      </c>
      <c r="C14" s="30">
        <v>-4.6799460000000008E-3</v>
      </c>
      <c r="D14" s="30">
        <v>-4.6438220000000006E-3</v>
      </c>
      <c r="E14" s="30">
        <v>-4.5289960000000004E-3</v>
      </c>
      <c r="F14" s="30">
        <v>-4.1629400000000004E-3</v>
      </c>
      <c r="G14" s="30">
        <v>-2.4695339999999998E-3</v>
      </c>
      <c r="H14" s="31">
        <f t="shared" si="5"/>
        <v>1.0011706712012094</v>
      </c>
      <c r="I14" s="31">
        <f t="shared" si="0"/>
        <v>1.0023246087228994</v>
      </c>
      <c r="J14" s="31">
        <f t="shared" si="1"/>
        <v>1.0045392674029108</v>
      </c>
      <c r="K14" s="31">
        <f t="shared" si="2"/>
        <v>1.0083606365314943</v>
      </c>
      <c r="L14" s="31">
        <f t="shared" si="6"/>
        <v>1.012424217212667</v>
      </c>
      <c r="M14" s="30">
        <f t="shared" si="7"/>
        <v>-1.6022649999998122E-4</v>
      </c>
      <c r="N14" s="30">
        <f t="shared" si="3"/>
        <v>-3.1980999999990775E-4</v>
      </c>
      <c r="O14" s="30">
        <f t="shared" si="3"/>
        <v>-6.5241999999998397E-4</v>
      </c>
      <c r="P14" s="30">
        <f t="shared" si="3"/>
        <v>-1.4392759999999713E-3</v>
      </c>
      <c r="Q14" s="30">
        <f t="shared" si="3"/>
        <v>-4.9684799999999791E-3</v>
      </c>
      <c r="R14" s="30">
        <f t="shared" si="8"/>
        <v>-4.6690121160306575E-3</v>
      </c>
      <c r="S14" s="30">
        <f t="shared" si="4"/>
        <v>-4.6330561299912087E-3</v>
      </c>
      <c r="T14" s="30">
        <f t="shared" si="4"/>
        <v>-4.5187555630815668E-3</v>
      </c>
      <c r="U14" s="30">
        <f t="shared" si="4"/>
        <v>-4.1542869767813295E-3</v>
      </c>
      <c r="V14" s="30">
        <f t="shared" si="4"/>
        <v>-2.4664872094783963E-3</v>
      </c>
    </row>
    <row r="15" spans="1:24" s="29" customFormat="1" ht="20" customHeight="1" x14ac:dyDescent="0.35">
      <c r="A15" s="131"/>
      <c r="B15" s="28">
        <v>43906</v>
      </c>
      <c r="C15" s="30">
        <v>-3.48285E-3</v>
      </c>
      <c r="D15" s="30">
        <v>-2.8539540000000001E-3</v>
      </c>
      <c r="E15" s="30">
        <v>-1.859882E-3</v>
      </c>
      <c r="F15" s="30">
        <v>-4.9835199999999997E-4</v>
      </c>
      <c r="G15" s="30">
        <v>2.173908E-3</v>
      </c>
      <c r="H15" s="31">
        <f t="shared" si="5"/>
        <v>1.0008710916801731</v>
      </c>
      <c r="I15" s="31">
        <f t="shared" si="0"/>
        <v>1.0014279956161356</v>
      </c>
      <c r="J15" s="31">
        <f t="shared" si="1"/>
        <v>1.0018616126532975</v>
      </c>
      <c r="K15" s="31">
        <f t="shared" si="2"/>
        <v>1.000997200874497</v>
      </c>
      <c r="L15" s="31">
        <f t="shared" si="6"/>
        <v>0.98918931999651361</v>
      </c>
      <c r="M15" s="30">
        <f t="shared" si="7"/>
        <v>-2.9927400000000188E-4</v>
      </c>
      <c r="N15" s="30">
        <f t="shared" si="3"/>
        <v>-8.9493399999999936E-4</v>
      </c>
      <c r="O15" s="30">
        <f t="shared" si="3"/>
        <v>-2.6691140000000271E-3</v>
      </c>
      <c r="P15" s="30">
        <f t="shared" si="3"/>
        <v>-7.3291760000000587E-3</v>
      </c>
      <c r="Q15" s="30">
        <f t="shared" si="3"/>
        <v>-2.3217209999999929E-2</v>
      </c>
      <c r="R15" s="30">
        <f t="shared" si="8"/>
        <v>-3.4767919131155622E-3</v>
      </c>
      <c r="S15" s="30">
        <f t="shared" si="4"/>
        <v>-2.84988534478825E-3</v>
      </c>
      <c r="T15" s="30">
        <f t="shared" si="4"/>
        <v>-1.858153491246517E-3</v>
      </c>
      <c r="U15" s="30">
        <f t="shared" si="4"/>
        <v>-4.982278432674736E-4</v>
      </c>
      <c r="V15" s="30">
        <f t="shared" si="4"/>
        <v>2.1762726511971309E-3</v>
      </c>
    </row>
    <row r="16" spans="1:24" s="29" customFormat="1" ht="20" customHeight="1" x14ac:dyDescent="0.35">
      <c r="A16" s="131"/>
      <c r="B16" s="28">
        <v>43913</v>
      </c>
      <c r="C16" s="30">
        <v>-3.7601839999999997E-3</v>
      </c>
      <c r="D16" s="30">
        <v>-3.3837939999999999E-3</v>
      </c>
      <c r="E16" s="30">
        <v>-2.7864539999999998E-3</v>
      </c>
      <c r="F16" s="30">
        <v>-1.9205819999999999E-3</v>
      </c>
      <c r="G16" s="30">
        <v>3.9869799999999996E-4</v>
      </c>
      <c r="H16" s="31">
        <f t="shared" si="5"/>
        <v>1.0009404879817245</v>
      </c>
      <c r="I16" s="31">
        <f t="shared" si="0"/>
        <v>1.001693329065251</v>
      </c>
      <c r="J16" s="31">
        <f t="shared" si="1"/>
        <v>1.0027903397712832</v>
      </c>
      <c r="K16" s="31">
        <f t="shared" si="2"/>
        <v>1.0038485507252837</v>
      </c>
      <c r="L16" s="31">
        <f t="shared" si="6"/>
        <v>0.99800849568149219</v>
      </c>
      <c r="M16" s="30">
        <f t="shared" si="7"/>
        <v>6.9333499999908035E-5</v>
      </c>
      <c r="N16" s="30">
        <f t="shared" si="3"/>
        <v>2.6491999999985166E-4</v>
      </c>
      <c r="O16" s="30">
        <f t="shared" si="3"/>
        <v>9.2657200000016151E-4</v>
      </c>
      <c r="P16" s="30">
        <f t="shared" si="3"/>
        <v>2.8444600000000759E-3</v>
      </c>
      <c r="Q16" s="30">
        <f t="shared" si="3"/>
        <v>8.876050000000078E-3</v>
      </c>
      <c r="R16" s="30">
        <f t="shared" si="8"/>
        <v>-3.7531233606831194E-3</v>
      </c>
      <c r="S16" s="30">
        <f t="shared" si="4"/>
        <v>-3.3780754210656072E-3</v>
      </c>
      <c r="T16" s="30">
        <f t="shared" si="4"/>
        <v>-2.7825754403653091E-3</v>
      </c>
      <c r="U16" s="30">
        <f t="shared" si="4"/>
        <v>-1.9187388625450108E-3</v>
      </c>
      <c r="V16" s="30">
        <f t="shared" si="4"/>
        <v>3.987774906115682E-4</v>
      </c>
    </row>
    <row r="17" spans="1:22" s="29" customFormat="1" ht="20" customHeight="1" x14ac:dyDescent="0.35">
      <c r="A17" s="131"/>
      <c r="B17" s="28">
        <v>43920</v>
      </c>
      <c r="C17" s="30">
        <v>-3.7592900000000002E-3</v>
      </c>
      <c r="D17" s="30">
        <v>-3.3790439999999999E-3</v>
      </c>
      <c r="E17" s="30">
        <v>-2.8245660000000006E-3</v>
      </c>
      <c r="F17" s="30">
        <v>-2.1291819999999999E-3</v>
      </c>
      <c r="G17" s="30">
        <v>-1.5153000000000001E-4</v>
      </c>
      <c r="H17" s="31">
        <f t="shared" si="5"/>
        <v>1.0009402642715506</v>
      </c>
      <c r="I17" s="31">
        <f t="shared" si="0"/>
        <v>1.0016909500464195</v>
      </c>
      <c r="J17" s="31">
        <f t="shared" si="1"/>
        <v>1.0028285588450105</v>
      </c>
      <c r="K17" s="31">
        <f t="shared" si="2"/>
        <v>1.004267443715648</v>
      </c>
      <c r="L17" s="31">
        <f t="shared" si="6"/>
        <v>1.000757937089261</v>
      </c>
      <c r="M17" s="30">
        <f t="shared" si="7"/>
        <v>-2.2349999983683116E-7</v>
      </c>
      <c r="N17" s="30">
        <f t="shared" si="3"/>
        <v>-2.3750000000096237E-6</v>
      </c>
      <c r="O17" s="30">
        <f t="shared" si="3"/>
        <v>3.8111999999912414E-5</v>
      </c>
      <c r="P17" s="30">
        <f t="shared" si="3"/>
        <v>4.1719999999991641E-4</v>
      </c>
      <c r="Q17" s="30">
        <f t="shared" si="3"/>
        <v>2.7511399999998929E-3</v>
      </c>
      <c r="R17" s="30">
        <f t="shared" si="8"/>
        <v>-3.7522327155772306E-3</v>
      </c>
      <c r="S17" s="30">
        <f t="shared" si="4"/>
        <v>-3.3733414556806895E-3</v>
      </c>
      <c r="T17" s="30">
        <f t="shared" si="4"/>
        <v>-2.8205806666179445E-3</v>
      </c>
      <c r="U17" s="30">
        <f t="shared" si="4"/>
        <v>-2.1269168998940824E-3</v>
      </c>
      <c r="V17" s="30">
        <f t="shared" si="4"/>
        <v>-1.5151851990946597E-4</v>
      </c>
    </row>
    <row r="18" spans="1:22" s="29" customFormat="1" ht="20" customHeight="1" x14ac:dyDescent="0.35">
      <c r="A18" s="131"/>
      <c r="B18" s="28">
        <v>43927</v>
      </c>
      <c r="C18" s="30">
        <v>-2.6522225000000007E-3</v>
      </c>
      <c r="D18" s="30">
        <v>-2.4281975000000002E-3</v>
      </c>
      <c r="E18" s="30">
        <v>-1.9932875E-3</v>
      </c>
      <c r="F18" s="30">
        <v>-1.1585225000000001E-3</v>
      </c>
      <c r="G18" s="30">
        <v>1.2286199999999999E-3</v>
      </c>
      <c r="H18" s="31">
        <f t="shared" si="5"/>
        <v>1.0006632754949736</v>
      </c>
      <c r="I18" s="31">
        <f t="shared" si="0"/>
        <v>1.0012148360662487</v>
      </c>
      <c r="J18" s="31">
        <f t="shared" si="1"/>
        <v>1.0019952754181403</v>
      </c>
      <c r="K18" s="31">
        <f t="shared" si="2"/>
        <v>1.0023197314232197</v>
      </c>
      <c r="L18" s="31">
        <f t="shared" si="6"/>
        <v>0.99387573026034981</v>
      </c>
      <c r="M18" s="30">
        <f t="shared" si="7"/>
        <v>-2.7676687500003804E-4</v>
      </c>
      <c r="N18" s="30">
        <f t="shared" si="3"/>
        <v>-4.75423249999954E-4</v>
      </c>
      <c r="O18" s="30">
        <f t="shared" si="3"/>
        <v>-8.3127849999988174E-4</v>
      </c>
      <c r="P18" s="30">
        <f t="shared" si="3"/>
        <v>-1.9413189999999832E-3</v>
      </c>
      <c r="Q18" s="30">
        <f t="shared" si="3"/>
        <v>-6.9007499999999469E-3</v>
      </c>
      <c r="R18" s="30">
        <f t="shared" si="8"/>
        <v>-2.6487084652591086E-3</v>
      </c>
      <c r="S18" s="30">
        <f t="shared" si="4"/>
        <v>-2.4252518131693268E-3</v>
      </c>
      <c r="T18" s="30">
        <f t="shared" si="4"/>
        <v>-1.9913022217670218E-3</v>
      </c>
      <c r="U18" s="30">
        <f t="shared" si="4"/>
        <v>-1.1578516718899756E-3</v>
      </c>
      <c r="V18" s="30">
        <f t="shared" si="4"/>
        <v>1.2293750627490052E-3</v>
      </c>
    </row>
    <row r="19" spans="1:22" s="29" customFormat="1" ht="20" customHeight="1" x14ac:dyDescent="0.35">
      <c r="A19" s="131"/>
      <c r="B19" s="28">
        <v>43934</v>
      </c>
      <c r="C19" s="30">
        <v>-1.9812475E-3</v>
      </c>
      <c r="D19" s="30">
        <v>-1.6340725E-3</v>
      </c>
      <c r="E19" s="30">
        <v>-1.1348125E-3</v>
      </c>
      <c r="F19" s="30">
        <v>-5.1551500000000003E-4</v>
      </c>
      <c r="G19" s="30">
        <v>1.3428100000000001E-3</v>
      </c>
      <c r="H19" s="31">
        <f t="shared" si="5"/>
        <v>1.0004954345621822</v>
      </c>
      <c r="I19" s="31">
        <f t="shared" si="0"/>
        <v>1.0008173701150374</v>
      </c>
      <c r="J19" s="31">
        <f t="shared" si="1"/>
        <v>1.0011354566433426</v>
      </c>
      <c r="K19" s="31">
        <f t="shared" si="2"/>
        <v>1.0010315616941456</v>
      </c>
      <c r="L19" s="31">
        <f t="shared" si="6"/>
        <v>0.99330843887507647</v>
      </c>
      <c r="M19" s="30">
        <f t="shared" si="7"/>
        <v>-1.677437499998781E-4</v>
      </c>
      <c r="N19" s="30">
        <f t="shared" si="3"/>
        <v>-3.9706249999994667E-4</v>
      </c>
      <c r="O19" s="30">
        <f t="shared" si="3"/>
        <v>-8.5847500000018565E-4</v>
      </c>
      <c r="P19" s="30">
        <f t="shared" si="3"/>
        <v>-1.2860149999998512E-3</v>
      </c>
      <c r="Q19" s="30">
        <f t="shared" si="3"/>
        <v>-5.7095000000002773E-4</v>
      </c>
      <c r="R19" s="30">
        <f t="shared" si="8"/>
        <v>-1.9792861247089899E-3</v>
      </c>
      <c r="S19" s="30">
        <f t="shared" si="4"/>
        <v>-1.6327381304501731E-3</v>
      </c>
      <c r="T19" s="30">
        <f t="shared" si="4"/>
        <v>-1.1341688437943587E-3</v>
      </c>
      <c r="U19" s="30">
        <f t="shared" si="4"/>
        <v>-5.1538214497293122E-4</v>
      </c>
      <c r="V19" s="30">
        <f t="shared" si="4"/>
        <v>1.3437119730290714E-3</v>
      </c>
    </row>
    <row r="20" spans="1:22" s="29" customFormat="1" ht="20" customHeight="1" x14ac:dyDescent="0.35">
      <c r="A20" s="131"/>
      <c r="B20" s="28">
        <v>43941</v>
      </c>
      <c r="C20" s="30">
        <v>-2.6579760000000003E-3</v>
      </c>
      <c r="D20" s="30">
        <v>-2.0183919999999999E-3</v>
      </c>
      <c r="E20" s="30">
        <v>-1.0934839999999998E-3</v>
      </c>
      <c r="F20" s="30">
        <v>-1.3865999999999989E-5</v>
      </c>
      <c r="G20" s="30">
        <v>2.2322579999999996E-3</v>
      </c>
      <c r="H20" s="31">
        <f t="shared" si="5"/>
        <v>1.0006647148250476</v>
      </c>
      <c r="I20" s="31">
        <f t="shared" si="0"/>
        <v>1.0010097054096334</v>
      </c>
      <c r="J20" s="31">
        <f t="shared" si="1"/>
        <v>1.0010940820716032</v>
      </c>
      <c r="K20" s="31">
        <f t="shared" si="2"/>
        <v>1.0000277323845355</v>
      </c>
      <c r="L20" s="31">
        <f t="shared" si="6"/>
        <v>0.98890076610724997</v>
      </c>
      <c r="M20" s="30">
        <f t="shared" si="7"/>
        <v>1.6918212499985428E-4</v>
      </c>
      <c r="N20" s="30">
        <f t="shared" si="3"/>
        <v>1.9215974999977728E-4</v>
      </c>
      <c r="O20" s="30">
        <f t="shared" si="3"/>
        <v>-4.1328499999877562E-5</v>
      </c>
      <c r="P20" s="30">
        <f t="shared" si="3"/>
        <v>-1.0032980000000632E-3</v>
      </c>
      <c r="Q20" s="30">
        <f t="shared" si="3"/>
        <v>-4.4472399999999782E-3</v>
      </c>
      <c r="R20" s="30">
        <f t="shared" si="8"/>
        <v>-2.6544467094073987E-3</v>
      </c>
      <c r="S20" s="30">
        <f t="shared" si="4"/>
        <v>-2.0163564166325587E-3</v>
      </c>
      <c r="T20" s="30">
        <f t="shared" si="4"/>
        <v>-1.0928863642257758E-3</v>
      </c>
      <c r="U20" s="30">
        <f t="shared" si="4"/>
        <v>-1.3865903867427143E-5</v>
      </c>
      <c r="V20" s="30">
        <f t="shared" si="4"/>
        <v>2.2347513428055965E-3</v>
      </c>
    </row>
    <row r="21" spans="1:22" s="29" customFormat="1" ht="20" customHeight="1" x14ac:dyDescent="0.35">
      <c r="A21" s="131"/>
      <c r="B21" s="28">
        <v>43948</v>
      </c>
      <c r="C21" s="30">
        <v>-3.2333250000000004E-3</v>
      </c>
      <c r="D21" s="30">
        <v>-2.9690749999999998E-3</v>
      </c>
      <c r="E21" s="30">
        <v>-2.5015624999999999E-3</v>
      </c>
      <c r="F21" s="30">
        <v>-1.6789424999999998E-3</v>
      </c>
      <c r="G21" s="30">
        <v>8.2349000000000007E-4</v>
      </c>
      <c r="H21" s="31">
        <f t="shared" si="5"/>
        <v>1.0008086580377498</v>
      </c>
      <c r="I21" s="31">
        <f t="shared" si="0"/>
        <v>1.0014856399712804</v>
      </c>
      <c r="J21" s="31">
        <f t="shared" si="1"/>
        <v>1.0025046940181557</v>
      </c>
      <c r="K21" s="31">
        <f t="shared" si="2"/>
        <v>1.0033635290113823</v>
      </c>
      <c r="L21" s="31">
        <f t="shared" si="6"/>
        <v>0.99589101507509148</v>
      </c>
      <c r="M21" s="30">
        <f t="shared" si="7"/>
        <v>1.4383725000000305E-4</v>
      </c>
      <c r="N21" s="30">
        <f t="shared" ref="N21:N84" si="9">+LN(I21/I20)</f>
        <v>4.7534150000025041E-4</v>
      </c>
      <c r="O21" s="30">
        <f t="shared" ref="O21:O84" si="10">+LN(J21/J20)</f>
        <v>1.4080784999998012E-3</v>
      </c>
      <c r="P21" s="30">
        <f t="shared" ref="P21:P84" si="11">+LN(K21/K20)</f>
        <v>3.3301530000000401E-3</v>
      </c>
      <c r="Q21" s="30">
        <f t="shared" ref="Q21:Q84" si="12">+LN(L21/L20)</f>
        <v>7.0438400000000147E-3</v>
      </c>
      <c r="R21" s="30">
        <f t="shared" si="8"/>
        <v>-3.2281034339115555E-3</v>
      </c>
      <c r="S21" s="30">
        <f t="shared" ref="S21:S84" si="13">+EXP(D21)-1</f>
        <v>-2.9646716558532349E-3</v>
      </c>
      <c r="T21" s="30">
        <f t="shared" ref="T21:T84" si="14">+EXP(E21)-1</f>
        <v>-2.4984361999509375E-3</v>
      </c>
      <c r="U21" s="30">
        <f t="shared" ref="U21:U84" si="15">+EXP(F21)-1</f>
        <v>-1.6775338644904325E-3</v>
      </c>
      <c r="V21" s="30">
        <f t="shared" ref="V21:V84" si="16">+EXP(G21)-1</f>
        <v>8.2382916098211467E-4</v>
      </c>
    </row>
    <row r="22" spans="1:22" s="29" customFormat="1" ht="20" customHeight="1" x14ac:dyDescent="0.35">
      <c r="A22" s="131"/>
      <c r="B22" s="28">
        <v>43955</v>
      </c>
      <c r="C22" s="30">
        <v>-3.4001720000000004E-3</v>
      </c>
      <c r="D22" s="30">
        <v>-3.2903619999999998E-3</v>
      </c>
      <c r="E22" s="30">
        <v>-3.0208140000000001E-3</v>
      </c>
      <c r="F22" s="30">
        <v>-2.320716E-3</v>
      </c>
      <c r="G22" s="30">
        <v>4.6624199999999996E-4</v>
      </c>
      <c r="H22" s="31">
        <f t="shared" si="5"/>
        <v>1.0008504043889423</v>
      </c>
      <c r="I22" s="31">
        <f t="shared" si="0"/>
        <v>1.0016465350527135</v>
      </c>
      <c r="J22" s="31">
        <f t="shared" si="1"/>
        <v>1.0030253812563974</v>
      </c>
      <c r="K22" s="31">
        <f t="shared" si="2"/>
        <v>1.0046522201298378</v>
      </c>
      <c r="L22" s="31">
        <f t="shared" si="6"/>
        <v>0.997671505159753</v>
      </c>
      <c r="M22" s="30">
        <f t="shared" si="7"/>
        <v>4.1711750000092075E-5</v>
      </c>
      <c r="N22" s="30">
        <f t="shared" si="9"/>
        <v>1.6064349999986234E-4</v>
      </c>
      <c r="O22" s="30">
        <f t="shared" si="10"/>
        <v>5.1925150000008352E-4</v>
      </c>
      <c r="P22" s="30">
        <f t="shared" si="11"/>
        <v>1.2835469999998798E-3</v>
      </c>
      <c r="Q22" s="30">
        <f t="shared" si="12"/>
        <v>1.786239999999978E-3</v>
      </c>
      <c r="R22" s="30">
        <f t="shared" si="8"/>
        <v>-3.3943979612807151E-3</v>
      </c>
      <c r="S22" s="30">
        <f t="shared" si="13"/>
        <v>-3.2849546912480099E-3</v>
      </c>
      <c r="T22" s="30">
        <f t="shared" si="14"/>
        <v>-3.0162559322355342E-3</v>
      </c>
      <c r="U22" s="30">
        <f t="shared" si="15"/>
        <v>-2.3180252205378116E-3</v>
      </c>
      <c r="V22" s="30">
        <f t="shared" si="16"/>
        <v>4.6635070769540654E-4</v>
      </c>
    </row>
    <row r="23" spans="1:22" s="29" customFormat="1" ht="20" customHeight="1" x14ac:dyDescent="0.35">
      <c r="A23" s="131"/>
      <c r="B23" s="28">
        <v>43962</v>
      </c>
      <c r="C23" s="30">
        <v>-3.8617899999999995E-3</v>
      </c>
      <c r="D23" s="30">
        <v>-3.6811640000000002E-3</v>
      </c>
      <c r="E23" s="30">
        <v>-3.2989839999999996E-3</v>
      </c>
      <c r="F23" s="30">
        <v>-2.4723499999999999E-3</v>
      </c>
      <c r="G23" s="30">
        <v>1.89378E-4</v>
      </c>
      <c r="H23" s="31">
        <f t="shared" si="5"/>
        <v>1.0009659136944544</v>
      </c>
      <c r="I23" s="31">
        <f t="shared" si="0"/>
        <v>1.001842276910764</v>
      </c>
      <c r="J23" s="31">
        <f t="shared" si="1"/>
        <v>1.0033044316366242</v>
      </c>
      <c r="K23" s="31">
        <f t="shared" si="2"/>
        <v>1.0049569452036786</v>
      </c>
      <c r="L23" s="31">
        <f t="shared" si="6"/>
        <v>0.99905355815887253</v>
      </c>
      <c r="M23" s="30">
        <f t="shared" si="7"/>
        <v>1.1540450000005761E-4</v>
      </c>
      <c r="N23" s="30">
        <f t="shared" si="9"/>
        <v>1.9540099999998078E-4</v>
      </c>
      <c r="O23" s="30">
        <f t="shared" si="10"/>
        <v>2.7817000000000504E-4</v>
      </c>
      <c r="P23" s="30">
        <f t="shared" si="11"/>
        <v>3.032680000002545E-4</v>
      </c>
      <c r="Q23" s="30">
        <f t="shared" si="12"/>
        <v>1.3843200000000324E-3</v>
      </c>
      <c r="R23" s="30">
        <f t="shared" si="8"/>
        <v>-3.8543428784886258E-3</v>
      </c>
      <c r="S23" s="30">
        <f t="shared" si="13"/>
        <v>-3.6743968220465106E-3</v>
      </c>
      <c r="T23" s="30">
        <f t="shared" si="14"/>
        <v>-3.2935483313214498E-3</v>
      </c>
      <c r="U23" s="30">
        <f t="shared" si="15"/>
        <v>-2.4692962598952262E-3</v>
      </c>
      <c r="V23" s="30">
        <f t="shared" si="16"/>
        <v>1.8939593314537539E-4</v>
      </c>
    </row>
    <row r="24" spans="1:22" s="29" customFormat="1" ht="20" customHeight="1" x14ac:dyDescent="0.35">
      <c r="A24" s="131"/>
      <c r="B24" s="28">
        <v>43969</v>
      </c>
      <c r="C24" s="30">
        <v>-4.0694340000000002E-3</v>
      </c>
      <c r="D24" s="30">
        <v>-3.8577939999999999E-3</v>
      </c>
      <c r="E24" s="30">
        <v>-3.4569859999999996E-3</v>
      </c>
      <c r="F24" s="30">
        <v>-2.7092800000000001E-3</v>
      </c>
      <c r="G24" s="30">
        <v>-5.3968799999999997E-4</v>
      </c>
      <c r="H24" s="31">
        <f t="shared" si="5"/>
        <v>1.0010178761847008</v>
      </c>
      <c r="I24" s="31">
        <f t="shared" si="0"/>
        <v>1.0019307585185184</v>
      </c>
      <c r="J24" s="31">
        <f t="shared" si="1"/>
        <v>1.0034629682676544</v>
      </c>
      <c r="K24" s="31">
        <f t="shared" si="2"/>
        <v>1.0054332669477306</v>
      </c>
      <c r="L24" s="31">
        <f t="shared" si="6"/>
        <v>1.0027020840662444</v>
      </c>
      <c r="M24" s="30">
        <f t="shared" si="7"/>
        <v>5.1910999999932459E-5</v>
      </c>
      <c r="N24" s="30">
        <f t="shared" si="9"/>
        <v>8.8314999999947617E-5</v>
      </c>
      <c r="O24" s="30">
        <f t="shared" si="10"/>
        <v>1.5800200000015138E-4</v>
      </c>
      <c r="P24" s="30">
        <f t="shared" si="11"/>
        <v>4.7385999999981145E-4</v>
      </c>
      <c r="Q24" s="30">
        <f t="shared" si="12"/>
        <v>3.6453299999999939E-3</v>
      </c>
      <c r="R24" s="30">
        <f t="shared" si="8"/>
        <v>-4.0611650738788807E-3</v>
      </c>
      <c r="S24" s="30">
        <f t="shared" si="13"/>
        <v>-3.8503622724895825E-3</v>
      </c>
      <c r="T24" s="30">
        <f t="shared" si="14"/>
        <v>-3.4510175035483703E-3</v>
      </c>
      <c r="U24" s="30">
        <f t="shared" si="15"/>
        <v>-2.7056132131391131E-3</v>
      </c>
      <c r="V24" s="30">
        <f t="shared" si="16"/>
        <v>-5.3954239462628006E-4</v>
      </c>
    </row>
    <row r="25" spans="1:22" s="29" customFormat="1" ht="20" customHeight="1" x14ac:dyDescent="0.35">
      <c r="A25" s="131"/>
      <c r="B25" s="28">
        <v>43976</v>
      </c>
      <c r="C25" s="30">
        <v>-4.2660960000000005E-3</v>
      </c>
      <c r="D25" s="30">
        <v>-4.040929999999999E-3</v>
      </c>
      <c r="E25" s="30">
        <v>-3.6581500000000002E-3</v>
      </c>
      <c r="F25" s="30">
        <v>-3.0382840000000005E-3</v>
      </c>
      <c r="G25" s="30">
        <v>-1.19395E-3</v>
      </c>
      <c r="H25" s="31">
        <f t="shared" si="5"/>
        <v>1.0010670929389656</v>
      </c>
      <c r="I25" s="31">
        <f t="shared" si="0"/>
        <v>1.0020225075147864</v>
      </c>
      <c r="J25" s="31">
        <f t="shared" si="1"/>
        <v>1.0036648491971096</v>
      </c>
      <c r="K25" s="31">
        <f t="shared" si="2"/>
        <v>1.0060950677920948</v>
      </c>
      <c r="L25" s="31">
        <f t="shared" si="6"/>
        <v>1.0059876044687543</v>
      </c>
      <c r="M25" s="30">
        <f t="shared" si="7"/>
        <v>4.9165499999853113E-5</v>
      </c>
      <c r="N25" s="30">
        <f t="shared" si="9"/>
        <v>9.1567999999963965E-5</v>
      </c>
      <c r="O25" s="30">
        <f t="shared" si="10"/>
        <v>2.0116399999990772E-4</v>
      </c>
      <c r="P25" s="30">
        <f t="shared" si="11"/>
        <v>6.5800799999998598E-4</v>
      </c>
      <c r="Q25" s="30">
        <f t="shared" si="12"/>
        <v>3.2713100000000212E-3</v>
      </c>
      <c r="R25" s="30">
        <f t="shared" si="8"/>
        <v>-4.2570091388591802E-3</v>
      </c>
      <c r="S25" s="30">
        <f t="shared" si="13"/>
        <v>-4.0327764287351187E-3</v>
      </c>
      <c r="T25" s="30">
        <f t="shared" si="14"/>
        <v>-3.6514671207639182E-3</v>
      </c>
      <c r="U25" s="30">
        <f t="shared" si="15"/>
        <v>-3.0336730861050265E-3</v>
      </c>
      <c r="V25" s="30">
        <f t="shared" si="16"/>
        <v>-1.1932375252799998E-3</v>
      </c>
    </row>
    <row r="26" spans="1:22" s="29" customFormat="1" ht="20" customHeight="1" x14ac:dyDescent="0.35">
      <c r="A26" s="131"/>
      <c r="B26" s="28">
        <v>43983</v>
      </c>
      <c r="C26" s="30">
        <v>-4.6561679999999996E-3</v>
      </c>
      <c r="D26" s="30">
        <v>-4.4107240000000004E-3</v>
      </c>
      <c r="E26" s="30">
        <v>-4.0104680000000005E-3</v>
      </c>
      <c r="F26" s="30">
        <v>-3.4067680000000001E-3</v>
      </c>
      <c r="G26" s="30">
        <v>-1.6339520000000001E-3</v>
      </c>
      <c r="H26" s="31">
        <f t="shared" si="5"/>
        <v>1.0011647197598437</v>
      </c>
      <c r="I26" s="31">
        <f t="shared" si="0"/>
        <v>1.002207795599436</v>
      </c>
      <c r="J26" s="31">
        <f t="shared" si="1"/>
        <v>1.0040185206882069</v>
      </c>
      <c r="K26" s="31">
        <f t="shared" si="2"/>
        <v>1.0068368009452437</v>
      </c>
      <c r="L26" s="31">
        <f t="shared" si="6"/>
        <v>1.0082032235568956</v>
      </c>
      <c r="M26" s="30">
        <f t="shared" si="7"/>
        <v>9.7518000000101072E-5</v>
      </c>
      <c r="N26" s="30">
        <f t="shared" si="9"/>
        <v>1.8489699999996726E-4</v>
      </c>
      <c r="O26" s="30">
        <f t="shared" si="10"/>
        <v>3.5231799999995784E-4</v>
      </c>
      <c r="P26" s="30">
        <f t="shared" si="11"/>
        <v>7.3696800000012323E-4</v>
      </c>
      <c r="Q26" s="30">
        <f t="shared" si="12"/>
        <v>2.2000100000000061E-3</v>
      </c>
      <c r="R26" s="30">
        <f t="shared" si="8"/>
        <v>-4.6453448544218068E-3</v>
      </c>
      <c r="S26" s="30">
        <f t="shared" si="13"/>
        <v>-4.4010110425367621E-3</v>
      </c>
      <c r="T26" s="30">
        <f t="shared" si="14"/>
        <v>-4.0024368130703314E-3</v>
      </c>
      <c r="U26" s="30">
        <f t="shared" si="15"/>
        <v>-3.4009715501519544E-3</v>
      </c>
      <c r="V26" s="30">
        <f t="shared" si="16"/>
        <v>-1.6326178271879321E-3</v>
      </c>
    </row>
    <row r="27" spans="1:22" s="29" customFormat="1" ht="20" customHeight="1" x14ac:dyDescent="0.35">
      <c r="A27" s="131"/>
      <c r="B27" s="28">
        <v>43990</v>
      </c>
      <c r="C27" s="30">
        <v>-4.465310000000001E-3</v>
      </c>
      <c r="D27" s="30">
        <v>-4.2710279999999996E-3</v>
      </c>
      <c r="E27" s="30">
        <v>-3.9429640000000002E-3</v>
      </c>
      <c r="F27" s="30">
        <v>-3.4083620000000003E-3</v>
      </c>
      <c r="G27" s="30">
        <v>-1.6739180000000002E-3</v>
      </c>
      <c r="H27" s="31">
        <f t="shared" si="5"/>
        <v>1.0011169508254671</v>
      </c>
      <c r="I27" s="31">
        <f t="shared" si="0"/>
        <v>1.0021377958340292</v>
      </c>
      <c r="J27" s="31">
        <f t="shared" si="1"/>
        <v>1.0039507477094858</v>
      </c>
      <c r="K27" s="31">
        <f t="shared" si="2"/>
        <v>1.0068400107460815</v>
      </c>
      <c r="L27" s="31">
        <f t="shared" si="6"/>
        <v>1.0084047129381999</v>
      </c>
      <c r="M27" s="30">
        <f t="shared" si="7"/>
        <v>-4.771450000006211E-5</v>
      </c>
      <c r="N27" s="30">
        <f t="shared" si="9"/>
        <v>-6.9847999999991204E-5</v>
      </c>
      <c r="O27" s="30">
        <f t="shared" si="10"/>
        <v>-6.750399999989102E-5</v>
      </c>
      <c r="P27" s="30">
        <f t="shared" si="11"/>
        <v>3.1880000000227401E-6</v>
      </c>
      <c r="Q27" s="30">
        <f t="shared" si="12"/>
        <v>1.9982999999989282E-4</v>
      </c>
      <c r="R27" s="30">
        <f t="shared" si="8"/>
        <v>-4.4553553257160594E-3</v>
      </c>
      <c r="S27" s="30">
        <f t="shared" si="13"/>
        <v>-4.2619201311796528E-3</v>
      </c>
      <c r="T27" s="30">
        <f t="shared" si="14"/>
        <v>-3.9352007242380305E-3</v>
      </c>
      <c r="U27" s="30">
        <f t="shared" si="15"/>
        <v>-3.4025601277372086E-3</v>
      </c>
      <c r="V27" s="30">
        <f t="shared" si="16"/>
        <v>-1.6725177806576896E-3</v>
      </c>
    </row>
    <row r="28" spans="1:22" s="29" customFormat="1" ht="20" customHeight="1" x14ac:dyDescent="0.35">
      <c r="A28" s="131"/>
      <c r="B28" s="28">
        <v>43997</v>
      </c>
      <c r="C28" s="30">
        <v>-4.5823720000000004E-3</v>
      </c>
      <c r="D28" s="30">
        <v>-4.4756700000000002E-3</v>
      </c>
      <c r="E28" s="30">
        <v>-4.2638619999999993E-3</v>
      </c>
      <c r="F28" s="30">
        <v>-3.822738E-3</v>
      </c>
      <c r="G28" s="30">
        <v>-2.170754E-3</v>
      </c>
      <c r="H28" s="31">
        <f t="shared" si="5"/>
        <v>1.0011462494423089</v>
      </c>
      <c r="I28" s="31">
        <f t="shared" si="0"/>
        <v>1.0022403408216001</v>
      </c>
      <c r="J28" s="31">
        <f t="shared" si="1"/>
        <v>1.0042729651932323</v>
      </c>
      <c r="K28" s="31">
        <f t="shared" si="2"/>
        <v>1.0076747772781054</v>
      </c>
      <c r="L28" s="31">
        <f t="shared" si="6"/>
        <v>1.0109128858446128</v>
      </c>
      <c r="M28" s="30">
        <f t="shared" si="7"/>
        <v>2.9265500000119069E-5</v>
      </c>
      <c r="N28" s="30">
        <f t="shared" si="9"/>
        <v>1.0232099999990409E-4</v>
      </c>
      <c r="O28" s="30">
        <f t="shared" si="10"/>
        <v>3.2089799999991052E-4</v>
      </c>
      <c r="P28" s="30">
        <f t="shared" si="11"/>
        <v>8.2875200000011014E-4</v>
      </c>
      <c r="Q28" s="30">
        <f t="shared" si="12"/>
        <v>2.4841800000000094E-3</v>
      </c>
      <c r="R28" s="30">
        <f t="shared" si="8"/>
        <v>-4.5718889519481554E-3</v>
      </c>
      <c r="S28" s="30">
        <f t="shared" si="13"/>
        <v>-4.4656691148092786E-3</v>
      </c>
      <c r="T28" s="30">
        <f t="shared" si="14"/>
        <v>-4.2547846465328387E-3</v>
      </c>
      <c r="U28" s="30">
        <f t="shared" si="15"/>
        <v>-3.8154406386865514E-3</v>
      </c>
      <c r="V28" s="30">
        <f t="shared" si="16"/>
        <v>-2.1683996174389764E-3</v>
      </c>
    </row>
    <row r="29" spans="1:22" s="29" customFormat="1" ht="20" customHeight="1" x14ac:dyDescent="0.35">
      <c r="A29" s="131"/>
      <c r="B29" s="28">
        <v>44004</v>
      </c>
      <c r="C29" s="30">
        <v>-4.9967060000000009E-3</v>
      </c>
      <c r="D29" s="30">
        <v>-4.8669699999999991E-3</v>
      </c>
      <c r="E29" s="30">
        <v>-4.6387640000000001E-3</v>
      </c>
      <c r="F29" s="30">
        <v>-4.2325100000000001E-3</v>
      </c>
      <c r="G29" s="30">
        <v>-2.7386760000000007E-3</v>
      </c>
      <c r="H29" s="31">
        <f t="shared" si="5"/>
        <v>1.0012499570459434</v>
      </c>
      <c r="I29" s="31">
        <f t="shared" si="0"/>
        <v>1.0024364483278732</v>
      </c>
      <c r="J29" s="31">
        <f t="shared" si="1"/>
        <v>1.0046495397212902</v>
      </c>
      <c r="K29" s="31">
        <f t="shared" si="2"/>
        <v>1.0085009495918145</v>
      </c>
      <c r="L29" s="31">
        <f t="shared" si="6"/>
        <v>1.0137875637347922</v>
      </c>
      <c r="M29" s="30">
        <f t="shared" si="7"/>
        <v>1.0358349999989767E-4</v>
      </c>
      <c r="N29" s="30">
        <f t="shared" si="9"/>
        <v>1.9565000000015261E-4</v>
      </c>
      <c r="O29" s="30">
        <f t="shared" si="10"/>
        <v>3.7490199999984586E-4</v>
      </c>
      <c r="P29" s="30">
        <f t="shared" si="11"/>
        <v>8.1954399999975428E-4</v>
      </c>
      <c r="Q29" s="30">
        <f t="shared" si="12"/>
        <v>2.8396100000002114E-3</v>
      </c>
      <c r="R29" s="30">
        <f t="shared" si="8"/>
        <v>-4.9842432308130347E-3</v>
      </c>
      <c r="S29" s="30">
        <f t="shared" si="13"/>
        <v>-4.8551454924617987E-3</v>
      </c>
      <c r="T29" s="30">
        <f t="shared" si="14"/>
        <v>-4.6280215512567446E-3</v>
      </c>
      <c r="U29" s="30">
        <f t="shared" si="15"/>
        <v>-4.2235655531531746E-3</v>
      </c>
      <c r="V29" s="30">
        <f t="shared" si="16"/>
        <v>-2.7349292480438603E-3</v>
      </c>
    </row>
    <row r="30" spans="1:22" s="29" customFormat="1" ht="20" customHeight="1" x14ac:dyDescent="0.35">
      <c r="A30" s="131"/>
      <c r="B30" s="28">
        <v>44011</v>
      </c>
      <c r="C30" s="30">
        <v>-4.8566820000000002E-3</v>
      </c>
      <c r="D30" s="30">
        <v>-4.7758760000000001E-3</v>
      </c>
      <c r="E30" s="30">
        <v>-4.6147999999999996E-3</v>
      </c>
      <c r="F30" s="30">
        <v>-4.260018E-3</v>
      </c>
      <c r="G30" s="30">
        <v>-2.700348E-3</v>
      </c>
      <c r="H30" s="31">
        <f t="shared" si="5"/>
        <v>1.0012149079034158</v>
      </c>
      <c r="I30" s="31">
        <f t="shared" si="0"/>
        <v>1.0023907913947372</v>
      </c>
      <c r="J30" s="31">
        <f t="shared" si="1"/>
        <v>1.0046254645881898</v>
      </c>
      <c r="K30" s="31">
        <f t="shared" si="2"/>
        <v>1.0085564348063305</v>
      </c>
      <c r="L30" s="31">
        <f t="shared" si="6"/>
        <v>1.0135933001010138</v>
      </c>
      <c r="M30" s="30">
        <f t="shared" si="7"/>
        <v>-3.5005999999928703E-5</v>
      </c>
      <c r="N30" s="30">
        <f t="shared" si="9"/>
        <v>-4.5547000000048853E-5</v>
      </c>
      <c r="O30" s="30">
        <f t="shared" si="10"/>
        <v>-2.3963999999969971E-5</v>
      </c>
      <c r="P30" s="30">
        <f t="shared" si="11"/>
        <v>5.5016000000091578E-5</v>
      </c>
      <c r="Q30" s="30">
        <f t="shared" si="12"/>
        <v>-1.9164000000022107E-4</v>
      </c>
      <c r="R30" s="30">
        <f t="shared" si="8"/>
        <v>-4.8449073895339145E-3</v>
      </c>
      <c r="S30" s="30">
        <f t="shared" si="13"/>
        <v>-4.7644896380457658E-3</v>
      </c>
      <c r="T30" s="30">
        <f t="shared" si="14"/>
        <v>-4.6041681713551164E-3</v>
      </c>
      <c r="U30" s="30">
        <f t="shared" si="15"/>
        <v>-4.2509569945683445E-3</v>
      </c>
      <c r="V30" s="30">
        <f t="shared" si="16"/>
        <v>-2.6967053398937457E-3</v>
      </c>
    </row>
    <row r="31" spans="1:22" s="29" customFormat="1" ht="20" customHeight="1" x14ac:dyDescent="0.35">
      <c r="A31" s="131"/>
      <c r="B31" s="28">
        <v>44018</v>
      </c>
      <c r="C31" s="30">
        <v>-5.012196E-3</v>
      </c>
      <c r="D31" s="30">
        <v>-4.8609339999999999E-3</v>
      </c>
      <c r="E31" s="30">
        <v>-4.6028240000000002E-3</v>
      </c>
      <c r="F31" s="30">
        <v>-4.1803200000000004E-3</v>
      </c>
      <c r="G31" s="30">
        <v>-2.8270879999999997E-3</v>
      </c>
      <c r="H31" s="31">
        <f t="shared" si="5"/>
        <v>1.0012538343939097</v>
      </c>
      <c r="I31" s="31">
        <f t="shared" si="0"/>
        <v>1.0024334229792373</v>
      </c>
      <c r="J31" s="31">
        <f t="shared" si="1"/>
        <v>1.0046134332656695</v>
      </c>
      <c r="K31" s="31">
        <f t="shared" si="2"/>
        <v>1.0083956877564069</v>
      </c>
      <c r="L31" s="31">
        <f t="shared" si="6"/>
        <v>1.0142358177354986</v>
      </c>
      <c r="M31" s="30">
        <f t="shared" si="7"/>
        <v>3.8878500000158609E-5</v>
      </c>
      <c r="N31" s="30">
        <f t="shared" si="9"/>
        <v>4.2528999999961693E-5</v>
      </c>
      <c r="O31" s="30">
        <f t="shared" si="10"/>
        <v>-1.1976000000056663E-5</v>
      </c>
      <c r="P31" s="30">
        <f t="shared" si="11"/>
        <v>-1.5939599999996849E-4</v>
      </c>
      <c r="Q31" s="30">
        <f t="shared" si="12"/>
        <v>6.3369999999990498E-4</v>
      </c>
      <c r="R31" s="30">
        <f t="shared" si="8"/>
        <v>-4.9996559055139889E-3</v>
      </c>
      <c r="S31" s="30">
        <f t="shared" si="13"/>
        <v>-4.849138779991824E-3</v>
      </c>
      <c r="T31" s="30">
        <f t="shared" si="14"/>
        <v>-4.5922472394906988E-3</v>
      </c>
      <c r="U31" s="30">
        <f t="shared" si="15"/>
        <v>-4.1715946248698232E-3</v>
      </c>
      <c r="V31" s="30">
        <f t="shared" si="16"/>
        <v>-2.8230955499422006E-3</v>
      </c>
    </row>
    <row r="32" spans="1:22" s="29" customFormat="1" ht="20" customHeight="1" x14ac:dyDescent="0.35">
      <c r="A32" s="131"/>
      <c r="B32" s="28">
        <v>44025</v>
      </c>
      <c r="C32" s="30">
        <v>-4.8503840000000001E-3</v>
      </c>
      <c r="D32" s="30">
        <v>-4.739872E-3</v>
      </c>
      <c r="E32" s="30">
        <v>-4.543217999999999E-3</v>
      </c>
      <c r="F32" s="30">
        <v>-4.1901639999999997E-3</v>
      </c>
      <c r="G32" s="30">
        <v>-2.8996879999999997E-3</v>
      </c>
      <c r="H32" s="31">
        <f t="shared" si="5"/>
        <v>1.0012133314917844</v>
      </c>
      <c r="I32" s="31">
        <f t="shared" si="0"/>
        <v>1.0023727465181329</v>
      </c>
      <c r="J32" s="31">
        <f t="shared" si="1"/>
        <v>1.0045535540619639</v>
      </c>
      <c r="K32" s="31">
        <f t="shared" si="2"/>
        <v>1.0084155412461446</v>
      </c>
      <c r="L32" s="31">
        <f t="shared" si="6"/>
        <v>1.0146040521678428</v>
      </c>
      <c r="M32" s="30">
        <f t="shared" si="7"/>
        <v>-4.0453000000068725E-5</v>
      </c>
      <c r="N32" s="30">
        <f t="shared" si="9"/>
        <v>-6.0531000000022165E-5</v>
      </c>
      <c r="O32" s="30">
        <f t="shared" si="10"/>
        <v>-5.9606000000065396E-5</v>
      </c>
      <c r="P32" s="30">
        <f t="shared" si="11"/>
        <v>1.9688000000208386E-5</v>
      </c>
      <c r="Q32" s="30">
        <f t="shared" si="12"/>
        <v>3.6300000000017655E-4</v>
      </c>
      <c r="R32" s="30">
        <f t="shared" si="8"/>
        <v>-4.8386398830243538E-3</v>
      </c>
      <c r="S32" s="30">
        <f t="shared" si="13"/>
        <v>-4.7286565336670527E-3</v>
      </c>
      <c r="T32" s="30">
        <f t="shared" si="14"/>
        <v>-4.5329131966648228E-3</v>
      </c>
      <c r="U32" s="30">
        <f t="shared" si="15"/>
        <v>-4.1813975114424196E-3</v>
      </c>
      <c r="V32" s="30">
        <f t="shared" si="16"/>
        <v>-2.8954879653287913E-3</v>
      </c>
    </row>
    <row r="33" spans="1:22" s="29" customFormat="1" ht="20" customHeight="1" x14ac:dyDescent="0.35">
      <c r="A33" s="131"/>
      <c r="B33" s="28">
        <v>44032</v>
      </c>
      <c r="C33" s="30">
        <v>-4.971166E-3</v>
      </c>
      <c r="D33" s="30">
        <v>-4.8781020000000005E-3</v>
      </c>
      <c r="E33" s="30">
        <v>-4.7597419999999991E-3</v>
      </c>
      <c r="F33" s="30">
        <v>-4.6295299999999998E-3</v>
      </c>
      <c r="G33" s="30">
        <v>-3.697358E-3</v>
      </c>
      <c r="H33" s="31">
        <f t="shared" si="5"/>
        <v>1.0012435640853772</v>
      </c>
      <c r="I33" s="31">
        <f t="shared" si="0"/>
        <v>1.0024420279046724</v>
      </c>
      <c r="J33" s="31">
        <f t="shared" si="1"/>
        <v>1.0047710875654661</v>
      </c>
      <c r="K33" s="31">
        <f t="shared" si="2"/>
        <v>1.0093020576996778</v>
      </c>
      <c r="L33" s="31">
        <f t="shared" si="6"/>
        <v>1.01865872859889</v>
      </c>
      <c r="M33" s="30">
        <f t="shared" si="7"/>
        <v>3.0195499999902428E-5</v>
      </c>
      <c r="N33" s="30">
        <f t="shared" si="9"/>
        <v>6.9114999999936511E-5</v>
      </c>
      <c r="O33" s="30">
        <f t="shared" si="10"/>
        <v>2.1652400000011043E-4</v>
      </c>
      <c r="P33" s="30">
        <f t="shared" si="11"/>
        <v>8.7873199999979185E-4</v>
      </c>
      <c r="Q33" s="30">
        <f t="shared" si="12"/>
        <v>3.9883499999999409E-3</v>
      </c>
      <c r="R33" s="30">
        <f t="shared" si="8"/>
        <v>-4.9588302038622301E-3</v>
      </c>
      <c r="S33" s="30">
        <f t="shared" si="13"/>
        <v>-4.8662233833225432E-3</v>
      </c>
      <c r="T33" s="30">
        <f t="shared" si="14"/>
        <v>-4.7484323787880811E-3</v>
      </c>
      <c r="U33" s="30">
        <f t="shared" si="15"/>
        <v>-4.6188302439714723E-3</v>
      </c>
      <c r="V33" s="30">
        <f t="shared" si="16"/>
        <v>-3.6905311882240444E-3</v>
      </c>
    </row>
    <row r="34" spans="1:22" s="29" customFormat="1" ht="20" customHeight="1" x14ac:dyDescent="0.35">
      <c r="A34" s="131"/>
      <c r="B34" s="28">
        <v>44039</v>
      </c>
      <c r="C34" s="30">
        <v>-4.9136340000000001E-3</v>
      </c>
      <c r="D34" s="30">
        <v>-4.8572380000000007E-3</v>
      </c>
      <c r="E34" s="30">
        <v>-4.7822139999999999E-3</v>
      </c>
      <c r="F34" s="30">
        <v>-4.671466E-3</v>
      </c>
      <c r="G34" s="30">
        <v>-3.7351559999999999E-3</v>
      </c>
      <c r="H34" s="31">
        <f t="shared" si="5"/>
        <v>1.0012291633027586</v>
      </c>
      <c r="I34" s="31">
        <f t="shared" si="0"/>
        <v>1.0024315704839832</v>
      </c>
      <c r="J34" s="31">
        <f t="shared" si="1"/>
        <v>1.0047936670350477</v>
      </c>
      <c r="K34" s="31">
        <f t="shared" si="2"/>
        <v>1.0093867134319345</v>
      </c>
      <c r="L34" s="31">
        <f t="shared" si="6"/>
        <v>1.0188512631049829</v>
      </c>
      <c r="M34" s="30">
        <f t="shared" si="7"/>
        <v>-1.4382999999816979E-5</v>
      </c>
      <c r="N34" s="30">
        <f t="shared" si="9"/>
        <v>-1.0432000000042299E-5</v>
      </c>
      <c r="O34" s="30">
        <f t="shared" si="10"/>
        <v>2.2471999999791041E-5</v>
      </c>
      <c r="P34" s="30">
        <f t="shared" si="11"/>
        <v>8.3872000000142965E-5</v>
      </c>
      <c r="Q34" s="30">
        <f t="shared" si="12"/>
        <v>1.8898999999994367E-4</v>
      </c>
      <c r="R34" s="30">
        <f t="shared" si="8"/>
        <v>-4.9015818484910989E-3</v>
      </c>
      <c r="S34" s="30">
        <f t="shared" si="13"/>
        <v>-4.8454606956116475E-3</v>
      </c>
      <c r="T34" s="30">
        <f t="shared" si="14"/>
        <v>-4.7707974207210624E-3</v>
      </c>
      <c r="U34" s="30">
        <f t="shared" si="15"/>
        <v>-4.6605716734660074E-3</v>
      </c>
      <c r="V34" s="30">
        <f t="shared" si="16"/>
        <v>-3.7281889818270297E-3</v>
      </c>
    </row>
    <row r="35" spans="1:22" s="29" customFormat="1" ht="20" customHeight="1" x14ac:dyDescent="0.35">
      <c r="A35" s="131"/>
      <c r="B35" s="28">
        <v>44046</v>
      </c>
      <c r="C35" s="30">
        <v>-5.1482699999999999E-3</v>
      </c>
      <c r="D35" s="30">
        <v>-5.085722E-3</v>
      </c>
      <c r="E35" s="30">
        <v>-4.9892180000000001E-3</v>
      </c>
      <c r="F35" s="30">
        <v>-4.826304E-3</v>
      </c>
      <c r="G35" s="30">
        <v>-3.8543040000000002E-3</v>
      </c>
      <c r="H35" s="31">
        <f t="shared" si="5"/>
        <v>1.0012878961268361</v>
      </c>
      <c r="I35" s="31">
        <f t="shared" si="0"/>
        <v>1.0025460968131925</v>
      </c>
      <c r="J35" s="31">
        <f t="shared" si="1"/>
        <v>1.005001684872818</v>
      </c>
      <c r="K35" s="31">
        <f t="shared" si="2"/>
        <v>1.0096993446765015</v>
      </c>
      <c r="L35" s="31">
        <f t="shared" si="6"/>
        <v>1.0194584143906618</v>
      </c>
      <c r="M35" s="30">
        <f t="shared" si="7"/>
        <v>5.8658999999888946E-5</v>
      </c>
      <c r="N35" s="30">
        <f t="shared" si="9"/>
        <v>1.1424200000004538E-4</v>
      </c>
      <c r="O35" s="30">
        <f t="shared" si="10"/>
        <v>2.0700400000004564E-4</v>
      </c>
      <c r="P35" s="30">
        <f t="shared" si="11"/>
        <v>3.0967599999992714E-4</v>
      </c>
      <c r="Q35" s="30">
        <f t="shared" si="12"/>
        <v>5.9573999999998513E-4</v>
      </c>
      <c r="R35" s="30">
        <f t="shared" si="8"/>
        <v>-5.135040370974453E-3</v>
      </c>
      <c r="S35" s="30">
        <f t="shared" si="13"/>
        <v>-5.0728116113576416E-3</v>
      </c>
      <c r="T35" s="30">
        <f t="shared" si="14"/>
        <v>-4.9767925249309952E-3</v>
      </c>
      <c r="U35" s="30">
        <f t="shared" si="15"/>
        <v>-4.8146761089500334E-3</v>
      </c>
      <c r="V35" s="30">
        <f t="shared" si="16"/>
        <v>-3.8468857041873417E-3</v>
      </c>
    </row>
    <row r="36" spans="1:22" s="29" customFormat="1" ht="20" customHeight="1" x14ac:dyDescent="0.35">
      <c r="A36" s="131"/>
      <c r="B36" s="28">
        <v>44053</v>
      </c>
      <c r="C36" s="30">
        <v>-5.0531199999999995E-3</v>
      </c>
      <c r="D36" s="30">
        <v>-5.0013719999999996E-3</v>
      </c>
      <c r="E36" s="30">
        <v>-4.9083620000000003E-3</v>
      </c>
      <c r="F36" s="30">
        <v>-4.7104940000000008E-3</v>
      </c>
      <c r="G36" s="30">
        <v>-3.5908479999999998E-3</v>
      </c>
      <c r="H36" s="31">
        <f t="shared" si="5"/>
        <v>1.0012640782742919</v>
      </c>
      <c r="I36" s="31">
        <f t="shared" si="0"/>
        <v>1.0025038153231765</v>
      </c>
      <c r="J36" s="31">
        <f t="shared" si="1"/>
        <v>1.0049204277416937</v>
      </c>
      <c r="K36" s="31">
        <f t="shared" si="2"/>
        <v>1.0094655051962831</v>
      </c>
      <c r="L36" s="31">
        <f t="shared" si="6"/>
        <v>1.0181163863179832</v>
      </c>
      <c r="M36" s="30">
        <f t="shared" si="7"/>
        <v>-2.3787499999853157E-5</v>
      </c>
      <c r="N36" s="30">
        <f t="shared" si="9"/>
        <v>-4.217500000014021E-5</v>
      </c>
      <c r="O36" s="30">
        <f t="shared" si="10"/>
        <v>-8.0855999999855245E-5</v>
      </c>
      <c r="P36" s="30">
        <f t="shared" si="11"/>
        <v>-2.3162000000001947E-4</v>
      </c>
      <c r="Q36" s="30">
        <f t="shared" si="12"/>
        <v>-1.3172800000000985E-3</v>
      </c>
      <c r="R36" s="30">
        <f t="shared" si="8"/>
        <v>-5.0403744664068162E-3</v>
      </c>
      <c r="S36" s="30">
        <f t="shared" si="13"/>
        <v>-4.988885963502665E-3</v>
      </c>
      <c r="T36" s="30">
        <f t="shared" si="14"/>
        <v>-4.8963356758017218E-3</v>
      </c>
      <c r="U36" s="30">
        <f t="shared" si="15"/>
        <v>-4.6994170226416498E-3</v>
      </c>
      <c r="V36" s="30">
        <f t="shared" si="16"/>
        <v>-3.5844086152435617E-3</v>
      </c>
    </row>
    <row r="37" spans="1:22" s="29" customFormat="1" ht="20" customHeight="1" x14ac:dyDescent="0.35">
      <c r="A37" s="131"/>
      <c r="B37" s="28">
        <v>44060</v>
      </c>
      <c r="C37" s="30">
        <v>-5.1027299999999998E-3</v>
      </c>
      <c r="D37" s="30">
        <v>-5.0981220000000001E-3</v>
      </c>
      <c r="E37" s="30">
        <v>-5.0870059999999998E-3</v>
      </c>
      <c r="F37" s="30">
        <v>-4.9984199999999999E-3</v>
      </c>
      <c r="G37" s="30">
        <v>-3.8627220000000003E-3</v>
      </c>
      <c r="H37" s="31">
        <f t="shared" si="5"/>
        <v>1.0012764965290311</v>
      </c>
      <c r="I37" s="31">
        <f t="shared" si="0"/>
        <v>1.0025523126182616</v>
      </c>
      <c r="J37" s="31">
        <f t="shared" si="1"/>
        <v>1.0050999667828957</v>
      </c>
      <c r="K37" s="31">
        <f t="shared" si="2"/>
        <v>1.0100469753306831</v>
      </c>
      <c r="L37" s="31">
        <f t="shared" si="6"/>
        <v>1.0195013242983559</v>
      </c>
      <c r="M37" s="30">
        <f t="shared" si="7"/>
        <v>1.2402499999942363E-5</v>
      </c>
      <c r="N37" s="30">
        <f t="shared" si="9"/>
        <v>4.8374999999945983E-5</v>
      </c>
      <c r="O37" s="30">
        <f t="shared" si="10"/>
        <v>1.7864399999970951E-4</v>
      </c>
      <c r="P37" s="30">
        <f t="shared" si="11"/>
        <v>5.7585200000000451E-4</v>
      </c>
      <c r="Q37" s="30">
        <f t="shared" si="12"/>
        <v>1.359369999999785E-3</v>
      </c>
      <c r="R37" s="30">
        <f t="shared" si="8"/>
        <v>-5.0897331890762398E-3</v>
      </c>
      <c r="S37" s="30">
        <f t="shared" si="13"/>
        <v>-5.085148632004044E-3</v>
      </c>
      <c r="T37" s="30">
        <f t="shared" si="14"/>
        <v>-5.0740890970474295E-3</v>
      </c>
      <c r="U37" s="30">
        <f t="shared" si="15"/>
        <v>-4.9859486863585989E-3</v>
      </c>
      <c r="V37" s="30">
        <f t="shared" si="16"/>
        <v>-3.8552712858084259E-3</v>
      </c>
    </row>
    <row r="38" spans="1:22" s="29" customFormat="1" ht="20" customHeight="1" x14ac:dyDescent="0.35">
      <c r="A38" s="131"/>
      <c r="B38" s="28">
        <v>44067</v>
      </c>
      <c r="C38" s="30">
        <v>-5.1388140000000002E-3</v>
      </c>
      <c r="D38" s="30">
        <v>-5.1085379999999993E-3</v>
      </c>
      <c r="E38" s="30">
        <v>-5.0474260000000007E-3</v>
      </c>
      <c r="F38" s="30">
        <v>-4.8605239999999997E-3</v>
      </c>
      <c r="G38" s="30">
        <v>-3.4617879999999999E-3</v>
      </c>
      <c r="H38" s="31">
        <f t="shared" si="5"/>
        <v>1.0012855290850475</v>
      </c>
      <c r="I38" s="31">
        <f t="shared" si="0"/>
        <v>1.002557533924302</v>
      </c>
      <c r="J38" s="31">
        <f t="shared" si="1"/>
        <v>1.0050601857134831</v>
      </c>
      <c r="K38" s="31">
        <f t="shared" si="2"/>
        <v>1.0097684508644378</v>
      </c>
      <c r="L38" s="31">
        <f t="shared" si="6"/>
        <v>1.0174596077462892</v>
      </c>
      <c r="M38" s="30">
        <f t="shared" si="7"/>
        <v>9.0209999999958806E-6</v>
      </c>
      <c r="N38" s="30">
        <f t="shared" si="9"/>
        <v>5.2080000000860653E-6</v>
      </c>
      <c r="O38" s="30">
        <f t="shared" si="10"/>
        <v>-3.9579999999906925E-5</v>
      </c>
      <c r="P38" s="30">
        <f t="shared" si="11"/>
        <v>-2.7579200000017989E-4</v>
      </c>
      <c r="Q38" s="30">
        <f t="shared" si="12"/>
        <v>-2.0046699999999181E-3</v>
      </c>
      <c r="R38" s="30">
        <f t="shared" si="8"/>
        <v>-5.125632883437703E-3</v>
      </c>
      <c r="S38" s="30">
        <f t="shared" si="13"/>
        <v>-5.095511611125314E-3</v>
      </c>
      <c r="T38" s="30">
        <f t="shared" si="14"/>
        <v>-5.0347091501699026E-3</v>
      </c>
      <c r="U38" s="30">
        <f t="shared" si="15"/>
        <v>-4.8487307680550318E-3</v>
      </c>
      <c r="V38" s="30">
        <f t="shared" si="16"/>
        <v>-3.4558029202724772E-3</v>
      </c>
    </row>
    <row r="39" spans="1:22" s="29" customFormat="1" ht="20" customHeight="1" x14ac:dyDescent="0.35">
      <c r="A39" s="131"/>
      <c r="B39" s="28">
        <v>44074</v>
      </c>
      <c r="C39" s="30">
        <v>-5.3753799999999999E-3</v>
      </c>
      <c r="D39" s="30">
        <v>-5.3333440000000003E-3</v>
      </c>
      <c r="E39" s="30">
        <v>-5.2296240000000004E-3</v>
      </c>
      <c r="F39" s="30">
        <v>-4.9337979999999997E-3</v>
      </c>
      <c r="G39" s="30">
        <v>-3.3968419999999997E-3</v>
      </c>
      <c r="H39" s="31">
        <f t="shared" si="5"/>
        <v>1.0013447483643072</v>
      </c>
      <c r="I39" s="31">
        <f t="shared" si="0"/>
        <v>1.0026702307323987</v>
      </c>
      <c r="J39" s="31">
        <f t="shared" si="1"/>
        <v>1.0052433223522577</v>
      </c>
      <c r="K39" s="31">
        <f t="shared" si="2"/>
        <v>1.0099164412549582</v>
      </c>
      <c r="L39" s="31">
        <f t="shared" si="6"/>
        <v>1.0171292617273999</v>
      </c>
      <c r="M39" s="30">
        <f t="shared" si="7"/>
        <v>5.9141500000012702E-5</v>
      </c>
      <c r="N39" s="30">
        <f t="shared" si="9"/>
        <v>1.1240299999991846E-4</v>
      </c>
      <c r="O39" s="30">
        <f t="shared" si="10"/>
        <v>1.821979999998428E-4</v>
      </c>
      <c r="P39" s="30">
        <f t="shared" si="11"/>
        <v>1.4654800000013285E-4</v>
      </c>
      <c r="Q39" s="30">
        <f t="shared" si="12"/>
        <v>-3.2473000000003363E-4</v>
      </c>
      <c r="R39" s="30">
        <f t="shared" si="8"/>
        <v>-5.3609584968520307E-3</v>
      </c>
      <c r="S39" s="30">
        <f t="shared" si="13"/>
        <v>-5.3191469713148587E-3</v>
      </c>
      <c r="T39" s="30">
        <f t="shared" si="14"/>
        <v>-5.2159733227458149E-3</v>
      </c>
      <c r="U39" s="30">
        <f t="shared" si="15"/>
        <v>-4.9216468106990652E-3</v>
      </c>
      <c r="V39" s="30">
        <f t="shared" si="16"/>
        <v>-3.3910792591002048E-3</v>
      </c>
    </row>
    <row r="40" spans="1:22" s="29" customFormat="1" ht="20" customHeight="1" x14ac:dyDescent="0.35">
      <c r="A40" s="131"/>
      <c r="B40" s="28">
        <v>44081</v>
      </c>
      <c r="C40" s="30">
        <v>-5.3760919999999999E-3</v>
      </c>
      <c r="D40" s="30">
        <v>-5.3047860000000006E-3</v>
      </c>
      <c r="E40" s="30">
        <v>-5.1620180000000009E-3</v>
      </c>
      <c r="F40" s="30">
        <v>-4.8477019999999997E-3</v>
      </c>
      <c r="G40" s="30">
        <v>-3.4677459999999998E-3</v>
      </c>
      <c r="H40" s="31">
        <f t="shared" si="5"/>
        <v>1.0013449266036882</v>
      </c>
      <c r="I40" s="31">
        <f t="shared" si="0"/>
        <v>1.0026559137063908</v>
      </c>
      <c r="J40" s="31">
        <f t="shared" si="1"/>
        <v>1.0051753641694232</v>
      </c>
      <c r="K40" s="31">
        <f t="shared" si="2"/>
        <v>1.0097425566943004</v>
      </c>
      <c r="L40" s="31">
        <f t="shared" si="6"/>
        <v>1.0174899183194777</v>
      </c>
      <c r="M40" s="30">
        <f t="shared" si="7"/>
        <v>1.7799999999600812E-7</v>
      </c>
      <c r="N40" s="30">
        <f t="shared" si="9"/>
        <v>-1.4278999999821788E-5</v>
      </c>
      <c r="O40" s="30">
        <f t="shared" si="10"/>
        <v>-6.7605999999892951E-5</v>
      </c>
      <c r="P40" s="30">
        <f t="shared" si="11"/>
        <v>-1.7219199999996969E-4</v>
      </c>
      <c r="Q40" s="30">
        <f t="shared" si="12"/>
        <v>3.5451999999993884E-4</v>
      </c>
      <c r="R40" s="30">
        <f t="shared" si="8"/>
        <v>-5.3616666795974766E-3</v>
      </c>
      <c r="S40" s="30">
        <f t="shared" si="13"/>
        <v>-5.2907404698996352E-3</v>
      </c>
      <c r="T40" s="30">
        <f t="shared" si="14"/>
        <v>-5.1487176804214663E-3</v>
      </c>
      <c r="U40" s="30">
        <f t="shared" si="15"/>
        <v>-4.8359708566773074E-3</v>
      </c>
      <c r="V40" s="30">
        <f t="shared" si="16"/>
        <v>-3.4617403129111324E-3</v>
      </c>
    </row>
    <row r="41" spans="1:22" s="29" customFormat="1" ht="20" customHeight="1" x14ac:dyDescent="0.35">
      <c r="A41" s="131"/>
      <c r="B41" s="28">
        <v>44088</v>
      </c>
      <c r="C41" s="30">
        <v>-5.2816160000000003E-3</v>
      </c>
      <c r="D41" s="30">
        <v>-5.2971599999999995E-3</v>
      </c>
      <c r="E41" s="30">
        <v>-5.2876100000000007E-3</v>
      </c>
      <c r="F41" s="30">
        <v>-5.1241380000000003E-3</v>
      </c>
      <c r="G41" s="30">
        <v>-3.8181339999999995E-3</v>
      </c>
      <c r="H41" s="31">
        <f t="shared" si="5"/>
        <v>1.0013212761171684</v>
      </c>
      <c r="I41" s="31">
        <f t="shared" si="0"/>
        <v>1.0026520905866805</v>
      </c>
      <c r="J41" s="31">
        <f t="shared" si="1"/>
        <v>1.0053016140815834</v>
      </c>
      <c r="K41" s="31">
        <f t="shared" si="2"/>
        <v>1.0103009694322647</v>
      </c>
      <c r="L41" s="31">
        <f t="shared" si="6"/>
        <v>1.0192740620069858</v>
      </c>
      <c r="M41" s="30">
        <f t="shared" si="7"/>
        <v>-2.3618999999977261E-5</v>
      </c>
      <c r="N41" s="30">
        <f t="shared" si="9"/>
        <v>-3.8130000001426359E-6</v>
      </c>
      <c r="O41" s="30">
        <f t="shared" si="10"/>
        <v>1.2559199999992419E-4</v>
      </c>
      <c r="P41" s="30">
        <f t="shared" si="11"/>
        <v>5.5287199999998833E-4</v>
      </c>
      <c r="Q41" s="30">
        <f t="shared" si="12"/>
        <v>1.7519400000000534E-3</v>
      </c>
      <c r="R41" s="30">
        <f t="shared" si="8"/>
        <v>-5.2676927893499093E-3</v>
      </c>
      <c r="S41" s="30">
        <f t="shared" si="13"/>
        <v>-5.2831547881622143E-3</v>
      </c>
      <c r="T41" s="30">
        <f t="shared" si="14"/>
        <v>-5.2736551969300161E-3</v>
      </c>
      <c r="U41" s="30">
        <f t="shared" si="15"/>
        <v>-5.1110320000848919E-3</v>
      </c>
      <c r="V41" s="30">
        <f t="shared" si="16"/>
        <v>-3.8108541944172902E-3</v>
      </c>
    </row>
    <row r="42" spans="1:22" s="29" customFormat="1" ht="20" customHeight="1" x14ac:dyDescent="0.35">
      <c r="A42" s="131"/>
      <c r="B42" s="28">
        <v>44095</v>
      </c>
      <c r="C42" s="30">
        <v>-5.3048699999999997E-3</v>
      </c>
      <c r="D42" s="30">
        <v>-5.3437159999999992E-3</v>
      </c>
      <c r="E42" s="30">
        <v>-5.3694200000000006E-3</v>
      </c>
      <c r="F42" s="30">
        <v>-5.2430100000000011E-3</v>
      </c>
      <c r="G42" s="30">
        <v>-3.9355880000000003E-3</v>
      </c>
      <c r="H42" s="31">
        <f t="shared" si="5"/>
        <v>1.0013270973153279</v>
      </c>
      <c r="I42" s="31">
        <f t="shared" si="0"/>
        <v>1.0026754305936985</v>
      </c>
      <c r="J42" s="31">
        <f t="shared" si="1"/>
        <v>1.0053838611709027</v>
      </c>
      <c r="K42" s="31">
        <f t="shared" si="2"/>
        <v>1.0105411909804256</v>
      </c>
      <c r="L42" s="31">
        <f t="shared" si="6"/>
        <v>1.0198728268864974</v>
      </c>
      <c r="M42" s="30">
        <f t="shared" si="7"/>
        <v>5.8135000001212734E-6</v>
      </c>
      <c r="N42" s="30">
        <f t="shared" si="9"/>
        <v>2.3278000000101308E-5</v>
      </c>
      <c r="O42" s="30">
        <f t="shared" si="10"/>
        <v>8.1809999999926658E-5</v>
      </c>
      <c r="P42" s="30">
        <f t="shared" si="11"/>
        <v>2.3774399999988967E-4</v>
      </c>
      <c r="Q42" s="30">
        <f t="shared" si="12"/>
        <v>5.8727000000015686E-4</v>
      </c>
      <c r="R42" s="30">
        <f t="shared" si="8"/>
        <v>-5.2908240254738725E-3</v>
      </c>
      <c r="S42" s="30">
        <f t="shared" si="13"/>
        <v>-5.3294637476195561E-3</v>
      </c>
      <c r="T42" s="30">
        <f t="shared" si="14"/>
        <v>-5.3550304304990082E-3</v>
      </c>
      <c r="U42" s="30">
        <f t="shared" si="15"/>
        <v>-5.229289412602145E-3</v>
      </c>
      <c r="V42" s="30">
        <f t="shared" si="16"/>
        <v>-3.9278537231829391E-3</v>
      </c>
    </row>
    <row r="43" spans="1:22" s="29" customFormat="1" ht="20" customHeight="1" x14ac:dyDescent="0.35">
      <c r="A43" s="131"/>
      <c r="B43" s="28">
        <v>44102</v>
      </c>
      <c r="C43" s="30">
        <v>-5.567046E-3</v>
      </c>
      <c r="D43" s="30">
        <v>-5.5194499999999987E-3</v>
      </c>
      <c r="E43" s="30">
        <v>-5.4251540000000006E-3</v>
      </c>
      <c r="F43" s="30">
        <v>-5.1995819999999995E-3</v>
      </c>
      <c r="G43" s="30">
        <v>-3.9568679999999997E-3</v>
      </c>
      <c r="H43" s="31">
        <f t="shared" si="5"/>
        <v>1.0013927304494998</v>
      </c>
      <c r="I43" s="31">
        <f t="shared" si="0"/>
        <v>1.0027635365465046</v>
      </c>
      <c r="J43" s="31">
        <f t="shared" si="1"/>
        <v>1.0054398967965517</v>
      </c>
      <c r="K43" s="31">
        <f t="shared" si="2"/>
        <v>1.0104534232263751</v>
      </c>
      <c r="L43" s="31">
        <f t="shared" si="6"/>
        <v>1.0199813471284525</v>
      </c>
      <c r="M43" s="30">
        <f t="shared" si="7"/>
        <v>6.5543999999864117E-5</v>
      </c>
      <c r="N43" s="30">
        <f t="shared" si="9"/>
        <v>8.7867000000037545E-5</v>
      </c>
      <c r="O43" s="30">
        <f t="shared" si="10"/>
        <v>5.5734000000057522E-5</v>
      </c>
      <c r="P43" s="30">
        <f t="shared" si="11"/>
        <v>-8.6855999999929781E-5</v>
      </c>
      <c r="Q43" s="30">
        <f t="shared" si="12"/>
        <v>1.0639999999977824E-4</v>
      </c>
      <c r="R43" s="30">
        <f t="shared" si="8"/>
        <v>-5.5515787150898221E-3</v>
      </c>
      <c r="S43" s="30">
        <f t="shared" si="13"/>
        <v>-5.5042458216110202E-3</v>
      </c>
      <c r="T43" s="30">
        <f t="shared" si="14"/>
        <v>-5.4104644284393988E-3</v>
      </c>
      <c r="U43" s="30">
        <f t="shared" si="15"/>
        <v>-5.1860875721048139E-3</v>
      </c>
      <c r="V43" s="30">
        <f t="shared" si="16"/>
        <v>-3.9490499129274381E-3</v>
      </c>
    </row>
    <row r="44" spans="1:22" s="29" customFormat="1" ht="20" customHeight="1" x14ac:dyDescent="0.35">
      <c r="A44" s="131"/>
      <c r="B44" s="28">
        <v>44109</v>
      </c>
      <c r="C44" s="30">
        <v>-5.7722660000000007E-3</v>
      </c>
      <c r="D44" s="30">
        <v>-5.7313320000000004E-3</v>
      </c>
      <c r="E44" s="30">
        <v>-5.6555580000000006E-3</v>
      </c>
      <c r="F44" s="30">
        <v>-5.4658200000000014E-3</v>
      </c>
      <c r="G44" s="30">
        <v>-4.191752E-3</v>
      </c>
      <c r="H44" s="31">
        <f t="shared" si="5"/>
        <v>1.0014441082214927</v>
      </c>
      <c r="I44" s="31">
        <f t="shared" si="0"/>
        <v>1.0028697759457847</v>
      </c>
      <c r="J44" s="31">
        <f t="shared" si="1"/>
        <v>1.0056715808599757</v>
      </c>
      <c r="K44" s="31">
        <f t="shared" si="2"/>
        <v>1.0109916086960682</v>
      </c>
      <c r="L44" s="31">
        <f t="shared" si="6"/>
        <v>1.0211799373085226</v>
      </c>
      <c r="M44" s="30">
        <f t="shared" si="7"/>
        <v>5.130500000002425E-5</v>
      </c>
      <c r="N44" s="30">
        <f t="shared" si="9"/>
        <v>1.0594100000004464E-4</v>
      </c>
      <c r="O44" s="30">
        <f t="shared" si="10"/>
        <v>2.3040399999997552E-4</v>
      </c>
      <c r="P44" s="30">
        <f t="shared" si="11"/>
        <v>5.324760000000948E-4</v>
      </c>
      <c r="Q44" s="30">
        <f t="shared" si="12"/>
        <v>1.1744200000001323E-3</v>
      </c>
      <c r="R44" s="30">
        <f t="shared" si="8"/>
        <v>-5.7556384808171712E-3</v>
      </c>
      <c r="S44" s="30">
        <f t="shared" si="13"/>
        <v>-5.7149392491372408E-3</v>
      </c>
      <c r="T44" s="30">
        <f t="shared" si="14"/>
        <v>-5.6395954384289571E-3</v>
      </c>
      <c r="U44" s="30">
        <f t="shared" si="15"/>
        <v>-5.4509095841160926E-3</v>
      </c>
      <c r="V44" s="30">
        <f t="shared" si="16"/>
        <v>-4.1829788701275294E-3</v>
      </c>
    </row>
    <row r="45" spans="1:22" s="29" customFormat="1" ht="20" customHeight="1" x14ac:dyDescent="0.35">
      <c r="A45" s="131"/>
      <c r="B45" s="28">
        <v>44116</v>
      </c>
      <c r="C45" s="30">
        <v>-6.1622979999999992E-3</v>
      </c>
      <c r="D45" s="30">
        <v>-6.0878419999999996E-3</v>
      </c>
      <c r="E45" s="30">
        <v>-5.9730059999999995E-3</v>
      </c>
      <c r="F45" s="30">
        <v>-5.7810660000000005E-3</v>
      </c>
      <c r="G45" s="30">
        <v>-4.7050980000000004E-3</v>
      </c>
      <c r="H45" s="31">
        <f t="shared" si="5"/>
        <v>1.0015417617945219</v>
      </c>
      <c r="I45" s="31">
        <f t="shared" si="0"/>
        <v>1.0030485584316586</v>
      </c>
      <c r="J45" s="31">
        <f t="shared" si="1"/>
        <v>1.005990879969727</v>
      </c>
      <c r="K45" s="31">
        <f t="shared" si="2"/>
        <v>1.0116292318044302</v>
      </c>
      <c r="L45" s="31">
        <f t="shared" si="6"/>
        <v>1.023804397188113</v>
      </c>
      <c r="M45" s="30">
        <f t="shared" si="7"/>
        <v>9.7507999999897464E-5</v>
      </c>
      <c r="N45" s="30">
        <f t="shared" si="9"/>
        <v>1.7825500000007966E-4</v>
      </c>
      <c r="O45" s="30">
        <f t="shared" si="10"/>
        <v>3.1744800000001546E-4</v>
      </c>
      <c r="P45" s="30">
        <f t="shared" si="11"/>
        <v>6.3049200000001482E-4</v>
      </c>
      <c r="Q45" s="30">
        <f t="shared" si="12"/>
        <v>2.5667299999999776E-3</v>
      </c>
      <c r="R45" s="30">
        <f t="shared" si="8"/>
        <v>-6.1433499827678872E-3</v>
      </c>
      <c r="S45" s="30">
        <f t="shared" si="13"/>
        <v>-6.0693486371463656E-3</v>
      </c>
      <c r="T45" s="30">
        <f t="shared" si="14"/>
        <v>-5.9552030629812513E-3</v>
      </c>
      <c r="U45" s="30">
        <f t="shared" si="15"/>
        <v>-5.7643877927014975E-3</v>
      </c>
      <c r="V45" s="30">
        <f t="shared" si="16"/>
        <v>-4.6940463662058507E-3</v>
      </c>
    </row>
    <row r="46" spans="1:22" s="29" customFormat="1" ht="20" customHeight="1" x14ac:dyDescent="0.35">
      <c r="A46" s="131"/>
      <c r="B46" s="28">
        <v>44123</v>
      </c>
      <c r="C46" s="30">
        <v>-6.2617239999999998E-3</v>
      </c>
      <c r="D46" s="30">
        <v>-6.1546180000000006E-3</v>
      </c>
      <c r="E46" s="30">
        <v>-6.002658000000001E-3</v>
      </c>
      <c r="F46" s="30">
        <v>-5.7881199999999999E-3</v>
      </c>
      <c r="G46" s="30">
        <v>-4.6075899999999999E-3</v>
      </c>
      <c r="H46" s="31">
        <f t="shared" si="5"/>
        <v>1.0015666569267256</v>
      </c>
      <c r="I46" s="31">
        <f t="shared" si="0"/>
        <v>1.0030820487760121</v>
      </c>
      <c r="J46" s="31">
        <f t="shared" si="1"/>
        <v>1.0060207100535585</v>
      </c>
      <c r="K46" s="31">
        <f t="shared" si="2"/>
        <v>1.011643503970308</v>
      </c>
      <c r="L46" s="31">
        <f t="shared" si="6"/>
        <v>1.0233053732492581</v>
      </c>
      <c r="M46" s="30">
        <f t="shared" si="7"/>
        <v>2.4856500000032941E-5</v>
      </c>
      <c r="N46" s="30">
        <f t="shared" si="9"/>
        <v>3.3387999999852338E-5</v>
      </c>
      <c r="O46" s="30">
        <f t="shared" si="10"/>
        <v>2.9651999999930425E-5</v>
      </c>
      <c r="P46" s="30">
        <f t="shared" si="11"/>
        <v>1.4107999999884147E-5</v>
      </c>
      <c r="Q46" s="30">
        <f t="shared" si="12"/>
        <v>-4.8754000000003877E-4</v>
      </c>
      <c r="R46" s="30">
        <f t="shared" si="8"/>
        <v>-6.2421602618156768E-3</v>
      </c>
      <c r="S46" s="30">
        <f t="shared" si="13"/>
        <v>-6.1357171343856542E-3</v>
      </c>
      <c r="T46" s="30">
        <f t="shared" si="14"/>
        <v>-5.9846780423018497E-3</v>
      </c>
      <c r="U46" s="30">
        <f t="shared" si="15"/>
        <v>-5.7714011059740722E-3</v>
      </c>
      <c r="V46" s="30">
        <f t="shared" si="16"/>
        <v>-4.5969913415351282E-3</v>
      </c>
    </row>
    <row r="47" spans="1:22" s="29" customFormat="1" ht="20" customHeight="1" x14ac:dyDescent="0.35">
      <c r="A47" s="131"/>
      <c r="B47" s="28">
        <v>44130</v>
      </c>
      <c r="C47" s="30">
        <v>-6.1990940000000005E-3</v>
      </c>
      <c r="D47" s="30">
        <v>-6.1707859999999993E-3</v>
      </c>
      <c r="E47" s="30">
        <v>-6.1274379999999998E-3</v>
      </c>
      <c r="F47" s="30">
        <v>-6.0024260000000008E-3</v>
      </c>
      <c r="G47" s="30">
        <v>-4.7719800000000003E-3</v>
      </c>
      <c r="H47" s="31">
        <f t="shared" si="5"/>
        <v>1.0015509750195648</v>
      </c>
      <c r="I47" s="31">
        <f t="shared" si="0"/>
        <v>1.0030901577240707</v>
      </c>
      <c r="J47" s="31">
        <f t="shared" si="1"/>
        <v>1.0061462491499802</v>
      </c>
      <c r="K47" s="31">
        <f t="shared" si="2"/>
        <v>1.0120771994527364</v>
      </c>
      <c r="L47" s="31">
        <f t="shared" si="6"/>
        <v>1.024146824869006</v>
      </c>
      <c r="M47" s="30">
        <f t="shared" si="7"/>
        <v>-1.5657500000053689E-5</v>
      </c>
      <c r="N47" s="30">
        <f t="shared" si="9"/>
        <v>8.0839999998766864E-6</v>
      </c>
      <c r="O47" s="30">
        <f t="shared" si="10"/>
        <v>1.247799999998422E-4</v>
      </c>
      <c r="P47" s="30">
        <f t="shared" si="11"/>
        <v>4.2861200000019866E-4</v>
      </c>
      <c r="Q47" s="30">
        <f t="shared" si="12"/>
        <v>8.2195000000018486E-4</v>
      </c>
      <c r="R47" s="30">
        <f t="shared" si="8"/>
        <v>-6.1799192592563168E-3</v>
      </c>
      <c r="S47" s="30">
        <f t="shared" si="13"/>
        <v>-6.1517858022115401E-3</v>
      </c>
      <c r="T47" s="30">
        <f t="shared" si="14"/>
        <v>-6.1087035360642972E-3</v>
      </c>
      <c r="U47" s="30">
        <f t="shared" si="15"/>
        <v>-5.9844474307203521E-3</v>
      </c>
      <c r="V47" s="30">
        <f t="shared" si="16"/>
        <v>-4.7606121929442136E-3</v>
      </c>
    </row>
    <row r="48" spans="1:22" s="29" customFormat="1" ht="20" customHeight="1" x14ac:dyDescent="0.35">
      <c r="A48" s="131"/>
      <c r="B48" s="28">
        <v>44137</v>
      </c>
      <c r="C48" s="30">
        <v>-6.1141039999999987E-3</v>
      </c>
      <c r="D48" s="30">
        <v>-6.1620300000000006E-3</v>
      </c>
      <c r="E48" s="30">
        <v>-6.2384920000000009E-3</v>
      </c>
      <c r="F48" s="30">
        <v>-6.2599760000000004E-3</v>
      </c>
      <c r="G48" s="30">
        <v>-5.150224000000001E-3</v>
      </c>
      <c r="H48" s="31">
        <f t="shared" si="5"/>
        <v>1.0015296947912997</v>
      </c>
      <c r="I48" s="31">
        <f t="shared" si="0"/>
        <v>1.0030857662049733</v>
      </c>
      <c r="J48" s="31">
        <f t="shared" si="1"/>
        <v>1.0062579919201593</v>
      </c>
      <c r="K48" s="31">
        <f t="shared" si="2"/>
        <v>1.0125986547074457</v>
      </c>
      <c r="L48" s="31">
        <f t="shared" si="6"/>
        <v>1.0260855445219721</v>
      </c>
      <c r="M48" s="30">
        <f t="shared" si="7"/>
        <v>-2.1247499999968724E-5</v>
      </c>
      <c r="N48" s="30">
        <f t="shared" si="9"/>
        <v>-4.3779999999544375E-6</v>
      </c>
      <c r="O48" s="30">
        <f t="shared" si="10"/>
        <v>1.1105400000006192E-4</v>
      </c>
      <c r="P48" s="30">
        <f t="shared" si="11"/>
        <v>5.1509999999998341E-4</v>
      </c>
      <c r="Q48" s="30">
        <f t="shared" si="12"/>
        <v>1.8912200000000285E-3</v>
      </c>
      <c r="R48" s="30">
        <f t="shared" si="8"/>
        <v>-6.0954509011620361E-3</v>
      </c>
      <c r="S48" s="30">
        <f t="shared" si="13"/>
        <v>-6.143083629150059E-3</v>
      </c>
      <c r="T48" s="30">
        <f t="shared" si="14"/>
        <v>-6.219073011502485E-3</v>
      </c>
      <c r="U48" s="30">
        <f t="shared" si="15"/>
        <v>-6.2404231715936787E-3</v>
      </c>
      <c r="V48" s="30">
        <f t="shared" si="16"/>
        <v>-5.1369843352063738E-3</v>
      </c>
    </row>
    <row r="49" spans="1:22" s="29" customFormat="1" ht="20" customHeight="1" x14ac:dyDescent="0.35">
      <c r="A49" s="131"/>
      <c r="B49" s="28">
        <v>44144</v>
      </c>
      <c r="C49" s="30">
        <v>-5.9443599999999992E-3</v>
      </c>
      <c r="D49" s="30">
        <v>-5.994824000000001E-3</v>
      </c>
      <c r="E49" s="30">
        <v>-6.0444119999999999E-3</v>
      </c>
      <c r="F49" s="30">
        <v>-5.9544840000000012E-3</v>
      </c>
      <c r="G49" s="30">
        <v>-4.5980559999999997E-3</v>
      </c>
      <c r="H49" s="31">
        <f t="shared" si="5"/>
        <v>1.0014871947789432</v>
      </c>
      <c r="I49" s="31">
        <f t="shared" si="0"/>
        <v>1.0030019087310782</v>
      </c>
      <c r="J49" s="31">
        <f t="shared" si="1"/>
        <v>1.0060627163192448</v>
      </c>
      <c r="K49" s="31">
        <f t="shared" si="2"/>
        <v>1.0119801620947835</v>
      </c>
      <c r="L49" s="31">
        <f t="shared" si="6"/>
        <v>1.0232565934447913</v>
      </c>
      <c r="M49" s="30">
        <f t="shared" si="7"/>
        <v>-4.2435999999975963E-5</v>
      </c>
      <c r="N49" s="30">
        <f t="shared" si="9"/>
        <v>-8.360300000004374E-5</v>
      </c>
      <c r="O49" s="30">
        <f t="shared" si="10"/>
        <v>-1.9407999999990336E-4</v>
      </c>
      <c r="P49" s="30">
        <f t="shared" si="11"/>
        <v>-6.109840000000442E-4</v>
      </c>
      <c r="Q49" s="30">
        <f t="shared" si="12"/>
        <v>-2.7608399999999944E-3</v>
      </c>
      <c r="R49" s="30">
        <f t="shared" si="8"/>
        <v>-5.926727247871022E-3</v>
      </c>
      <c r="S49" s="30">
        <f t="shared" si="13"/>
        <v>-5.9768908957673617E-3</v>
      </c>
      <c r="T49" s="30">
        <f t="shared" si="14"/>
        <v>-6.0261812915854973E-3</v>
      </c>
      <c r="U49" s="30">
        <f t="shared" si="15"/>
        <v>-5.9367911947406649E-3</v>
      </c>
      <c r="V49" s="30">
        <f t="shared" si="16"/>
        <v>-4.587501124010851E-3</v>
      </c>
    </row>
    <row r="50" spans="1:22" s="29" customFormat="1" ht="20" customHeight="1" x14ac:dyDescent="0.35">
      <c r="A50" s="131"/>
      <c r="B50" s="28">
        <v>44151</v>
      </c>
      <c r="C50" s="30">
        <v>-6.0339440000000003E-3</v>
      </c>
      <c r="D50" s="30">
        <v>-6.0696819999999999E-3</v>
      </c>
      <c r="E50" s="30">
        <v>-6.1153679999999995E-3</v>
      </c>
      <c r="F50" s="30">
        <v>-6.0816080000000005E-3</v>
      </c>
      <c r="G50" s="30">
        <v>-5.0049619999999991E-3</v>
      </c>
      <c r="H50" s="31">
        <f t="shared" si="5"/>
        <v>1.0015096243373227</v>
      </c>
      <c r="I50" s="31">
        <f t="shared" si="0"/>
        <v>1.0030394507920968</v>
      </c>
      <c r="J50" s="31">
        <f t="shared" si="1"/>
        <v>1.0061341050380428</v>
      </c>
      <c r="K50" s="31">
        <f t="shared" si="2"/>
        <v>1.0122374887380416</v>
      </c>
      <c r="L50" s="31">
        <f t="shared" si="6"/>
        <v>1.0253405589081308</v>
      </c>
      <c r="M50" s="30">
        <f t="shared" si="7"/>
        <v>2.2395999999864672E-5</v>
      </c>
      <c r="N50" s="30">
        <f t="shared" si="9"/>
        <v>3.7429000000174526E-5</v>
      </c>
      <c r="O50" s="30">
        <f t="shared" si="10"/>
        <v>7.0955999999815824E-5</v>
      </c>
      <c r="P50" s="30">
        <f t="shared" si="11"/>
        <v>2.5424799999984609E-4</v>
      </c>
      <c r="Q50" s="30">
        <f t="shared" si="12"/>
        <v>2.0345299999999333E-3</v>
      </c>
      <c r="R50" s="30">
        <f t="shared" si="8"/>
        <v>-6.0157763191917013E-3</v>
      </c>
      <c r="S50" s="30">
        <f t="shared" si="13"/>
        <v>-6.0512986926245516E-3</v>
      </c>
      <c r="T50" s="30">
        <f t="shared" si="14"/>
        <v>-6.0967071957181984E-3</v>
      </c>
      <c r="U50" s="30">
        <f t="shared" si="15"/>
        <v>-6.0631524541522319E-3</v>
      </c>
      <c r="V50" s="30">
        <f t="shared" si="16"/>
        <v>-4.9924580469901114E-3</v>
      </c>
    </row>
    <row r="51" spans="1:22" s="29" customFormat="1" ht="20" customHeight="1" x14ac:dyDescent="0.35">
      <c r="A51" s="131"/>
      <c r="B51" s="28">
        <v>44158</v>
      </c>
      <c r="C51" s="30">
        <v>-6.1210280000000006E-3</v>
      </c>
      <c r="D51" s="30">
        <v>-6.1617900000000003E-3</v>
      </c>
      <c r="E51" s="30">
        <v>-6.2197560000000008E-3</v>
      </c>
      <c r="F51" s="30">
        <v>-6.2141720000000004E-3</v>
      </c>
      <c r="G51" s="30">
        <v>-5.200156E-3</v>
      </c>
      <c r="H51" s="31">
        <f t="shared" si="5"/>
        <v>1.001531428440702</v>
      </c>
      <c r="I51" s="31">
        <f t="shared" si="0"/>
        <v>1.0030856458346886</v>
      </c>
      <c r="J51" s="31">
        <f t="shared" si="1"/>
        <v>1.0062391388470389</v>
      </c>
      <c r="K51" s="31">
        <f t="shared" si="2"/>
        <v>1.0125058968186325</v>
      </c>
      <c r="L51" s="31">
        <f t="shared" si="6"/>
        <v>1.0263417490196942</v>
      </c>
      <c r="M51" s="30">
        <f t="shared" si="7"/>
        <v>2.1771000000157638E-5</v>
      </c>
      <c r="N51" s="30">
        <f t="shared" si="9"/>
        <v>4.6053999999965993E-5</v>
      </c>
      <c r="O51" s="30">
        <f t="shared" si="10"/>
        <v>1.0438800000004138E-4</v>
      </c>
      <c r="P51" s="30">
        <f t="shared" si="11"/>
        <v>2.6512800000023197E-4</v>
      </c>
      <c r="Q51" s="30">
        <f t="shared" si="12"/>
        <v>9.759700000002054E-4</v>
      </c>
      <c r="R51" s="30">
        <f t="shared" si="8"/>
        <v>-6.1023326724353177E-3</v>
      </c>
      <c r="S51" s="30">
        <f t="shared" si="13"/>
        <v>-6.142845103461414E-3</v>
      </c>
      <c r="T51" s="30">
        <f t="shared" si="14"/>
        <v>-6.200453357625979E-3</v>
      </c>
      <c r="U51" s="30">
        <f t="shared" si="15"/>
        <v>-6.1949039654637383E-3</v>
      </c>
      <c r="V51" s="30">
        <f t="shared" si="16"/>
        <v>-5.1866585951265698E-3</v>
      </c>
    </row>
    <row r="52" spans="1:22" s="29" customFormat="1" ht="20" customHeight="1" x14ac:dyDescent="0.35">
      <c r="A52" s="131"/>
      <c r="B52" s="28">
        <v>44165</v>
      </c>
      <c r="C52" s="30">
        <v>-6.3123540000000001E-3</v>
      </c>
      <c r="D52" s="30">
        <v>-6.2875139999999993E-3</v>
      </c>
      <c r="E52" s="30">
        <v>-6.2401400000000008E-3</v>
      </c>
      <c r="F52" s="30">
        <v>-6.0991780000000002E-3</v>
      </c>
      <c r="G52" s="30">
        <v>-4.9535619999999999E-3</v>
      </c>
      <c r="H52" s="31">
        <f t="shared" si="5"/>
        <v>1.0015793343369177</v>
      </c>
      <c r="I52" s="31">
        <f t="shared" si="0"/>
        <v>1.0031487037865108</v>
      </c>
      <c r="J52" s="31">
        <f t="shared" si="1"/>
        <v>1.0062596502346965</v>
      </c>
      <c r="K52" s="31">
        <f t="shared" si="2"/>
        <v>1.0122730593883686</v>
      </c>
      <c r="L52" s="31">
        <f t="shared" si="6"/>
        <v>1.0250770802429503</v>
      </c>
      <c r="M52" s="30">
        <f t="shared" si="7"/>
        <v>4.7831499999932797E-5</v>
      </c>
      <c r="N52" s="30">
        <f t="shared" si="9"/>
        <v>6.2861999999939985E-5</v>
      </c>
      <c r="O52" s="30">
        <f t="shared" si="10"/>
        <v>2.0384000000157741E-5</v>
      </c>
      <c r="P52" s="30">
        <f t="shared" si="11"/>
        <v>-2.2998800000005609E-4</v>
      </c>
      <c r="Q52" s="30">
        <f t="shared" si="12"/>
        <v>-1.232969999999942E-3</v>
      </c>
      <c r="R52" s="30">
        <f t="shared" si="8"/>
        <v>-6.2924729475652974E-3</v>
      </c>
      <c r="S52" s="30">
        <f t="shared" si="13"/>
        <v>-6.2677889460192038E-3</v>
      </c>
      <c r="T52" s="30">
        <f t="shared" si="14"/>
        <v>-6.2207107611206292E-3</v>
      </c>
      <c r="U52" s="30">
        <f t="shared" si="15"/>
        <v>-6.0806157711479347E-3</v>
      </c>
      <c r="V52" s="30">
        <f t="shared" si="16"/>
        <v>-4.9413133449262014E-3</v>
      </c>
    </row>
    <row r="53" spans="1:22" s="29" customFormat="1" ht="20" customHeight="1" x14ac:dyDescent="0.35">
      <c r="A53" s="131"/>
      <c r="B53" s="28">
        <v>44172</v>
      </c>
      <c r="C53" s="30">
        <v>-6.6568039999999997E-3</v>
      </c>
      <c r="D53" s="30">
        <v>-6.5901739999999999E-3</v>
      </c>
      <c r="E53" s="30">
        <v>-6.4862599999999989E-3</v>
      </c>
      <c r="F53" s="30">
        <v>-6.3134700000000007E-3</v>
      </c>
      <c r="G53" s="30">
        <v>-5.3560539999999998E-3</v>
      </c>
      <c r="H53" s="31">
        <f t="shared" si="5"/>
        <v>1.0016655865509894</v>
      </c>
      <c r="I53" s="31">
        <f t="shared" si="0"/>
        <v>1.0033005217668725</v>
      </c>
      <c r="J53" s="31">
        <f t="shared" si="1"/>
        <v>1.0065073413394292</v>
      </c>
      <c r="K53" s="31">
        <f t="shared" si="2"/>
        <v>1.012706996407843</v>
      </c>
      <c r="L53" s="31">
        <f t="shared" si="6"/>
        <v>1.0271420840356844</v>
      </c>
      <c r="M53" s="30">
        <f t="shared" si="7"/>
        <v>8.6112499999889085E-5</v>
      </c>
      <c r="N53" s="30">
        <f t="shared" si="9"/>
        <v>1.513299999998941E-4</v>
      </c>
      <c r="O53" s="30">
        <f t="shared" si="10"/>
        <v>2.4611999999981786E-4</v>
      </c>
      <c r="P53" s="30">
        <f t="shared" si="11"/>
        <v>4.2858399999990934E-4</v>
      </c>
      <c r="Q53" s="30">
        <f t="shared" si="12"/>
        <v>2.0124599999999963E-3</v>
      </c>
      <c r="R53" s="30">
        <f t="shared" si="8"/>
        <v>-6.6346965624127785E-3</v>
      </c>
      <c r="S53" s="30">
        <f t="shared" si="13"/>
        <v>-6.5685064271449045E-3</v>
      </c>
      <c r="T53" s="30">
        <f t="shared" si="14"/>
        <v>-6.4652696231399798E-3</v>
      </c>
      <c r="U53" s="30">
        <f t="shared" si="15"/>
        <v>-6.293581924546654E-3</v>
      </c>
      <c r="V53" s="30">
        <f t="shared" si="16"/>
        <v>-5.3417359169887213E-3</v>
      </c>
    </row>
    <row r="54" spans="1:22" s="29" customFormat="1" ht="20" customHeight="1" x14ac:dyDescent="0.35">
      <c r="A54" s="131"/>
      <c r="B54" s="28">
        <v>44179</v>
      </c>
      <c r="C54" s="30">
        <v>-6.5723279999999997E-3</v>
      </c>
      <c r="D54" s="30">
        <v>-6.5494819999999997E-3</v>
      </c>
      <c r="E54" s="30">
        <v>-6.5209039999999992E-3</v>
      </c>
      <c r="F54" s="30">
        <v>-6.4478299999999999E-3</v>
      </c>
      <c r="G54" s="30">
        <v>-5.4898680000000002E-3</v>
      </c>
      <c r="H54" s="31">
        <f t="shared" si="5"/>
        <v>1.0016444325988429</v>
      </c>
      <c r="I54" s="31">
        <f t="shared" si="0"/>
        <v>1.0032801088221182</v>
      </c>
      <c r="J54" s="31">
        <f t="shared" si="1"/>
        <v>1.0065422113837781</v>
      </c>
      <c r="K54" s="31">
        <f t="shared" si="2"/>
        <v>1.0129791675992013</v>
      </c>
      <c r="L54" s="31">
        <f t="shared" si="6"/>
        <v>1.0278295439436049</v>
      </c>
      <c r="M54" s="30">
        <f t="shared" si="7"/>
        <v>-2.1119000000020744E-5</v>
      </c>
      <c r="N54" s="30">
        <f t="shared" si="9"/>
        <v>-2.0346000000024294E-5</v>
      </c>
      <c r="O54" s="30">
        <f t="shared" si="10"/>
        <v>3.4644000000191357E-5</v>
      </c>
      <c r="P54" s="30">
        <f t="shared" si="11"/>
        <v>2.6872000000007846E-4</v>
      </c>
      <c r="Q54" s="30">
        <f t="shared" si="12"/>
        <v>6.6906999999992835E-4</v>
      </c>
      <c r="R54" s="30">
        <f t="shared" si="8"/>
        <v>-6.5507774905158023E-3</v>
      </c>
      <c r="S54" s="30">
        <f t="shared" si="13"/>
        <v>-6.5280808903159793E-3</v>
      </c>
      <c r="T54" s="30">
        <f t="shared" si="14"/>
        <v>-6.4996890441225696E-3</v>
      </c>
      <c r="U54" s="30">
        <f t="shared" si="15"/>
        <v>-6.427087349783922E-3</v>
      </c>
      <c r="V54" s="30">
        <f t="shared" si="16"/>
        <v>-5.4748262130677183E-3</v>
      </c>
    </row>
    <row r="55" spans="1:22" s="29" customFormat="1" ht="20" customHeight="1" x14ac:dyDescent="0.35">
      <c r="A55" s="131"/>
      <c r="B55" s="28">
        <v>44186</v>
      </c>
      <c r="C55" s="30">
        <v>-6.6667100000000002E-3</v>
      </c>
      <c r="D55" s="30">
        <v>-6.5777533333333336E-3</v>
      </c>
      <c r="E55" s="30">
        <v>-6.4452800000000011E-3</v>
      </c>
      <c r="F55" s="30">
        <v>-6.2402266666666669E-3</v>
      </c>
      <c r="G55" s="30">
        <v>-5.1140400000000011E-3</v>
      </c>
      <c r="H55" s="31">
        <f t="shared" si="5"/>
        <v>1.001668067178886</v>
      </c>
      <c r="I55" s="31">
        <f t="shared" si="0"/>
        <v>1.0032942909555467</v>
      </c>
      <c r="J55" s="31">
        <f t="shared" si="1"/>
        <v>1.0064660955137139</v>
      </c>
      <c r="K55" s="31">
        <f t="shared" si="2"/>
        <v>1.0125586592006059</v>
      </c>
      <c r="L55" s="31">
        <f t="shared" si="6"/>
        <v>1.0258999219171843</v>
      </c>
      <c r="M55" s="30">
        <f t="shared" si="7"/>
        <v>2.359549999985155E-5</v>
      </c>
      <c r="N55" s="30">
        <f t="shared" si="9"/>
        <v>1.4135666666933249E-5</v>
      </c>
      <c r="O55" s="30">
        <f t="shared" si="10"/>
        <v>-7.5624000000071496E-5</v>
      </c>
      <c r="P55" s="30">
        <f t="shared" si="11"/>
        <v>-4.1520666666678845E-4</v>
      </c>
      <c r="Q55" s="30">
        <f t="shared" si="12"/>
        <v>-1.879140000000004E-3</v>
      </c>
      <c r="R55" s="30">
        <f t="shared" si="8"/>
        <v>-6.6445367903699148E-3</v>
      </c>
      <c r="S55" s="30">
        <f t="shared" si="13"/>
        <v>-6.556167269076929E-3</v>
      </c>
      <c r="T55" s="30">
        <f t="shared" si="14"/>
        <v>-6.4245537356263371E-3</v>
      </c>
      <c r="U55" s="30">
        <f t="shared" si="15"/>
        <v>-6.2207968886552889E-3</v>
      </c>
      <c r="V55" s="30">
        <f t="shared" si="16"/>
        <v>-5.1009855605615995E-3</v>
      </c>
    </row>
    <row r="56" spans="1:22" s="29" customFormat="1" ht="20" customHeight="1" x14ac:dyDescent="0.35">
      <c r="A56" s="131"/>
      <c r="B56" s="28">
        <v>44193</v>
      </c>
      <c r="C56" s="30">
        <v>-6.7616466666666677E-3</v>
      </c>
      <c r="D56" s="30">
        <v>-6.6474799999999999E-3</v>
      </c>
      <c r="E56" s="30">
        <v>-6.4837766666666673E-3</v>
      </c>
      <c r="F56" s="30">
        <v>-6.2608899999999999E-3</v>
      </c>
      <c r="G56" s="30">
        <v>-5.1564133333333326E-3</v>
      </c>
      <c r="H56" s="31">
        <f t="shared" si="5"/>
        <v>1.0016918412178646</v>
      </c>
      <c r="I56" s="31">
        <f t="shared" si="0"/>
        <v>1.0033292697485787</v>
      </c>
      <c r="J56" s="31">
        <f t="shared" si="1"/>
        <v>1.0065048418493019</v>
      </c>
      <c r="K56" s="31">
        <f t="shared" si="2"/>
        <v>1.0126005057394782</v>
      </c>
      <c r="L56" s="31">
        <f t="shared" si="6"/>
        <v>1.026117298940634</v>
      </c>
      <c r="M56" s="30">
        <f t="shared" si="7"/>
        <v>2.37341666667021E-5</v>
      </c>
      <c r="N56" s="30">
        <f t="shared" si="9"/>
        <v>3.4863333333263994E-5</v>
      </c>
      <c r="O56" s="30">
        <f t="shared" si="10"/>
        <v>3.8496666666851713E-5</v>
      </c>
      <c r="P56" s="30">
        <f t="shared" si="11"/>
        <v>4.1326666666792426E-5</v>
      </c>
      <c r="Q56" s="30">
        <f t="shared" si="12"/>
        <v>2.1186666666665716E-4</v>
      </c>
      <c r="R56" s="30">
        <f t="shared" si="8"/>
        <v>-6.7388381704619471E-3</v>
      </c>
      <c r="S56" s="30">
        <f t="shared" si="13"/>
        <v>-6.6254343811433802E-3</v>
      </c>
      <c r="T56" s="30">
        <f t="shared" si="14"/>
        <v>-6.4628023421626768E-3</v>
      </c>
      <c r="U56" s="30">
        <f t="shared" si="15"/>
        <v>-6.2413314674317766E-3</v>
      </c>
      <c r="V56" s="30">
        <f t="shared" si="16"/>
        <v>-5.1431418549757746E-3</v>
      </c>
    </row>
    <row r="57" spans="1:22" s="29" customFormat="1" ht="20" customHeight="1" x14ac:dyDescent="0.35">
      <c r="A57" s="131"/>
      <c r="B57" s="28">
        <v>44200</v>
      </c>
      <c r="C57" s="30">
        <v>-6.0634380000000009E-3</v>
      </c>
      <c r="D57" s="30">
        <v>-6.0693280000000006E-3</v>
      </c>
      <c r="E57" s="30">
        <v>-6.0813340000000007E-3</v>
      </c>
      <c r="F57" s="30">
        <v>-6.0500440000000009E-3</v>
      </c>
      <c r="G57" s="30">
        <v>-5.1538479999999999E-3</v>
      </c>
      <c r="H57" s="31">
        <f t="shared" si="5"/>
        <v>1.0015170089957632</v>
      </c>
      <c r="I57" s="31">
        <f t="shared" si="0"/>
        <v>1.0030392732541296</v>
      </c>
      <c r="J57" s="31">
        <f t="shared" si="1"/>
        <v>1.0060998628526145</v>
      </c>
      <c r="K57" s="31">
        <f t="shared" si="2"/>
        <v>1.0121735902267666</v>
      </c>
      <c r="L57" s="31">
        <f t="shared" si="6"/>
        <v>1.0261041373604896</v>
      </c>
      <c r="M57" s="30">
        <f t="shared" si="7"/>
        <v>-1.745521666665704E-4</v>
      </c>
      <c r="N57" s="30">
        <f t="shared" si="9"/>
        <v>-2.8907600000009089E-4</v>
      </c>
      <c r="O57" s="30">
        <f t="shared" si="10"/>
        <v>-4.0244266666677526E-4</v>
      </c>
      <c r="P57" s="30">
        <f t="shared" si="11"/>
        <v>-4.2169199999985172E-4</v>
      </c>
      <c r="Q57" s="30">
        <f t="shared" si="12"/>
        <v>-1.2826666666493889E-5</v>
      </c>
      <c r="R57" s="30">
        <f t="shared" si="8"/>
        <v>-6.0450924575577991E-3</v>
      </c>
      <c r="S57" s="30">
        <f t="shared" si="13"/>
        <v>-6.0509468347220707E-3</v>
      </c>
      <c r="T57" s="30">
        <f t="shared" si="14"/>
        <v>-6.0628801154186673E-3</v>
      </c>
      <c r="U57" s="30">
        <f t="shared" si="15"/>
        <v>-6.031779336368337E-3</v>
      </c>
      <c r="V57" s="30">
        <f t="shared" si="16"/>
        <v>-5.1405897122421829E-3</v>
      </c>
    </row>
    <row r="58" spans="1:22" s="29" customFormat="1" ht="20" customHeight="1" x14ac:dyDescent="0.35">
      <c r="A58" s="131"/>
      <c r="B58" s="28">
        <v>44207</v>
      </c>
      <c r="C58" s="30">
        <v>-5.7607979999999993E-3</v>
      </c>
      <c r="D58" s="30">
        <v>-5.7380060000000004E-3</v>
      </c>
      <c r="E58" s="30">
        <v>-5.7152200000000009E-3</v>
      </c>
      <c r="F58" s="30">
        <v>-5.6798960000000003E-3</v>
      </c>
      <c r="G58" s="30">
        <v>-4.9689579999999999E-3</v>
      </c>
      <c r="H58" s="31">
        <f t="shared" si="5"/>
        <v>1.00144123708535</v>
      </c>
      <c r="I58" s="31">
        <f t="shared" si="0"/>
        <v>1.0028731225278109</v>
      </c>
      <c r="J58" s="31">
        <f t="shared" si="1"/>
        <v>1.0057315830277398</v>
      </c>
      <c r="K58" s="31">
        <f t="shared" si="2"/>
        <v>1.0114245594530669</v>
      </c>
      <c r="L58" s="31">
        <f t="shared" si="6"/>
        <v>1.0251559937139278</v>
      </c>
      <c r="M58" s="30">
        <f t="shared" si="7"/>
        <v>-7.5660000000128577E-5</v>
      </c>
      <c r="N58" s="30">
        <f t="shared" si="9"/>
        <v>-1.6566099999982745E-4</v>
      </c>
      <c r="O58" s="30">
        <f t="shared" si="10"/>
        <v>-3.6611399999984741E-4</v>
      </c>
      <c r="P58" s="30">
        <f t="shared" si="11"/>
        <v>-7.402960000001032E-4</v>
      </c>
      <c r="Q58" s="30">
        <f t="shared" si="12"/>
        <v>-9.2445000000004462E-4</v>
      </c>
      <c r="R58" s="30">
        <f t="shared" si="8"/>
        <v>-5.7442364211000019E-3</v>
      </c>
      <c r="S58" s="30">
        <f t="shared" si="13"/>
        <v>-5.7215750854888725E-3</v>
      </c>
      <c r="T58" s="30">
        <f t="shared" si="14"/>
        <v>-5.6989191991813071E-3</v>
      </c>
      <c r="U58" s="30">
        <f t="shared" si="15"/>
        <v>-5.6637958874588001E-3</v>
      </c>
      <c r="V58" s="30">
        <f t="shared" si="16"/>
        <v>-4.9566331505337402E-3</v>
      </c>
    </row>
    <row r="59" spans="1:22" s="29" customFormat="1" ht="20" customHeight="1" x14ac:dyDescent="0.35">
      <c r="A59" s="131"/>
      <c r="B59" s="28">
        <v>44214</v>
      </c>
      <c r="C59" s="30">
        <v>-5.7112979999999992E-3</v>
      </c>
      <c r="D59" s="30">
        <v>-5.6961980000000004E-3</v>
      </c>
      <c r="E59" s="30">
        <v>-5.6823920000000005E-3</v>
      </c>
      <c r="F59" s="30">
        <v>-5.6333399999999997E-3</v>
      </c>
      <c r="G59" s="30">
        <v>-4.6959020000000001E-3</v>
      </c>
      <c r="H59" s="31">
        <f t="shared" si="5"/>
        <v>1.0014288443267214</v>
      </c>
      <c r="I59" s="31">
        <f t="shared" si="0"/>
        <v>1.0028521586871724</v>
      </c>
      <c r="J59" s="31">
        <f t="shared" si="1"/>
        <v>1.0056985674132535</v>
      </c>
      <c r="K59" s="31">
        <f t="shared" si="2"/>
        <v>1.0113303880737978</v>
      </c>
      <c r="L59" s="31">
        <f t="shared" si="6"/>
        <v>1.0237573237441571</v>
      </c>
      <c r="M59" s="30">
        <f t="shared" si="7"/>
        <v>-1.2375000000088482E-5</v>
      </c>
      <c r="N59" s="30">
        <f t="shared" si="9"/>
        <v>-2.0904000000067581E-5</v>
      </c>
      <c r="O59" s="30">
        <f t="shared" si="10"/>
        <v>-3.2827999999957748E-5</v>
      </c>
      <c r="P59" s="30">
        <f t="shared" si="11"/>
        <v>-9.3112000000041551E-5</v>
      </c>
      <c r="Q59" s="30">
        <f t="shared" si="12"/>
        <v>-1.3652800000000349E-3</v>
      </c>
      <c r="R59" s="30">
        <f t="shared" si="8"/>
        <v>-5.6950195426951344E-3</v>
      </c>
      <c r="S59" s="30">
        <f t="shared" si="13"/>
        <v>-5.6800054241339382E-3</v>
      </c>
      <c r="T59" s="30">
        <f t="shared" si="14"/>
        <v>-5.6662777475268156E-3</v>
      </c>
      <c r="U59" s="30">
        <f t="shared" si="15"/>
        <v>-5.6175024935308793E-3</v>
      </c>
      <c r="V59" s="30">
        <f t="shared" si="16"/>
        <v>-4.6848934905714401E-3</v>
      </c>
    </row>
    <row r="60" spans="1:22" s="29" customFormat="1" ht="20" customHeight="1" x14ac:dyDescent="0.35">
      <c r="A60" s="131"/>
      <c r="B60" s="28">
        <v>44221</v>
      </c>
      <c r="C60" s="30">
        <v>-5.6647439999999993E-3</v>
      </c>
      <c r="D60" s="30">
        <v>-5.6842239999999999E-3</v>
      </c>
      <c r="E60" s="30">
        <v>-5.7325400000000004E-3</v>
      </c>
      <c r="F60" s="30">
        <v>-5.7866139999999998E-3</v>
      </c>
      <c r="G60" s="30">
        <v>-5.0440339999999993E-3</v>
      </c>
      <c r="H60" s="31">
        <f t="shared" si="5"/>
        <v>1.0014171892649406</v>
      </c>
      <c r="I60" s="31">
        <f t="shared" si="0"/>
        <v>1.0028461546292715</v>
      </c>
      <c r="J60" s="31">
        <f t="shared" si="1"/>
        <v>1.0057490024496096</v>
      </c>
      <c r="K60" s="31">
        <f t="shared" si="2"/>
        <v>1.0116404569046631</v>
      </c>
      <c r="L60" s="31">
        <f t="shared" si="6"/>
        <v>1.0255408890073261</v>
      </c>
      <c r="M60" s="30">
        <f t="shared" si="7"/>
        <v>-1.163849999999854E-5</v>
      </c>
      <c r="N60" s="30">
        <f t="shared" si="9"/>
        <v>-5.9869999999255784E-6</v>
      </c>
      <c r="O60" s="30">
        <f t="shared" si="10"/>
        <v>5.0147999999881803E-5</v>
      </c>
      <c r="P60" s="30">
        <f t="shared" si="11"/>
        <v>3.0654800000012752E-4</v>
      </c>
      <c r="Q60" s="30">
        <f t="shared" si="12"/>
        <v>1.740659999999913E-3</v>
      </c>
      <c r="R60" s="30">
        <f t="shared" si="8"/>
        <v>-5.6487295911520352E-3</v>
      </c>
      <c r="S60" s="30">
        <f t="shared" si="13"/>
        <v>-5.6680993652374889E-3</v>
      </c>
      <c r="T60" s="30">
        <f t="shared" si="14"/>
        <v>-5.7161403447651971E-3</v>
      </c>
      <c r="U60" s="30">
        <f t="shared" si="15"/>
        <v>-5.7699037965766031E-3</v>
      </c>
      <c r="V60" s="30">
        <f t="shared" si="16"/>
        <v>-5.0313342221793844E-3</v>
      </c>
    </row>
    <row r="61" spans="1:22" s="29" customFormat="1" ht="20" customHeight="1" x14ac:dyDescent="0.35">
      <c r="A61" s="131"/>
      <c r="B61" s="28">
        <v>44228</v>
      </c>
      <c r="C61" s="30">
        <v>-5.6975540000000005E-3</v>
      </c>
      <c r="D61" s="30">
        <v>-5.7447560000000002E-3</v>
      </c>
      <c r="E61" s="30">
        <v>-5.811274E-3</v>
      </c>
      <c r="F61" s="30">
        <v>-5.8092980000000009E-3</v>
      </c>
      <c r="G61" s="30">
        <v>-4.7383920000000001E-3</v>
      </c>
      <c r="H61" s="31">
        <f t="shared" si="5"/>
        <v>1.0014254034231238</v>
      </c>
      <c r="I61" s="31">
        <f t="shared" si="0"/>
        <v>1.002876507230311</v>
      </c>
      <c r="J61" s="31">
        <f t="shared" si="1"/>
        <v>1.0058281922089907</v>
      </c>
      <c r="K61" s="31">
        <f t="shared" si="2"/>
        <v>1.0116863540500349</v>
      </c>
      <c r="L61" s="31">
        <f t="shared" si="6"/>
        <v>1.0239748440928673</v>
      </c>
      <c r="M61" s="30">
        <f t="shared" si="7"/>
        <v>8.2024999999382562E-6</v>
      </c>
      <c r="N61" s="30">
        <f t="shared" si="9"/>
        <v>3.0265999999846492E-5</v>
      </c>
      <c r="O61" s="30">
        <f t="shared" si="10"/>
        <v>7.8733999999762826E-5</v>
      </c>
      <c r="P61" s="30">
        <f t="shared" si="11"/>
        <v>4.5368000000040864E-5</v>
      </c>
      <c r="Q61" s="30">
        <f t="shared" si="12"/>
        <v>-1.5282100000000801E-3</v>
      </c>
      <c r="R61" s="30">
        <f t="shared" si="8"/>
        <v>-5.6813537211324316E-3</v>
      </c>
      <c r="S61" s="30">
        <f t="shared" si="13"/>
        <v>-5.7282864422062429E-3</v>
      </c>
      <c r="T61" s="30">
        <f t="shared" si="14"/>
        <v>-5.7944212084480862E-3</v>
      </c>
      <c r="U61" s="30">
        <f t="shared" si="15"/>
        <v>-5.7924566562833624E-3</v>
      </c>
      <c r="V61" s="30">
        <f t="shared" si="16"/>
        <v>-4.7271835309886656E-3</v>
      </c>
    </row>
    <row r="62" spans="1:22" s="29" customFormat="1" ht="20" customHeight="1" x14ac:dyDescent="0.35">
      <c r="A62" s="131"/>
      <c r="B62" s="28">
        <v>44235</v>
      </c>
      <c r="C62" s="30">
        <v>-5.7118099999999995E-3</v>
      </c>
      <c r="D62" s="30">
        <v>-5.7980920000000003E-3</v>
      </c>
      <c r="E62" s="30">
        <v>-5.9108819999999992E-3</v>
      </c>
      <c r="F62" s="30">
        <v>-5.9149619999999993E-3</v>
      </c>
      <c r="G62" s="30">
        <v>-4.6307040000000002E-3</v>
      </c>
      <c r="H62" s="31">
        <f t="shared" si="5"/>
        <v>1.0014289725096217</v>
      </c>
      <c r="I62" s="31">
        <f t="shared" si="0"/>
        <v>1.0029032522976229</v>
      </c>
      <c r="J62" s="31">
        <f t="shared" si="1"/>
        <v>1.0059283857335157</v>
      </c>
      <c r="K62" s="31">
        <f t="shared" si="2"/>
        <v>1.0119001742961702</v>
      </c>
      <c r="L62" s="31">
        <f t="shared" si="6"/>
        <v>1.0234236434853585</v>
      </c>
      <c r="M62" s="30">
        <f t="shared" si="7"/>
        <v>3.5640000000977363E-6</v>
      </c>
      <c r="N62" s="30">
        <f t="shared" si="9"/>
        <v>2.666800000001072E-5</v>
      </c>
      <c r="O62" s="30">
        <f t="shared" si="10"/>
        <v>9.9608000000000379E-5</v>
      </c>
      <c r="P62" s="30">
        <f t="shared" si="11"/>
        <v>2.113279999999489E-4</v>
      </c>
      <c r="Q62" s="30">
        <f t="shared" si="12"/>
        <v>-5.3843999999991896E-4</v>
      </c>
      <c r="R62" s="30">
        <f t="shared" si="8"/>
        <v>-5.6955286267148519E-3</v>
      </c>
      <c r="S62" s="30">
        <f t="shared" si="13"/>
        <v>-5.7813155041289699E-3</v>
      </c>
      <c r="T62" s="30">
        <f t="shared" si="14"/>
        <v>-5.8934471057726645E-3</v>
      </c>
      <c r="U62" s="30">
        <f t="shared" si="15"/>
        <v>-5.8975030522343541E-3</v>
      </c>
      <c r="V62" s="30">
        <f t="shared" si="16"/>
        <v>-4.6199988207789033E-3</v>
      </c>
    </row>
    <row r="63" spans="1:22" s="29" customFormat="1" ht="20" customHeight="1" x14ac:dyDescent="0.35">
      <c r="A63" s="131"/>
      <c r="B63" s="28">
        <v>44242</v>
      </c>
      <c r="C63" s="30">
        <v>-5.4784540000000007E-3</v>
      </c>
      <c r="D63" s="30">
        <v>-5.5799279999999996E-3</v>
      </c>
      <c r="E63" s="30">
        <v>-5.6938619999999992E-3</v>
      </c>
      <c r="F63" s="30">
        <v>-5.6184060000000003E-3</v>
      </c>
      <c r="G63" s="30">
        <v>-3.8790259999999998E-3</v>
      </c>
      <c r="H63" s="31">
        <f t="shared" si="5"/>
        <v>1.0013705518489127</v>
      </c>
      <c r="I63" s="31">
        <f t="shared" si="0"/>
        <v>1.0027938595715531</v>
      </c>
      <c r="J63" s="31">
        <f t="shared" si="1"/>
        <v>1.0057101028419773</v>
      </c>
      <c r="K63" s="31">
        <f t="shared" si="2"/>
        <v>1.011300182108865</v>
      </c>
      <c r="L63" s="31">
        <f t="shared" si="6"/>
        <v>1.0195844374339582</v>
      </c>
      <c r="M63" s="30">
        <f t="shared" si="7"/>
        <v>-5.8338999999873201E-5</v>
      </c>
      <c r="N63" s="30">
        <f t="shared" si="9"/>
        <v>-1.0908199999985676E-4</v>
      </c>
      <c r="O63" s="30">
        <f t="shared" si="10"/>
        <v>-2.1701999999987451E-4</v>
      </c>
      <c r="P63" s="30">
        <f t="shared" si="11"/>
        <v>-5.9311200000001152E-4</v>
      </c>
      <c r="Q63" s="30">
        <f t="shared" si="12"/>
        <v>-3.7583900000000229E-3</v>
      </c>
      <c r="R63" s="30">
        <f t="shared" si="8"/>
        <v>-5.463474637950716E-3</v>
      </c>
      <c r="S63" s="30">
        <f t="shared" si="13"/>
        <v>-5.5643891171408555E-3</v>
      </c>
      <c r="T63" s="30">
        <f t="shared" si="14"/>
        <v>-5.6776826899136434E-3</v>
      </c>
      <c r="U63" s="30">
        <f t="shared" si="15"/>
        <v>-5.6026522744268004E-3</v>
      </c>
      <c r="V63" s="30">
        <f t="shared" si="16"/>
        <v>-3.8715122970683913E-3</v>
      </c>
    </row>
    <row r="64" spans="1:22" s="29" customFormat="1" ht="20" customHeight="1" x14ac:dyDescent="0.35">
      <c r="A64" s="131"/>
      <c r="B64" s="28">
        <v>44249</v>
      </c>
      <c r="C64" s="30">
        <v>-5.484114E-3</v>
      </c>
      <c r="D64" s="30">
        <v>-5.4969299999999997E-3</v>
      </c>
      <c r="E64" s="30">
        <v>-5.4839779999999996E-3</v>
      </c>
      <c r="F64" s="30">
        <v>-5.2716239999999999E-3</v>
      </c>
      <c r="G64" s="30">
        <v>-3.315798E-3</v>
      </c>
      <c r="H64" s="31">
        <f t="shared" si="5"/>
        <v>1.0013719687892459</v>
      </c>
      <c r="I64" s="31">
        <f t="shared" si="0"/>
        <v>1.0027522454926519</v>
      </c>
      <c r="J64" s="31">
        <f t="shared" si="1"/>
        <v>1.005499042532618</v>
      </c>
      <c r="K64" s="31">
        <f t="shared" si="2"/>
        <v>1.0105990238865181</v>
      </c>
      <c r="L64" s="31">
        <f t="shared" si="6"/>
        <v>1.0167171841046487</v>
      </c>
      <c r="M64" s="30">
        <f t="shared" si="7"/>
        <v>1.4149999999242251E-6</v>
      </c>
      <c r="N64" s="30">
        <f t="shared" si="9"/>
        <v>-4.1499000000208794E-5</v>
      </c>
      <c r="O64" s="30">
        <f t="shared" si="10"/>
        <v>-2.0988400000009741E-4</v>
      </c>
      <c r="P64" s="30">
        <f t="shared" si="11"/>
        <v>-6.9356399999994484E-4</v>
      </c>
      <c r="Q64" s="30">
        <f t="shared" si="12"/>
        <v>-2.8161399999999514E-3</v>
      </c>
      <c r="R64" s="30">
        <f t="shared" si="8"/>
        <v>-5.4691036987540853E-3</v>
      </c>
      <c r="S64" s="30">
        <f t="shared" si="13"/>
        <v>-5.4818495250456012E-3</v>
      </c>
      <c r="T64" s="30">
        <f t="shared" si="14"/>
        <v>-5.4689684425429652E-3</v>
      </c>
      <c r="U64" s="30">
        <f t="shared" si="15"/>
        <v>-5.2577533744790905E-3</v>
      </c>
      <c r="V64" s="30">
        <f t="shared" si="16"/>
        <v>-3.3103068127108282E-3</v>
      </c>
    </row>
    <row r="65" spans="1:22" s="29" customFormat="1" ht="20" customHeight="1" x14ac:dyDescent="0.35">
      <c r="A65" s="131"/>
      <c r="B65" s="28">
        <v>44256</v>
      </c>
      <c r="C65" s="30">
        <v>-5.5746400000000005E-3</v>
      </c>
      <c r="D65" s="30">
        <v>-5.5818199999999995E-3</v>
      </c>
      <c r="E65" s="30">
        <v>-5.5770700000000008E-3</v>
      </c>
      <c r="F65" s="30">
        <v>-5.4218520000000004E-3</v>
      </c>
      <c r="G65" s="30">
        <v>-3.6360340000000002E-3</v>
      </c>
      <c r="H65" s="31">
        <f t="shared" si="5"/>
        <v>1.0013946315954032</v>
      </c>
      <c r="I65" s="31">
        <f t="shared" si="0"/>
        <v>1.0027948082149929</v>
      </c>
      <c r="J65" s="31">
        <f t="shared" si="1"/>
        <v>1.0055926508065085</v>
      </c>
      <c r="K65" s="31">
        <f t="shared" si="2"/>
        <v>1.0109027100467189</v>
      </c>
      <c r="L65" s="31">
        <f t="shared" si="6"/>
        <v>1.0183464353396532</v>
      </c>
      <c r="M65" s="30">
        <f t="shared" si="7"/>
        <v>2.2631499999965412E-5</v>
      </c>
      <c r="N65" s="30">
        <f t="shared" si="9"/>
        <v>4.2445000000177807E-5</v>
      </c>
      <c r="O65" s="30">
        <f t="shared" si="10"/>
        <v>9.3091999999960395E-5</v>
      </c>
      <c r="P65" s="30">
        <f t="shared" si="11"/>
        <v>3.004560000001326E-4</v>
      </c>
      <c r="Q65" s="30">
        <f t="shared" si="12"/>
        <v>1.6011799999999916E-3</v>
      </c>
      <c r="R65" s="30">
        <f t="shared" si="8"/>
        <v>-5.5591305277268299E-3</v>
      </c>
      <c r="S65" s="30">
        <f t="shared" si="13"/>
        <v>-5.5662705875367813E-3</v>
      </c>
      <c r="T65" s="30">
        <f t="shared" si="14"/>
        <v>-5.5615470161035629E-3</v>
      </c>
      <c r="U65" s="30">
        <f t="shared" si="15"/>
        <v>-5.4071802883708386E-3</v>
      </c>
      <c r="V65" s="30">
        <f t="shared" si="16"/>
        <v>-3.6294316329431586E-3</v>
      </c>
    </row>
    <row r="66" spans="1:22" s="29" customFormat="1" ht="20" customHeight="1" x14ac:dyDescent="0.35">
      <c r="A66" s="131"/>
      <c r="B66" s="28">
        <v>44263</v>
      </c>
      <c r="C66" s="30">
        <v>-5.6508179999999993E-3</v>
      </c>
      <c r="D66" s="30">
        <v>-5.6768240000000005E-3</v>
      </c>
      <c r="E66" s="30">
        <v>-5.6895440000000012E-3</v>
      </c>
      <c r="F66" s="30">
        <v>-5.5307919999999997E-3</v>
      </c>
      <c r="G66" s="30">
        <v>-3.7426059999999999E-3</v>
      </c>
      <c r="H66" s="31">
        <f t="shared" si="5"/>
        <v>1.0014137028370653</v>
      </c>
      <c r="I66" s="31">
        <f t="shared" si="0"/>
        <v>1.0028424441053638</v>
      </c>
      <c r="J66" s="31">
        <f t="shared" si="1"/>
        <v>1.0057057601951289</v>
      </c>
      <c r="K66" s="31">
        <f t="shared" si="2"/>
        <v>1.0111229895255589</v>
      </c>
      <c r="L66" s="31">
        <f t="shared" si="6"/>
        <v>1.0188892160214023</v>
      </c>
      <c r="M66" s="30">
        <f t="shared" si="7"/>
        <v>1.9044500000082728E-5</v>
      </c>
      <c r="N66" s="30">
        <f t="shared" si="9"/>
        <v>4.7502000000002616E-5</v>
      </c>
      <c r="O66" s="30">
        <f t="shared" si="10"/>
        <v>1.124740000000513E-4</v>
      </c>
      <c r="P66" s="30">
        <f t="shared" si="11"/>
        <v>2.1787999999998519E-4</v>
      </c>
      <c r="Q66" s="30">
        <f t="shared" si="12"/>
        <v>5.3286000000012036E-4</v>
      </c>
      <c r="R66" s="30">
        <f t="shared" si="8"/>
        <v>-5.6348821589409237E-3</v>
      </c>
      <c r="S66" s="30">
        <f t="shared" si="13"/>
        <v>-5.6607412819478231E-3</v>
      </c>
      <c r="T66" s="30">
        <f t="shared" si="14"/>
        <v>-5.673389196877876E-3</v>
      </c>
      <c r="U66" s="30">
        <f t="shared" si="15"/>
        <v>-5.5155253284887573E-3</v>
      </c>
      <c r="V66" s="30">
        <f t="shared" si="16"/>
        <v>-3.7356111791714275E-3</v>
      </c>
    </row>
    <row r="67" spans="1:22" s="29" customFormat="1" ht="20" customHeight="1" x14ac:dyDescent="0.35">
      <c r="A67" s="131"/>
      <c r="B67" s="28">
        <v>44270</v>
      </c>
      <c r="C67" s="30">
        <v>-5.7404560000000006E-3</v>
      </c>
      <c r="D67" s="30">
        <v>-5.7779939999999998E-3</v>
      </c>
      <c r="E67" s="30">
        <v>-5.8089400000000003E-3</v>
      </c>
      <c r="F67" s="30">
        <v>-5.669089999999999E-3</v>
      </c>
      <c r="G67" s="30">
        <v>-3.8375100000000001E-3</v>
      </c>
      <c r="H67" s="31">
        <f t="shared" si="5"/>
        <v>1.0014361442688886</v>
      </c>
      <c r="I67" s="31">
        <f t="shared" si="0"/>
        <v>1.0028931741734783</v>
      </c>
      <c r="J67" s="31">
        <f t="shared" si="1"/>
        <v>1.0058258446087298</v>
      </c>
      <c r="K67" s="31">
        <f t="shared" si="2"/>
        <v>1.0114027007816937</v>
      </c>
      <c r="L67" s="31">
        <f t="shared" si="6"/>
        <v>1.0193728140615854</v>
      </c>
      <c r="M67" s="30">
        <f t="shared" si="7"/>
        <v>2.2409499999855682E-5</v>
      </c>
      <c r="N67" s="30">
        <f t="shared" si="9"/>
        <v>5.0584999999968867E-5</v>
      </c>
      <c r="O67" s="30">
        <f t="shared" si="10"/>
        <v>1.1939599999999459E-4</v>
      </c>
      <c r="P67" s="30">
        <f t="shared" si="11"/>
        <v>2.7659599999991673E-4</v>
      </c>
      <c r="Q67" s="30">
        <f t="shared" si="12"/>
        <v>4.7451999999999905E-4</v>
      </c>
      <c r="R67" s="30">
        <f t="shared" si="8"/>
        <v>-5.7240110646458175E-3</v>
      </c>
      <c r="S67" s="30">
        <f t="shared" si="13"/>
        <v>-5.761333496209442E-3</v>
      </c>
      <c r="T67" s="30">
        <f t="shared" si="14"/>
        <v>-5.7921007299192029E-3</v>
      </c>
      <c r="U67" s="30">
        <f t="shared" si="15"/>
        <v>-5.6530510323827832E-3</v>
      </c>
      <c r="V67" s="30">
        <f t="shared" si="16"/>
        <v>-3.8301561683082852E-3</v>
      </c>
    </row>
    <row r="68" spans="1:22" s="29" customFormat="1" ht="20" customHeight="1" x14ac:dyDescent="0.35">
      <c r="A68" s="131"/>
      <c r="B68" s="28">
        <v>44277</v>
      </c>
      <c r="C68" s="30">
        <v>-5.8446140000000006E-3</v>
      </c>
      <c r="D68" s="30">
        <v>-5.8940260000000001E-3</v>
      </c>
      <c r="E68" s="30">
        <v>-5.9590339999999985E-3</v>
      </c>
      <c r="F68" s="30">
        <v>-5.9022400000000004E-3</v>
      </c>
      <c r="G68" s="30">
        <v>-4.2324559999999999E-3</v>
      </c>
      <c r="H68" s="31">
        <f t="shared" si="5"/>
        <v>1.001462221504885</v>
      </c>
      <c r="I68" s="31">
        <f t="shared" si="0"/>
        <v>1.0029513597117008</v>
      </c>
      <c r="J68" s="31">
        <f t="shared" si="1"/>
        <v>1.0059768243633447</v>
      </c>
      <c r="K68" s="31">
        <f t="shared" si="2"/>
        <v>1.0118744278356833</v>
      </c>
      <c r="L68" s="31">
        <f t="shared" si="6"/>
        <v>1.0213877889996343</v>
      </c>
      <c r="M68" s="30">
        <f t="shared" si="7"/>
        <v>2.6039500000099669E-5</v>
      </c>
      <c r="N68" s="30">
        <f t="shared" si="9"/>
        <v>5.8015999999868718E-5</v>
      </c>
      <c r="O68" s="30">
        <f t="shared" si="10"/>
        <v>1.500939999999684E-4</v>
      </c>
      <c r="P68" s="30">
        <f t="shared" si="11"/>
        <v>4.6629999999989126E-4</v>
      </c>
      <c r="Q68" s="30">
        <f t="shared" si="12"/>
        <v>1.9747300000001705E-3</v>
      </c>
      <c r="R68" s="30">
        <f t="shared" si="8"/>
        <v>-5.8275674698937685E-3</v>
      </c>
      <c r="S68" s="30">
        <f t="shared" si="13"/>
        <v>-5.8766903044911167E-3</v>
      </c>
      <c r="T68" s="30">
        <f t="shared" si="14"/>
        <v>-5.9413141720509044E-3</v>
      </c>
      <c r="U68" s="30">
        <f t="shared" si="15"/>
        <v>-5.8848559998204708E-3</v>
      </c>
      <c r="V68" s="30">
        <f t="shared" si="16"/>
        <v>-4.2235117812242651E-3</v>
      </c>
    </row>
    <row r="69" spans="1:22" s="29" customFormat="1" ht="20" customHeight="1" x14ac:dyDescent="0.35">
      <c r="A69" s="131"/>
      <c r="B69" s="28">
        <v>44284</v>
      </c>
      <c r="C69" s="30">
        <v>-5.9847399999999997E-3</v>
      </c>
      <c r="D69" s="30">
        <v>-5.9531224999999997E-3</v>
      </c>
      <c r="E69" s="30">
        <v>-5.9014600000000007E-3</v>
      </c>
      <c r="F69" s="30">
        <v>-5.7244825000000001E-3</v>
      </c>
      <c r="G69" s="30">
        <v>-3.9673850000000004E-3</v>
      </c>
      <c r="H69" s="31">
        <f t="shared" ref="H69:H132" si="17">EXP(-0.25*C69)</f>
        <v>1.001497304843205</v>
      </c>
      <c r="I69" s="31">
        <f t="shared" ref="I69:I132" si="18">EXP(-0.5*D69)</f>
        <v>1.0029809956070577</v>
      </c>
      <c r="J69" s="31">
        <f t="shared" ref="J69:J132" si="19">EXP(-1*E69)</f>
        <v>1.0059189079209154</v>
      </c>
      <c r="K69" s="31">
        <f t="shared" ref="K69:K132" si="20">EXP(-2*F69)</f>
        <v>1.0115147552367616</v>
      </c>
      <c r="L69" s="31">
        <f t="shared" ref="L69:L132" si="21">EXP(-5*G69)</f>
        <v>1.0200349842578331</v>
      </c>
      <c r="M69" s="30">
        <f t="shared" si="7"/>
        <v>3.5031500000061405E-5</v>
      </c>
      <c r="N69" s="30">
        <f t="shared" si="9"/>
        <v>2.9548249999965339E-5</v>
      </c>
      <c r="O69" s="30">
        <f t="shared" si="10"/>
        <v>-5.7573999999957067E-5</v>
      </c>
      <c r="P69" s="30">
        <f t="shared" si="11"/>
        <v>-3.5551499999997191E-4</v>
      </c>
      <c r="Q69" s="30">
        <f t="shared" si="12"/>
        <v>-1.3253550000000792E-3</v>
      </c>
      <c r="R69" s="30">
        <f t="shared" si="8"/>
        <v>-5.966867116195429E-3</v>
      </c>
      <c r="S69" s="30">
        <f t="shared" si="13"/>
        <v>-5.9354377767605326E-3</v>
      </c>
      <c r="T69" s="30">
        <f t="shared" si="14"/>
        <v>-5.8840805897056869E-3</v>
      </c>
      <c r="U69" s="30">
        <f t="shared" si="15"/>
        <v>-5.7081288702898192E-3</v>
      </c>
      <c r="V69" s="30">
        <f t="shared" si="16"/>
        <v>-3.9595253256844432E-3</v>
      </c>
    </row>
    <row r="70" spans="1:22" s="29" customFormat="1" ht="20" customHeight="1" x14ac:dyDescent="0.35">
      <c r="A70" s="131"/>
      <c r="B70" s="28">
        <v>44291</v>
      </c>
      <c r="C70" s="30">
        <v>-5.9883050000000002E-3</v>
      </c>
      <c r="D70" s="30">
        <v>-5.9832950000000005E-3</v>
      </c>
      <c r="E70" s="30">
        <v>-5.9506650000000008E-3</v>
      </c>
      <c r="F70" s="30">
        <v>-5.7411550000000004E-3</v>
      </c>
      <c r="G70" s="30">
        <v>-3.8657424999999999E-3</v>
      </c>
      <c r="H70" s="31">
        <f t="shared" si="17"/>
        <v>1.0014981974280757</v>
      </c>
      <c r="I70" s="31">
        <f t="shared" si="18"/>
        <v>1.0029961269432399</v>
      </c>
      <c r="J70" s="31">
        <f t="shared" si="19"/>
        <v>1.0059684053785309</v>
      </c>
      <c r="K70" s="31">
        <f t="shared" si="20"/>
        <v>1.0115484847586274</v>
      </c>
      <c r="L70" s="31">
        <f t="shared" si="21"/>
        <v>1.0195167214333736</v>
      </c>
      <c r="M70" s="30">
        <f t="shared" ref="M70:M133" si="22">+LN(H70/H69)</f>
        <v>8.9124999987590125E-7</v>
      </c>
      <c r="N70" s="30">
        <f t="shared" si="9"/>
        <v>1.508624999994743E-5</v>
      </c>
      <c r="O70" s="30">
        <f t="shared" si="10"/>
        <v>4.920500000003786E-5</v>
      </c>
      <c r="P70" s="30">
        <f t="shared" si="11"/>
        <v>3.3345000000000454E-5</v>
      </c>
      <c r="Q70" s="30">
        <f t="shared" si="12"/>
        <v>-5.0821249999995536E-4</v>
      </c>
      <c r="R70" s="30">
        <f t="shared" ref="R70:R133" si="23">+EXP(C70)-1</f>
        <v>-5.9704108379974308E-3</v>
      </c>
      <c r="S70" s="30">
        <f t="shared" si="13"/>
        <v>-5.9654307372806192E-3</v>
      </c>
      <c r="T70" s="30">
        <f t="shared" si="14"/>
        <v>-5.9329948600971294E-3</v>
      </c>
      <c r="U70" s="30">
        <f t="shared" si="15"/>
        <v>-5.7247060633192071E-3</v>
      </c>
      <c r="V70" s="30">
        <f t="shared" si="16"/>
        <v>-3.8582801364174246E-3</v>
      </c>
    </row>
    <row r="71" spans="1:22" s="29" customFormat="1" ht="20" customHeight="1" x14ac:dyDescent="0.35">
      <c r="A71" s="131"/>
      <c r="B71" s="28">
        <v>44298</v>
      </c>
      <c r="C71" s="30">
        <v>-5.9710839999999998E-3</v>
      </c>
      <c r="D71" s="30">
        <v>-5.9593820000000009E-3</v>
      </c>
      <c r="E71" s="30">
        <v>-5.8969000000000001E-3</v>
      </c>
      <c r="F71" s="30">
        <v>-5.5997820000000002E-3</v>
      </c>
      <c r="G71" s="30">
        <v>-3.5380920000000005E-3</v>
      </c>
      <c r="H71" s="31">
        <f t="shared" si="17"/>
        <v>1.0014938857372426</v>
      </c>
      <c r="I71" s="31">
        <f t="shared" si="18"/>
        <v>1.002984134691741</v>
      </c>
      <c r="J71" s="31">
        <f t="shared" si="19"/>
        <v>1.0059143209411536</v>
      </c>
      <c r="K71" s="31">
        <f t="shared" si="20"/>
        <v>1.011262513901219</v>
      </c>
      <c r="L71" s="31">
        <f t="shared" si="21"/>
        <v>1.0178478629946983</v>
      </c>
      <c r="M71" s="30">
        <f t="shared" si="22"/>
        <v>-4.3052500000472195E-6</v>
      </c>
      <c r="N71" s="30">
        <f t="shared" si="9"/>
        <v>-1.1956500000025939E-5</v>
      </c>
      <c r="O71" s="30">
        <f t="shared" si="10"/>
        <v>-5.3765000000045263E-5</v>
      </c>
      <c r="P71" s="30">
        <f t="shared" si="11"/>
        <v>-2.8274599999995257E-4</v>
      </c>
      <c r="Q71" s="30">
        <f t="shared" si="12"/>
        <v>-1.6382524999999277E-3</v>
      </c>
      <c r="R71" s="30">
        <f t="shared" si="23"/>
        <v>-5.9532925070454601E-3</v>
      </c>
      <c r="S71" s="30">
        <f t="shared" si="13"/>
        <v>-5.9416601044133266E-3</v>
      </c>
      <c r="T71" s="30">
        <f t="shared" si="14"/>
        <v>-5.8795474107775636E-3</v>
      </c>
      <c r="U71" s="30">
        <f t="shared" si="15"/>
        <v>-5.5841324457666097E-3</v>
      </c>
      <c r="V71" s="30">
        <f t="shared" si="16"/>
        <v>-3.5318403276703991E-3</v>
      </c>
    </row>
    <row r="72" spans="1:22" s="29" customFormat="1" ht="20" customHeight="1" x14ac:dyDescent="0.35">
      <c r="A72" s="131"/>
      <c r="B72" s="28">
        <v>44305</v>
      </c>
      <c r="C72" s="30">
        <v>-5.9641440000000002E-3</v>
      </c>
      <c r="D72" s="30">
        <v>-5.9579819999999997E-3</v>
      </c>
      <c r="E72" s="30">
        <v>-5.8931940000000009E-3</v>
      </c>
      <c r="F72" s="30">
        <v>-5.5608439999999988E-3</v>
      </c>
      <c r="G72" s="30">
        <v>-3.3738040000000002E-3</v>
      </c>
      <c r="H72" s="31">
        <f t="shared" si="17"/>
        <v>1.0014921481468584</v>
      </c>
      <c r="I72" s="31">
        <f t="shared" si="18"/>
        <v>1.0029834326030924</v>
      </c>
      <c r="J72" s="31">
        <f t="shared" si="19"/>
        <v>1.005910593029588</v>
      </c>
      <c r="K72" s="31">
        <f t="shared" si="20"/>
        <v>1.0111837638880941</v>
      </c>
      <c r="L72" s="31">
        <f t="shared" si="21"/>
        <v>1.0170121053554924</v>
      </c>
      <c r="M72" s="30">
        <f t="shared" si="22"/>
        <v>-1.7349999998739591E-6</v>
      </c>
      <c r="N72" s="30">
        <f t="shared" si="9"/>
        <v>-7.0000000004936145E-7</v>
      </c>
      <c r="O72" s="30">
        <f t="shared" si="10"/>
        <v>-3.706000000028236E-6</v>
      </c>
      <c r="P72" s="30">
        <f t="shared" si="11"/>
        <v>-7.7876000000171898E-5</v>
      </c>
      <c r="Q72" s="30">
        <f t="shared" si="12"/>
        <v>-8.2144000000005811E-4</v>
      </c>
      <c r="R72" s="30">
        <f t="shared" si="23"/>
        <v>-5.9463937989570059E-3</v>
      </c>
      <c r="S72" s="30">
        <f t="shared" si="13"/>
        <v>-5.9402684217633173E-3</v>
      </c>
      <c r="T72" s="30">
        <f t="shared" si="14"/>
        <v>-5.8758631935533767E-3</v>
      </c>
      <c r="U72" s="30">
        <f t="shared" si="15"/>
        <v>-5.5454111268553596E-3</v>
      </c>
      <c r="V72" s="30">
        <f t="shared" si="16"/>
        <v>-3.3681191183073667E-3</v>
      </c>
    </row>
    <row r="73" spans="1:22" s="29" customFormat="1" ht="20" customHeight="1" x14ac:dyDescent="0.35">
      <c r="A73" s="131"/>
      <c r="B73" s="28">
        <v>44312</v>
      </c>
      <c r="C73" s="30">
        <v>-5.8714659999999997E-3</v>
      </c>
      <c r="D73" s="30">
        <v>-5.8853299999999994E-3</v>
      </c>
      <c r="E73" s="30">
        <v>-5.8365840000000006E-3</v>
      </c>
      <c r="F73" s="30">
        <v>-5.4774300000000001E-3</v>
      </c>
      <c r="G73" s="30">
        <v>-3.1122559999999999E-3</v>
      </c>
      <c r="H73" s="31">
        <f t="shared" si="17"/>
        <v>1.0014689443433431</v>
      </c>
      <c r="I73" s="31">
        <f t="shared" si="18"/>
        <v>1.0029469988886692</v>
      </c>
      <c r="J73" s="31">
        <f t="shared" si="19"/>
        <v>1.0058536500427031</v>
      </c>
      <c r="K73" s="31">
        <f t="shared" si="20"/>
        <v>1.0110150841937715</v>
      </c>
      <c r="L73" s="31">
        <f t="shared" si="21"/>
        <v>1.0156829872047397</v>
      </c>
      <c r="M73" s="30">
        <f t="shared" si="22"/>
        <v>-2.316950000008499E-5</v>
      </c>
      <c r="N73" s="30">
        <f t="shared" si="9"/>
        <v>-3.6326000000061228E-5</v>
      </c>
      <c r="O73" s="30">
        <f t="shared" si="10"/>
        <v>-5.6609999999880042E-5</v>
      </c>
      <c r="P73" s="30">
        <f t="shared" si="11"/>
        <v>-1.6682799999984561E-4</v>
      </c>
      <c r="Q73" s="30">
        <f t="shared" si="12"/>
        <v>-1.3077400000000036E-3</v>
      </c>
      <c r="R73" s="30">
        <f t="shared" si="23"/>
        <v>-5.8542626296411715E-3</v>
      </c>
      <c r="S73" s="30">
        <f t="shared" si="13"/>
        <v>-5.8680453706019264E-3</v>
      </c>
      <c r="T73" s="30">
        <f t="shared" si="14"/>
        <v>-5.8195842332078307E-3</v>
      </c>
      <c r="U73" s="30">
        <f t="shared" si="15"/>
        <v>-5.4624562320273462E-3</v>
      </c>
      <c r="V73" s="30">
        <f t="shared" si="16"/>
        <v>-3.1074179516783484E-3</v>
      </c>
    </row>
    <row r="74" spans="1:22" s="29" customFormat="1" ht="20" customHeight="1" x14ac:dyDescent="0.35">
      <c r="A74" s="131"/>
      <c r="B74" s="28">
        <v>44319</v>
      </c>
      <c r="C74" s="30">
        <v>-5.9371200000000006E-3</v>
      </c>
      <c r="D74" s="30">
        <v>-5.9588320000000007E-3</v>
      </c>
      <c r="E74" s="30">
        <v>-5.9226919999999994E-3</v>
      </c>
      <c r="F74" s="30">
        <v>-5.5732380000000003E-3</v>
      </c>
      <c r="G74" s="30">
        <v>-3.1257659999999999E-3</v>
      </c>
      <c r="H74" s="31">
        <f t="shared" si="17"/>
        <v>1.0014853820887613</v>
      </c>
      <c r="I74" s="31">
        <f t="shared" si="18"/>
        <v>1.0029838588711419</v>
      </c>
      <c r="J74" s="31">
        <f t="shared" si="19"/>
        <v>1.0059402658179031</v>
      </c>
      <c r="K74" s="31">
        <f t="shared" si="20"/>
        <v>1.0112088294218944</v>
      </c>
      <c r="L74" s="31">
        <f t="shared" si="21"/>
        <v>1.0157515989078596</v>
      </c>
      <c r="M74" s="30">
        <f t="shared" si="22"/>
        <v>1.6413500000055526E-5</v>
      </c>
      <c r="N74" s="30">
        <f t="shared" si="9"/>
        <v>3.6751000000078477E-5</v>
      </c>
      <c r="O74" s="30">
        <f t="shared" si="10"/>
        <v>8.610800000000581E-5</v>
      </c>
      <c r="P74" s="30">
        <f t="shared" si="11"/>
        <v>1.9161599999993167E-4</v>
      </c>
      <c r="Q74" s="30">
        <f t="shared" si="12"/>
        <v>6.7550000000129158E-5</v>
      </c>
      <c r="R74" s="30">
        <f t="shared" si="23"/>
        <v>-5.9195301313228477E-3</v>
      </c>
      <c r="S74" s="30">
        <f t="shared" si="13"/>
        <v>-5.9411133721760656E-3</v>
      </c>
      <c r="T74" s="30">
        <f t="shared" si="14"/>
        <v>-5.9051874348355904E-3</v>
      </c>
      <c r="U74" s="30">
        <f t="shared" si="15"/>
        <v>-5.557736320650486E-3</v>
      </c>
      <c r="V74" s="30">
        <f t="shared" si="16"/>
        <v>-3.1208858794857797E-3</v>
      </c>
    </row>
    <row r="75" spans="1:22" s="29" customFormat="1" ht="20" customHeight="1" x14ac:dyDescent="0.35">
      <c r="A75" s="131"/>
      <c r="B75" s="28">
        <v>44326</v>
      </c>
      <c r="C75" s="30">
        <v>-6.0046700000000001E-3</v>
      </c>
      <c r="D75" s="30">
        <v>-5.9681479999999995E-3</v>
      </c>
      <c r="E75" s="30">
        <v>-5.8241160000000007E-3</v>
      </c>
      <c r="F75" s="30">
        <v>-5.2890839999999995E-3</v>
      </c>
      <c r="G75" s="30">
        <v>-2.4730439999999998E-3</v>
      </c>
      <c r="H75" s="31">
        <f t="shared" si="17"/>
        <v>1.0015022948159575</v>
      </c>
      <c r="I75" s="31">
        <f t="shared" si="18"/>
        <v>1.0029885307808375</v>
      </c>
      <c r="J75" s="31">
        <f t="shared" si="19"/>
        <v>1.0058411091375745</v>
      </c>
      <c r="K75" s="31">
        <f t="shared" si="20"/>
        <v>1.0106343146206049</v>
      </c>
      <c r="L75" s="31">
        <f t="shared" si="21"/>
        <v>1.0124419854135946</v>
      </c>
      <c r="M75" s="30">
        <f t="shared" si="22"/>
        <v>1.6887499999923297E-5</v>
      </c>
      <c r="N75" s="30">
        <f t="shared" si="9"/>
        <v>4.658000000091677E-6</v>
      </c>
      <c r="O75" s="30">
        <f t="shared" si="10"/>
        <v>-9.8576000000011207E-5</v>
      </c>
      <c r="P75" s="30">
        <f t="shared" si="11"/>
        <v>-5.6830799999993268E-4</v>
      </c>
      <c r="Q75" s="30">
        <f t="shared" si="12"/>
        <v>-3.2636099999999164E-3</v>
      </c>
      <c r="R75" s="30">
        <f t="shared" si="23"/>
        <v>-5.9866779991176733E-3</v>
      </c>
      <c r="S75" s="30">
        <f t="shared" si="13"/>
        <v>-5.9503739816278989E-3</v>
      </c>
      <c r="T75" s="30">
        <f t="shared" si="14"/>
        <v>-5.8071887145105805E-3</v>
      </c>
      <c r="U75" s="30">
        <f t="shared" si="15"/>
        <v>-5.2751214224816545E-3</v>
      </c>
      <c r="V75" s="30">
        <f t="shared" si="16"/>
        <v>-2.4699885459634752E-3</v>
      </c>
    </row>
    <row r="76" spans="1:22" s="29" customFormat="1" ht="20" customHeight="1" x14ac:dyDescent="0.35">
      <c r="A76" s="131"/>
      <c r="B76" s="28">
        <v>44333</v>
      </c>
      <c r="C76" s="30">
        <v>-6.0078680000000004E-3</v>
      </c>
      <c r="D76" s="30">
        <v>-5.9398439999999988E-3</v>
      </c>
      <c r="E76" s="30">
        <v>-5.7580520000000013E-3</v>
      </c>
      <c r="F76" s="30">
        <v>-5.1843780000000008E-3</v>
      </c>
      <c r="G76" s="30">
        <v>-2.1603539999999997E-3</v>
      </c>
      <c r="H76" s="31">
        <f t="shared" si="17"/>
        <v>1.0015030955173625</v>
      </c>
      <c r="I76" s="31">
        <f t="shared" si="18"/>
        <v>1.0029743365875881</v>
      </c>
      <c r="J76" s="31">
        <f t="shared" si="19"/>
        <v>1.0057746614454648</v>
      </c>
      <c r="K76" s="31">
        <f t="shared" si="20"/>
        <v>1.010422697825833</v>
      </c>
      <c r="L76" s="31">
        <f t="shared" si="21"/>
        <v>1.0108603197412795</v>
      </c>
      <c r="M76" s="30">
        <f t="shared" si="22"/>
        <v>7.9950000012565515E-7</v>
      </c>
      <c r="N76" s="30">
        <f t="shared" si="9"/>
        <v>-1.4152000000171944E-5</v>
      </c>
      <c r="O76" s="30">
        <f t="shared" si="10"/>
        <v>-6.6063999999976212E-5</v>
      </c>
      <c r="P76" s="30">
        <f t="shared" si="11"/>
        <v>-2.0941200000004886E-4</v>
      </c>
      <c r="Q76" s="30">
        <f t="shared" si="12"/>
        <v>-1.5634499999999756E-3</v>
      </c>
      <c r="R76" s="30">
        <f t="shared" si="23"/>
        <v>-5.9898568486383974E-3</v>
      </c>
      <c r="S76" s="30">
        <f t="shared" si="13"/>
        <v>-5.9222380028346455E-3</v>
      </c>
      <c r="T76" s="30">
        <f t="shared" si="14"/>
        <v>-5.7415061910245369E-3</v>
      </c>
      <c r="U76" s="30">
        <f t="shared" si="15"/>
        <v>-5.1709623063982413E-3</v>
      </c>
      <c r="V76" s="30">
        <f t="shared" si="16"/>
        <v>-2.15802211483207E-3</v>
      </c>
    </row>
    <row r="77" spans="1:22" s="29" customFormat="1" ht="20" customHeight="1" x14ac:dyDescent="0.35">
      <c r="A77" s="131"/>
      <c r="B77" s="28">
        <v>44340</v>
      </c>
      <c r="C77" s="30">
        <v>-6.0629939999999995E-3</v>
      </c>
      <c r="D77" s="30">
        <v>-5.9934160000000005E-3</v>
      </c>
      <c r="E77" s="30">
        <v>-5.8594600000000004E-3</v>
      </c>
      <c r="F77" s="30">
        <v>-5.4712980000000003E-3</v>
      </c>
      <c r="G77" s="30">
        <v>-2.8802739999999999E-3</v>
      </c>
      <c r="H77" s="31">
        <f t="shared" si="17"/>
        <v>1.0015168978273814</v>
      </c>
      <c r="I77" s="31">
        <f t="shared" si="18"/>
        <v>1.0030012026179831</v>
      </c>
      <c r="J77" s="31">
        <f t="shared" si="19"/>
        <v>1.0058766602139908</v>
      </c>
      <c r="K77" s="31">
        <f t="shared" si="20"/>
        <v>1.0110026851808098</v>
      </c>
      <c r="L77" s="31">
        <f t="shared" si="21"/>
        <v>1.0145055693324405</v>
      </c>
      <c r="M77" s="30">
        <f t="shared" si="22"/>
        <v>1.3781499999926855E-5</v>
      </c>
      <c r="N77" s="30">
        <f t="shared" si="9"/>
        <v>2.6786000000097542E-5</v>
      </c>
      <c r="O77" s="30">
        <f t="shared" si="10"/>
        <v>1.0140799999994731E-4</v>
      </c>
      <c r="P77" s="30">
        <f t="shared" si="11"/>
        <v>5.738399999999312E-4</v>
      </c>
      <c r="Q77" s="30">
        <f t="shared" si="12"/>
        <v>3.5995999999999177E-3</v>
      </c>
      <c r="R77" s="30">
        <f t="shared" si="23"/>
        <v>-6.0446511414807835E-3</v>
      </c>
      <c r="S77" s="30">
        <f t="shared" si="13"/>
        <v>-5.9754913102444407E-3</v>
      </c>
      <c r="T77" s="30">
        <f t="shared" si="14"/>
        <v>-5.8423268442679976E-3</v>
      </c>
      <c r="U77" s="30">
        <f t="shared" si="15"/>
        <v>-5.4563577091109039E-3</v>
      </c>
      <c r="V77" s="30">
        <f t="shared" si="16"/>
        <v>-2.8761299904249693E-3</v>
      </c>
    </row>
    <row r="78" spans="1:22" s="29" customFormat="1" ht="20" customHeight="1" x14ac:dyDescent="0.35">
      <c r="A78" s="131"/>
      <c r="B78" s="28">
        <v>44347</v>
      </c>
      <c r="C78" s="30">
        <v>-6.0698319999999998E-3</v>
      </c>
      <c r="D78" s="30">
        <v>-6.0479699999999989E-3</v>
      </c>
      <c r="E78" s="30">
        <v>-5.977399999999999E-3</v>
      </c>
      <c r="F78" s="30">
        <v>-5.647702000000001E-3</v>
      </c>
      <c r="G78" s="30">
        <v>-3.1303359999999996E-3</v>
      </c>
      <c r="H78" s="31">
        <f t="shared" si="17"/>
        <v>1.0015186099219815</v>
      </c>
      <c r="I78" s="31">
        <f t="shared" si="18"/>
        <v>1.0030285618549242</v>
      </c>
      <c r="J78" s="31">
        <f t="shared" si="19"/>
        <v>1.005995300303365</v>
      </c>
      <c r="K78" s="31">
        <f t="shared" si="20"/>
        <v>1.0113594379450772</v>
      </c>
      <c r="L78" s="31">
        <f t="shared" si="21"/>
        <v>1.01577480909707</v>
      </c>
      <c r="M78" s="30">
        <f t="shared" si="22"/>
        <v>1.7094999998597939E-6</v>
      </c>
      <c r="N78" s="30">
        <f t="shared" si="9"/>
        <v>2.7276999999937228E-5</v>
      </c>
      <c r="O78" s="30">
        <f t="shared" si="10"/>
        <v>1.1794000000006241E-4</v>
      </c>
      <c r="P78" s="30">
        <f t="shared" si="11"/>
        <v>3.5280799999999103E-4</v>
      </c>
      <c r="Q78" s="30">
        <f t="shared" si="12"/>
        <v>1.2503100000000153E-3</v>
      </c>
      <c r="R78" s="30">
        <f t="shared" si="23"/>
        <v>-6.0514477849186177E-3</v>
      </c>
      <c r="S78" s="30">
        <f t="shared" si="13"/>
        <v>-6.0297178441409693E-3</v>
      </c>
      <c r="T78" s="30">
        <f t="shared" si="14"/>
        <v>-5.959570886222898E-3</v>
      </c>
      <c r="U78" s="30">
        <f t="shared" si="15"/>
        <v>-5.6317837124063574E-3</v>
      </c>
      <c r="V78" s="30">
        <f t="shared" si="16"/>
        <v>-3.1254416066274215E-3</v>
      </c>
    </row>
    <row r="79" spans="1:22" s="29" customFormat="1" ht="20" customHeight="1" x14ac:dyDescent="0.35">
      <c r="A79" s="131"/>
      <c r="B79" s="28">
        <v>44354</v>
      </c>
      <c r="C79" s="30">
        <v>-6.1406080000000005E-3</v>
      </c>
      <c r="D79" s="30">
        <v>-6.1036920000000008E-3</v>
      </c>
      <c r="E79" s="30">
        <v>-6.0443199999999989E-3</v>
      </c>
      <c r="F79" s="30">
        <v>-5.813997999999999E-3</v>
      </c>
      <c r="G79" s="30">
        <v>-3.5426899999999998E-3</v>
      </c>
      <c r="H79" s="31">
        <f t="shared" si="17"/>
        <v>1.001536330949043</v>
      </c>
      <c r="I79" s="31">
        <f t="shared" si="18"/>
        <v>1.0030565076229827</v>
      </c>
      <c r="J79" s="31">
        <f t="shared" si="19"/>
        <v>1.0060626237614791</v>
      </c>
      <c r="K79" s="31">
        <f t="shared" si="20"/>
        <v>1.0116958639464593</v>
      </c>
      <c r="L79" s="31">
        <f t="shared" si="21"/>
        <v>1.0178712635860574</v>
      </c>
      <c r="M79" s="30">
        <f t="shared" si="22"/>
        <v>1.7694000000218931E-5</v>
      </c>
      <c r="N79" s="30">
        <f t="shared" si="9"/>
        <v>2.7861000000010279E-5</v>
      </c>
      <c r="O79" s="30">
        <f t="shared" si="10"/>
        <v>6.6919999999985908E-5</v>
      </c>
      <c r="P79" s="30">
        <f t="shared" si="11"/>
        <v>3.3259200000000975E-4</v>
      </c>
      <c r="Q79" s="30">
        <f t="shared" si="12"/>
        <v>2.0617700000000795E-3</v>
      </c>
      <c r="R79" s="30">
        <f t="shared" si="23"/>
        <v>-6.1217929982443353E-3</v>
      </c>
      <c r="S79" s="30">
        <f t="shared" si="13"/>
        <v>-6.0851023131222037E-3</v>
      </c>
      <c r="T79" s="30">
        <f t="shared" si="14"/>
        <v>-6.026089845989957E-3</v>
      </c>
      <c r="U79" s="30">
        <f t="shared" si="15"/>
        <v>-5.7971294207561641E-3</v>
      </c>
      <c r="V79" s="30">
        <f t="shared" si="16"/>
        <v>-3.5364220777350797E-3</v>
      </c>
    </row>
    <row r="80" spans="1:22" s="29" customFormat="1" ht="20" customHeight="1" x14ac:dyDescent="0.35">
      <c r="A80" s="131"/>
      <c r="B80" s="28">
        <v>44361</v>
      </c>
      <c r="C80" s="30">
        <v>-6.2399920000000006E-3</v>
      </c>
      <c r="D80" s="30">
        <v>-6.1612740000000013E-3</v>
      </c>
      <c r="E80" s="30">
        <v>-6.0429020000000002E-3</v>
      </c>
      <c r="F80" s="30">
        <v>-5.7553860000000004E-3</v>
      </c>
      <c r="G80" s="30">
        <v>-3.4658779999999999E-3</v>
      </c>
      <c r="H80" s="31">
        <f t="shared" si="17"/>
        <v>1.0015612154298603</v>
      </c>
      <c r="I80" s="31">
        <f t="shared" si="18"/>
        <v>1.0030853870386254</v>
      </c>
      <c r="J80" s="31">
        <f t="shared" si="19"/>
        <v>1.0060611971656901</v>
      </c>
      <c r="K80" s="31">
        <f t="shared" si="20"/>
        <v>1.0115772758613246</v>
      </c>
      <c r="L80" s="31">
        <f t="shared" si="21"/>
        <v>1.0174804150080212</v>
      </c>
      <c r="M80" s="30">
        <f t="shared" si="22"/>
        <v>2.4845999999869261E-5</v>
      </c>
      <c r="N80" s="30">
        <f t="shared" si="9"/>
        <v>2.8791000000172225E-5</v>
      </c>
      <c r="O80" s="30">
        <f t="shared" si="10"/>
        <v>-1.4180000000298484E-6</v>
      </c>
      <c r="P80" s="30">
        <f t="shared" si="11"/>
        <v>-1.1722400000000947E-4</v>
      </c>
      <c r="Q80" s="30">
        <f t="shared" si="12"/>
        <v>-3.8405999999995878E-4</v>
      </c>
      <c r="R80" s="30">
        <f t="shared" si="23"/>
        <v>-6.2205636817749266E-3</v>
      </c>
      <c r="S80" s="30">
        <f t="shared" si="13"/>
        <v>-6.1423322730371765E-3</v>
      </c>
      <c r="T80" s="30">
        <f t="shared" si="14"/>
        <v>-6.0246803899860479E-3</v>
      </c>
      <c r="U80" s="30">
        <f t="shared" si="15"/>
        <v>-5.7388554943467174E-3</v>
      </c>
      <c r="V80" s="30">
        <f t="shared" si="16"/>
        <v>-3.4598787777033735E-3</v>
      </c>
    </row>
    <row r="81" spans="1:22" s="29" customFormat="1" ht="20" customHeight="1" x14ac:dyDescent="0.35">
      <c r="A81" s="131"/>
      <c r="B81" s="28">
        <v>44368</v>
      </c>
      <c r="C81" s="30">
        <v>-6.1864039999999995E-3</v>
      </c>
      <c r="D81" s="30">
        <v>-6.0930219999999992E-3</v>
      </c>
      <c r="E81" s="30">
        <v>-5.9288500000000011E-3</v>
      </c>
      <c r="F81" s="30">
        <v>-5.5312760000000008E-3</v>
      </c>
      <c r="G81" s="30">
        <v>-3.0697319999999995E-3</v>
      </c>
      <c r="H81" s="31">
        <f t="shared" si="17"/>
        <v>1.0015477976041367</v>
      </c>
      <c r="I81" s="31">
        <f t="shared" si="18"/>
        <v>1.0030511563307891</v>
      </c>
      <c r="J81" s="31">
        <f t="shared" si="19"/>
        <v>1.0059464604171331</v>
      </c>
      <c r="K81" s="31">
        <f t="shared" si="20"/>
        <v>1.0111239682930864</v>
      </c>
      <c r="L81" s="31">
        <f t="shared" si="21"/>
        <v>1.0154670556444978</v>
      </c>
      <c r="M81" s="30">
        <f t="shared" si="22"/>
        <v>-1.3396999999991734E-5</v>
      </c>
      <c r="N81" s="30">
        <f t="shared" si="9"/>
        <v>-3.4126000000061933E-5</v>
      </c>
      <c r="O81" s="30">
        <f t="shared" si="10"/>
        <v>-1.1405200000009077E-4</v>
      </c>
      <c r="P81" s="30">
        <f t="shared" si="11"/>
        <v>-4.4821999999992832E-4</v>
      </c>
      <c r="Q81" s="30">
        <f t="shared" si="12"/>
        <v>-1.9807300000001917E-3</v>
      </c>
      <c r="R81" s="30">
        <f t="shared" si="23"/>
        <v>-6.1673076024109097E-3</v>
      </c>
      <c r="S81" s="30">
        <f t="shared" si="13"/>
        <v>-6.0744971845856366E-3</v>
      </c>
      <c r="T81" s="30">
        <f t="shared" si="14"/>
        <v>-5.9113090518428946E-3</v>
      </c>
      <c r="U81" s="30">
        <f t="shared" si="15"/>
        <v>-5.5160066588579859E-3</v>
      </c>
      <c r="V81" s="30">
        <f t="shared" si="16"/>
        <v>-3.0650251901708225E-3</v>
      </c>
    </row>
    <row r="82" spans="1:22" s="29" customFormat="1" ht="20" customHeight="1" x14ac:dyDescent="0.35">
      <c r="A82" s="131"/>
      <c r="B82" s="28">
        <v>44375</v>
      </c>
      <c r="C82" s="30">
        <v>-6.0232360000000004E-3</v>
      </c>
      <c r="D82" s="30">
        <v>-6.0187140000000005E-3</v>
      </c>
      <c r="E82" s="30">
        <v>-5.9805340000000009E-3</v>
      </c>
      <c r="F82" s="30">
        <v>-5.7096340000000016E-3</v>
      </c>
      <c r="G82" s="30">
        <v>-3.3342159999999997E-3</v>
      </c>
      <c r="H82" s="31">
        <f t="shared" si="17"/>
        <v>1.0015069432996471</v>
      </c>
      <c r="I82" s="31">
        <f t="shared" si="18"/>
        <v>1.0030138896604341</v>
      </c>
      <c r="J82" s="31">
        <f t="shared" si="19"/>
        <v>1.0059984530975765</v>
      </c>
      <c r="K82" s="31">
        <f t="shared" si="20"/>
        <v>1.0114847167291043</v>
      </c>
      <c r="L82" s="31">
        <f t="shared" si="21"/>
        <v>1.0168108179014348</v>
      </c>
      <c r="M82" s="30">
        <f t="shared" si="22"/>
        <v>-4.0791999999792502E-5</v>
      </c>
      <c r="N82" s="30">
        <f t="shared" si="9"/>
        <v>-3.7153999999897723E-5</v>
      </c>
      <c r="O82" s="30">
        <f t="shared" si="10"/>
        <v>5.1683999999989153E-5</v>
      </c>
      <c r="P82" s="30">
        <f t="shared" si="11"/>
        <v>3.567160000000943E-4</v>
      </c>
      <c r="Q82" s="30">
        <f t="shared" si="12"/>
        <v>1.3224200000000004E-3</v>
      </c>
      <c r="R82" s="30">
        <f t="shared" si="23"/>
        <v>-6.0051326791386028E-3</v>
      </c>
      <c r="S82" s="30">
        <f t="shared" si="13"/>
        <v>-6.000637824185695E-3</v>
      </c>
      <c r="T82" s="30">
        <f t="shared" si="14"/>
        <v>-5.9626862040460527E-3</v>
      </c>
      <c r="U82" s="30">
        <f t="shared" si="15"/>
        <v>-5.6933650178311312E-3</v>
      </c>
      <c r="V82" s="30">
        <f t="shared" si="16"/>
        <v>-3.328663674431076E-3</v>
      </c>
    </row>
    <row r="83" spans="1:22" s="29" customFormat="1" ht="20" customHeight="1" x14ac:dyDescent="0.35">
      <c r="A83" s="131"/>
      <c r="B83" s="28">
        <v>44382</v>
      </c>
      <c r="C83" s="30">
        <v>-6.0121380000000002E-3</v>
      </c>
      <c r="D83" s="30">
        <v>-5.9997719999999996E-3</v>
      </c>
      <c r="E83" s="30">
        <v>-5.9954780000000011E-3</v>
      </c>
      <c r="F83" s="30">
        <v>-5.8845919999999993E-3</v>
      </c>
      <c r="G83" s="30">
        <v>-3.9266259999999999E-3</v>
      </c>
      <c r="H83" s="31">
        <f t="shared" si="17"/>
        <v>1.0015041646224876</v>
      </c>
      <c r="I83" s="31">
        <f t="shared" si="18"/>
        <v>1.0030043901608701</v>
      </c>
      <c r="J83" s="31">
        <f t="shared" si="19"/>
        <v>1.0060134868507915</v>
      </c>
      <c r="K83" s="31">
        <f t="shared" si="20"/>
        <v>1.0118387133461715</v>
      </c>
      <c r="L83" s="31">
        <f t="shared" si="21"/>
        <v>1.0198271274090289</v>
      </c>
      <c r="M83" s="30">
        <f t="shared" si="22"/>
        <v>-2.7744999999694216E-6</v>
      </c>
      <c r="N83" s="30">
        <f t="shared" si="9"/>
        <v>-9.4710000000270047E-6</v>
      </c>
      <c r="O83" s="30">
        <f t="shared" si="10"/>
        <v>1.4944000000016488E-5</v>
      </c>
      <c r="P83" s="30">
        <f t="shared" si="11"/>
        <v>3.4991600000003754E-4</v>
      </c>
      <c r="Q83" s="30">
        <f t="shared" si="12"/>
        <v>2.9620500000000255E-3</v>
      </c>
      <c r="R83" s="30">
        <f t="shared" si="23"/>
        <v>-5.9941012628879076E-3</v>
      </c>
      <c r="S83" s="30">
        <f t="shared" si="13"/>
        <v>-5.9818093099430758E-3</v>
      </c>
      <c r="T83" s="30">
        <f t="shared" si="14"/>
        <v>-5.9775409866681395E-3</v>
      </c>
      <c r="U83" s="30">
        <f t="shared" si="15"/>
        <v>-5.8673117009486742E-3</v>
      </c>
      <c r="V83" s="30">
        <f t="shared" si="16"/>
        <v>-3.9189268846068215E-3</v>
      </c>
    </row>
    <row r="84" spans="1:22" s="29" customFormat="1" ht="20" customHeight="1" x14ac:dyDescent="0.35">
      <c r="A84" s="131"/>
      <c r="B84" s="28">
        <v>44389</v>
      </c>
      <c r="C84" s="30">
        <v>-6.1034220000000007E-3</v>
      </c>
      <c r="D84" s="30">
        <v>-6.0260700000000014E-3</v>
      </c>
      <c r="E84" s="30">
        <v>-5.9640539999999999E-3</v>
      </c>
      <c r="F84" s="30">
        <v>-5.8975660000000008E-3</v>
      </c>
      <c r="G84" s="30">
        <v>-4.253588E-3</v>
      </c>
      <c r="H84" s="31">
        <f t="shared" si="17"/>
        <v>1.001527020209821</v>
      </c>
      <c r="I84" s="31">
        <f t="shared" si="18"/>
        <v>1.0030175787523044</v>
      </c>
      <c r="J84" s="31">
        <f t="shared" si="19"/>
        <v>1.0059818743796785</v>
      </c>
      <c r="K84" s="31">
        <f t="shared" si="20"/>
        <v>1.0118649688777432</v>
      </c>
      <c r="L84" s="31">
        <f t="shared" si="21"/>
        <v>1.0214957145350256</v>
      </c>
      <c r="M84" s="30">
        <f t="shared" si="22"/>
        <v>2.2820999999761351E-5</v>
      </c>
      <c r="N84" s="30">
        <f t="shared" si="9"/>
        <v>1.3148999999859163E-5</v>
      </c>
      <c r="O84" s="30">
        <f t="shared" si="10"/>
        <v>-3.1423999999993891E-5</v>
      </c>
      <c r="P84" s="30">
        <f t="shared" si="11"/>
        <v>2.5947999999995673E-5</v>
      </c>
      <c r="Q84" s="30">
        <f t="shared" si="12"/>
        <v>1.6348100000002027E-3</v>
      </c>
      <c r="R84" s="30">
        <f t="shared" si="23"/>
        <v>-6.0848339560636289E-3</v>
      </c>
      <c r="S84" s="30">
        <f t="shared" si="13"/>
        <v>-6.0079496566008972E-3</v>
      </c>
      <c r="T84" s="30">
        <f t="shared" si="14"/>
        <v>-5.9463043341284605E-3</v>
      </c>
      <c r="U84" s="30">
        <f t="shared" si="15"/>
        <v>-5.8802094947785211E-3</v>
      </c>
      <c r="V84" s="30">
        <f t="shared" si="16"/>
        <v>-4.2445543076371495E-3</v>
      </c>
    </row>
    <row r="85" spans="1:22" s="29" customFormat="1" ht="20" customHeight="1" x14ac:dyDescent="0.35">
      <c r="A85" s="131"/>
      <c r="B85" s="28">
        <v>44396</v>
      </c>
      <c r="C85" s="30">
        <v>-6.1889520000000002E-3</v>
      </c>
      <c r="D85" s="30">
        <v>-6.1684480000000009E-3</v>
      </c>
      <c r="E85" s="30">
        <v>-6.1600040000000002E-3</v>
      </c>
      <c r="F85" s="30">
        <v>-6.0938240000000003E-3</v>
      </c>
      <c r="G85" s="30">
        <v>-4.5124000000000006E-3</v>
      </c>
      <c r="H85" s="31">
        <f t="shared" si="17"/>
        <v>1.0015484355902871</v>
      </c>
      <c r="I85" s="31">
        <f t="shared" si="18"/>
        <v>1.0030889851123619</v>
      </c>
      <c r="J85" s="31">
        <f t="shared" si="19"/>
        <v>1.0061790158422672</v>
      </c>
      <c r="K85" s="31">
        <f t="shared" si="20"/>
        <v>1.0122622200264828</v>
      </c>
      <c r="L85" s="31">
        <f t="shared" si="21"/>
        <v>1.0228184469423398</v>
      </c>
      <c r="M85" s="30">
        <f t="shared" si="22"/>
        <v>2.1382500000017317E-5</v>
      </c>
      <c r="N85" s="30">
        <f t="shared" ref="N85:N148" si="24">+LN(I85/I84)</f>
        <v>7.1189000000270236E-5</v>
      </c>
      <c r="O85" s="30">
        <f t="shared" ref="O85:O148" si="25">+LN(J85/J84)</f>
        <v>1.9595000000002973E-4</v>
      </c>
      <c r="P85" s="30">
        <f t="shared" ref="P85:P148" si="26">+LN(K85/K84)</f>
        <v>3.9251599999982748E-4</v>
      </c>
      <c r="Q85" s="30">
        <f t="shared" ref="Q85:Q148" si="27">+LN(L85/L84)</f>
        <v>1.2940599999997553E-3</v>
      </c>
      <c r="R85" s="30">
        <f t="shared" si="23"/>
        <v>-6.1698398848849534E-3</v>
      </c>
      <c r="S85" s="30">
        <f t="shared" ref="S85:S148" si="28">+EXP(D85)-1</f>
        <v>-6.1494621823704465E-3</v>
      </c>
      <c r="T85" s="30">
        <f t="shared" ref="T85:T148" si="29">+EXP(E85)-1</f>
        <v>-6.1410700729976897E-3</v>
      </c>
      <c r="U85" s="30">
        <f t="shared" ref="U85:U148" si="30">+EXP(F85)-1</f>
        <v>-6.0752943125191861E-3</v>
      </c>
      <c r="V85" s="30">
        <f t="shared" ref="V85:V148" si="31">+EXP(G85)-1</f>
        <v>-4.5022344192567898E-3</v>
      </c>
    </row>
    <row r="86" spans="1:22" s="29" customFormat="1" ht="20" customHeight="1" x14ac:dyDescent="0.35">
      <c r="A86" s="131"/>
      <c r="B86" s="28">
        <v>44403</v>
      </c>
      <c r="C86" s="30">
        <v>-6.2546920000000009E-3</v>
      </c>
      <c r="D86" s="30">
        <v>-6.2766160000000005E-3</v>
      </c>
      <c r="E86" s="30">
        <v>-6.3335560000000006E-3</v>
      </c>
      <c r="F86" s="30">
        <v>-6.3444399999999998E-3</v>
      </c>
      <c r="G86" s="30">
        <v>-4.8127319999999993E-3</v>
      </c>
      <c r="H86" s="31">
        <f t="shared" si="17"/>
        <v>1.0015648961740904</v>
      </c>
      <c r="I86" s="31">
        <f t="shared" si="18"/>
        <v>1.0031432376441163</v>
      </c>
      <c r="J86" s="31">
        <f t="shared" si="19"/>
        <v>1.0063536553769066</v>
      </c>
      <c r="K86" s="31">
        <f t="shared" si="20"/>
        <v>1.0127697254218981</v>
      </c>
      <c r="L86" s="31">
        <f t="shared" si="21"/>
        <v>1.0243555262878197</v>
      </c>
      <c r="M86" s="30">
        <f t="shared" si="22"/>
        <v>1.6434999999984738E-5</v>
      </c>
      <c r="N86" s="30">
        <f t="shared" si="24"/>
        <v>5.4083999999794462E-5</v>
      </c>
      <c r="O86" s="30">
        <f t="shared" si="25"/>
        <v>1.7355200000004545E-4</v>
      </c>
      <c r="P86" s="30">
        <f t="shared" si="26"/>
        <v>5.0123200000002255E-4</v>
      </c>
      <c r="Q86" s="30">
        <f t="shared" si="27"/>
        <v>1.5016599999999661E-3</v>
      </c>
      <c r="R86" s="30">
        <f t="shared" si="23"/>
        <v>-6.2351721321164399E-3</v>
      </c>
      <c r="S86" s="30">
        <f t="shared" si="28"/>
        <v>-6.2569591933719915E-3</v>
      </c>
      <c r="T86" s="30">
        <f t="shared" si="29"/>
        <v>-6.3135413112073158E-3</v>
      </c>
      <c r="U86" s="30">
        <f t="shared" si="30"/>
        <v>-6.3243565357671283E-3</v>
      </c>
      <c r="V86" s="30">
        <f t="shared" si="31"/>
        <v>-4.8011693620776397E-3</v>
      </c>
    </row>
    <row r="87" spans="1:22" s="29" customFormat="1" ht="20" customHeight="1" x14ac:dyDescent="0.35">
      <c r="A87" s="131"/>
      <c r="B87" s="28">
        <v>44410</v>
      </c>
      <c r="C87" s="30">
        <v>-6.4476659999999995E-3</v>
      </c>
      <c r="D87" s="30">
        <v>-6.4533759999999994E-3</v>
      </c>
      <c r="E87" s="30">
        <v>-6.488588E-3</v>
      </c>
      <c r="F87" s="30">
        <v>-6.4944540000000002E-3</v>
      </c>
      <c r="G87" s="30">
        <v>-5.1144580000000005E-3</v>
      </c>
      <c r="H87" s="31">
        <f t="shared" si="17"/>
        <v>1.0016132163357165</v>
      </c>
      <c r="I87" s="31">
        <f t="shared" si="18"/>
        <v>1.0032318993613629</v>
      </c>
      <c r="J87" s="31">
        <f t="shared" si="19"/>
        <v>1.0065096844912473</v>
      </c>
      <c r="K87" s="31">
        <f t="shared" si="20"/>
        <v>1.0130736302847814</v>
      </c>
      <c r="L87" s="31">
        <f t="shared" si="21"/>
        <v>1.0259020660502618</v>
      </c>
      <c r="M87" s="30">
        <f t="shared" si="22"/>
        <v>4.8243500000069477E-5</v>
      </c>
      <c r="N87" s="30">
        <f t="shared" si="24"/>
        <v>8.8380000000117139E-5</v>
      </c>
      <c r="O87" s="30">
        <f t="shared" si="25"/>
        <v>1.5503199999996296E-4</v>
      </c>
      <c r="P87" s="30">
        <f t="shared" si="26"/>
        <v>3.0002799999992382E-4</v>
      </c>
      <c r="Q87" s="30">
        <f t="shared" si="27"/>
        <v>1.5086300000001179E-3</v>
      </c>
      <c r="R87" s="30">
        <f t="shared" si="23"/>
        <v>-6.4269244038128726E-3</v>
      </c>
      <c r="S87" s="30">
        <f t="shared" si="28"/>
        <v>-6.4325976898773618E-3</v>
      </c>
      <c r="T87" s="30">
        <f t="shared" si="29"/>
        <v>-6.4675825693000233E-3</v>
      </c>
      <c r="U87" s="30">
        <f t="shared" si="30"/>
        <v>-6.4734106133670366E-3</v>
      </c>
      <c r="V87" s="30">
        <f t="shared" si="31"/>
        <v>-5.101401428262764E-3</v>
      </c>
    </row>
    <row r="88" spans="1:22" s="29" customFormat="1" ht="20" customHeight="1" x14ac:dyDescent="0.35">
      <c r="A88" s="131"/>
      <c r="B88" s="28">
        <v>44417</v>
      </c>
      <c r="C88" s="30">
        <v>-6.5068720000000004E-3</v>
      </c>
      <c r="D88" s="30">
        <v>-6.4708760000000013E-3</v>
      </c>
      <c r="E88" s="30">
        <v>-6.4462240000000004E-3</v>
      </c>
      <c r="F88" s="30">
        <v>-6.3942840000000001E-3</v>
      </c>
      <c r="G88" s="30">
        <v>-5.0150940000000003E-3</v>
      </c>
      <c r="H88" s="31">
        <f t="shared" si="17"/>
        <v>1.0016280418234575</v>
      </c>
      <c r="I88" s="31">
        <f t="shared" si="18"/>
        <v>1.0032406776788874</v>
      </c>
      <c r="J88" s="31">
        <f t="shared" si="19"/>
        <v>1.0064670456181566</v>
      </c>
      <c r="K88" s="31">
        <f t="shared" si="20"/>
        <v>1.0128706914427525</v>
      </c>
      <c r="L88" s="31">
        <f t="shared" si="21"/>
        <v>1.0253925039766028</v>
      </c>
      <c r="M88" s="30">
        <f t="shared" si="22"/>
        <v>1.4801499999961232E-5</v>
      </c>
      <c r="N88" s="30">
        <f t="shared" si="24"/>
        <v>8.7499999999072034E-6</v>
      </c>
      <c r="O88" s="30">
        <f t="shared" si="25"/>
        <v>-4.2363999999947805E-5</v>
      </c>
      <c r="P88" s="30">
        <f t="shared" si="26"/>
        <v>-2.003400000001224E-4</v>
      </c>
      <c r="Q88" s="30">
        <f t="shared" si="27"/>
        <v>-4.9681999999992511E-4</v>
      </c>
      <c r="R88" s="30">
        <f t="shared" si="23"/>
        <v>-6.4857481499501768E-3</v>
      </c>
      <c r="S88" s="30">
        <f t="shared" si="28"/>
        <v>-6.4499849672786658E-3</v>
      </c>
      <c r="T88" s="30">
        <f t="shared" si="29"/>
        <v>-6.4254916704049592E-3</v>
      </c>
      <c r="U88" s="30">
        <f t="shared" si="30"/>
        <v>-6.3738840702044497E-3</v>
      </c>
      <c r="V88" s="30">
        <f t="shared" si="31"/>
        <v>-5.0025394123329736E-3</v>
      </c>
    </row>
    <row r="89" spans="1:22" s="29" customFormat="1" ht="20" customHeight="1" x14ac:dyDescent="0.35">
      <c r="A89" s="131"/>
      <c r="B89" s="28">
        <v>44424</v>
      </c>
      <c r="C89" s="30">
        <v>-6.3400339999999996E-3</v>
      </c>
      <c r="D89" s="30">
        <v>-6.3791459999999996E-3</v>
      </c>
      <c r="E89" s="30">
        <v>-6.4594240000000001E-3</v>
      </c>
      <c r="F89" s="30">
        <v>-6.5042379999999999E-3</v>
      </c>
      <c r="G89" s="30">
        <v>-5.1454559999999996E-3</v>
      </c>
      <c r="H89" s="31">
        <f t="shared" si="17"/>
        <v>1.0015862652898924</v>
      </c>
      <c r="I89" s="31">
        <f t="shared" si="18"/>
        <v>1.0031946651003971</v>
      </c>
      <c r="J89" s="31">
        <f t="shared" si="19"/>
        <v>1.0064803310708426</v>
      </c>
      <c r="K89" s="31">
        <f t="shared" si="20"/>
        <v>1.0130934543035364</v>
      </c>
      <c r="L89" s="31">
        <f t="shared" si="21"/>
        <v>1.0260610829341741</v>
      </c>
      <c r="M89" s="30">
        <f t="shared" si="22"/>
        <v>-4.1709499999935298E-5</v>
      </c>
      <c r="N89" s="30">
        <f t="shared" si="24"/>
        <v>-4.5865000000072196E-5</v>
      </c>
      <c r="O89" s="30">
        <f t="shared" si="25"/>
        <v>1.3200000000085165E-5</v>
      </c>
      <c r="P89" s="30">
        <f t="shared" si="26"/>
        <v>2.199080000000487E-4</v>
      </c>
      <c r="Q89" s="30">
        <f t="shared" si="27"/>
        <v>6.5181000000001795E-4</v>
      </c>
      <c r="R89" s="30">
        <f t="shared" si="23"/>
        <v>-6.3199783912369911E-3</v>
      </c>
      <c r="S89" s="30">
        <f t="shared" si="28"/>
        <v>-6.3588424442118097E-3</v>
      </c>
      <c r="T89" s="30">
        <f t="shared" si="29"/>
        <v>-6.4386067673550818E-3</v>
      </c>
      <c r="U89" s="30">
        <f t="shared" si="30"/>
        <v>-6.4831312299642452E-3</v>
      </c>
      <c r="V89" s="30">
        <f t="shared" si="31"/>
        <v>-5.1322408170391132E-3</v>
      </c>
    </row>
    <row r="90" spans="1:22" s="29" customFormat="1" ht="20" customHeight="1" x14ac:dyDescent="0.35">
      <c r="A90" s="131"/>
      <c r="B90" s="28">
        <v>44431</v>
      </c>
      <c r="C90" s="30">
        <v>-6.3103359999999997E-3</v>
      </c>
      <c r="D90" s="30">
        <v>-6.357494E-3</v>
      </c>
      <c r="E90" s="30">
        <v>-6.4360040000000004E-3</v>
      </c>
      <c r="F90" s="30">
        <v>-6.4316519999999995E-3</v>
      </c>
      <c r="G90" s="30">
        <v>-4.8386779999999999E-3</v>
      </c>
      <c r="H90" s="31">
        <f t="shared" si="17"/>
        <v>1.001578829040271</v>
      </c>
      <c r="I90" s="31">
        <f t="shared" si="18"/>
        <v>1.0031838045737409</v>
      </c>
      <c r="J90" s="31">
        <f t="shared" si="19"/>
        <v>1.006456759577512</v>
      </c>
      <c r="K90" s="31">
        <f t="shared" si="20"/>
        <v>1.012946392175498</v>
      </c>
      <c r="L90" s="31">
        <f t="shared" si="21"/>
        <v>1.0244884245505044</v>
      </c>
      <c r="M90" s="30">
        <f t="shared" si="22"/>
        <v>-7.424500000042769E-6</v>
      </c>
      <c r="N90" s="30">
        <f t="shared" si="24"/>
        <v>-1.0825999999932918E-5</v>
      </c>
      <c r="O90" s="30">
        <f t="shared" si="25"/>
        <v>-2.3420000000095995E-5</v>
      </c>
      <c r="P90" s="30">
        <f t="shared" si="26"/>
        <v>-1.4517200000010611E-4</v>
      </c>
      <c r="Q90" s="30">
        <f t="shared" si="27"/>
        <v>-1.5338900000001301E-3</v>
      </c>
      <c r="R90" s="30">
        <f t="shared" si="23"/>
        <v>-6.2904676437522955E-3</v>
      </c>
      <c r="S90" s="30">
        <f t="shared" si="28"/>
        <v>-6.3373278929527155E-3</v>
      </c>
      <c r="T90" s="30">
        <f t="shared" si="29"/>
        <v>-6.415337287041023E-3</v>
      </c>
      <c r="U90" s="30">
        <f t="shared" si="30"/>
        <v>-6.4110131971796269E-3</v>
      </c>
      <c r="V90" s="30">
        <f t="shared" si="31"/>
        <v>-4.8269904559588017E-3</v>
      </c>
    </row>
    <row r="91" spans="1:22" s="29" customFormat="1" ht="20" customHeight="1" x14ac:dyDescent="0.35">
      <c r="A91" s="131"/>
      <c r="B91" s="28">
        <v>44438</v>
      </c>
      <c r="C91" s="30">
        <v>-6.3236939999999995E-3</v>
      </c>
      <c r="D91" s="30">
        <v>-6.3554199999999996E-3</v>
      </c>
      <c r="E91" s="30">
        <v>-6.3980580000000007E-3</v>
      </c>
      <c r="F91" s="30">
        <v>-6.3160539999999998E-3</v>
      </c>
      <c r="G91" s="30">
        <v>-4.5413479999999997E-3</v>
      </c>
      <c r="H91" s="31">
        <f t="shared" si="17"/>
        <v>1.0015821738183555</v>
      </c>
      <c r="I91" s="31">
        <f t="shared" si="18"/>
        <v>1.0031827642726749</v>
      </c>
      <c r="J91" s="31">
        <f t="shared" si="19"/>
        <v>1.0064185692939021</v>
      </c>
      <c r="K91" s="31">
        <f t="shared" si="20"/>
        <v>1.0127122300911242</v>
      </c>
      <c r="L91" s="31">
        <f t="shared" si="21"/>
        <v>1.0229665003987205</v>
      </c>
      <c r="M91" s="30">
        <f t="shared" si="22"/>
        <v>3.3394999999357673E-6</v>
      </c>
      <c r="N91" s="30">
        <f t="shared" si="24"/>
        <v>-1.0369999999848281E-6</v>
      </c>
      <c r="O91" s="30">
        <f t="shared" si="25"/>
        <v>-3.7945999999866486E-5</v>
      </c>
      <c r="P91" s="30">
        <f t="shared" si="26"/>
        <v>-2.3119600000001499E-4</v>
      </c>
      <c r="Q91" s="30">
        <f t="shared" si="27"/>
        <v>-1.4866499999999074E-3</v>
      </c>
      <c r="R91" s="30">
        <f t="shared" si="23"/>
        <v>-6.3037415270290609E-3</v>
      </c>
      <c r="S91" s="30">
        <f t="shared" si="28"/>
        <v>-6.3352670344336559E-3</v>
      </c>
      <c r="T91" s="30">
        <f t="shared" si="29"/>
        <v>-6.377634008089883E-3</v>
      </c>
      <c r="U91" s="30">
        <f t="shared" si="30"/>
        <v>-6.2961496586134702E-3</v>
      </c>
      <c r="V91" s="30">
        <f t="shared" si="31"/>
        <v>-4.5310516714719418E-3</v>
      </c>
    </row>
    <row r="92" spans="1:22" s="29" customFormat="1" ht="20" customHeight="1" x14ac:dyDescent="0.35">
      <c r="A92" s="131"/>
      <c r="B92" s="28">
        <v>44445</v>
      </c>
      <c r="C92" s="30">
        <v>-6.3810860000000002E-3</v>
      </c>
      <c r="D92" s="30">
        <v>-6.4087819999999992E-3</v>
      </c>
      <c r="E92" s="30">
        <v>-6.412114E-3</v>
      </c>
      <c r="F92" s="30">
        <v>-6.1971380000000013E-3</v>
      </c>
      <c r="G92" s="30">
        <v>-4.1368740000000005E-3</v>
      </c>
      <c r="H92" s="31">
        <f t="shared" si="17"/>
        <v>1.0015965446224813</v>
      </c>
      <c r="I92" s="31">
        <f t="shared" si="18"/>
        <v>1.0032095305490825</v>
      </c>
      <c r="J92" s="31">
        <f t="shared" si="19"/>
        <v>1.006432715612732</v>
      </c>
      <c r="K92" s="31">
        <f t="shared" si="20"/>
        <v>1.0124714033553046</v>
      </c>
      <c r="L92" s="31">
        <f t="shared" si="21"/>
        <v>1.020899774184262</v>
      </c>
      <c r="M92" s="30">
        <f t="shared" si="22"/>
        <v>1.434800000005955E-5</v>
      </c>
      <c r="N92" s="30">
        <f t="shared" si="24"/>
        <v>2.6681000000036671E-5</v>
      </c>
      <c r="O92" s="30">
        <f t="shared" si="25"/>
        <v>1.4055999999766546E-5</v>
      </c>
      <c r="P92" s="30">
        <f t="shared" si="26"/>
        <v>-2.3783199999988136E-4</v>
      </c>
      <c r="Q92" s="30">
        <f t="shared" si="27"/>
        <v>-2.0223700000000177E-3</v>
      </c>
      <c r="R92" s="30">
        <f t="shared" si="23"/>
        <v>-6.3607701061876298E-3</v>
      </c>
      <c r="S92" s="30">
        <f t="shared" si="28"/>
        <v>-6.3882895572076048E-3</v>
      </c>
      <c r="T92" s="30">
        <f t="shared" si="29"/>
        <v>-6.3916002659111237E-3</v>
      </c>
      <c r="U92" s="30">
        <f t="shared" si="30"/>
        <v>-6.1779753452771979E-3</v>
      </c>
      <c r="V92" s="30">
        <f t="shared" si="31"/>
        <v>-4.1283289241158538E-3</v>
      </c>
    </row>
    <row r="93" spans="1:22" s="29" customFormat="1" ht="20" customHeight="1" x14ac:dyDescent="0.35">
      <c r="A93" s="131"/>
      <c r="B93" s="28">
        <v>44452</v>
      </c>
      <c r="C93" s="30">
        <v>-6.3562940000000002E-3</v>
      </c>
      <c r="D93" s="30">
        <v>-6.4187060000000006E-3</v>
      </c>
      <c r="E93" s="30">
        <v>-6.456945999999999E-3</v>
      </c>
      <c r="F93" s="30">
        <v>-6.2345280000000005E-3</v>
      </c>
      <c r="G93" s="30">
        <v>-4.0645579999999994E-3</v>
      </c>
      <c r="H93" s="31">
        <f t="shared" si="17"/>
        <v>1.0015903367463359</v>
      </c>
      <c r="I93" s="31">
        <f t="shared" si="18"/>
        <v>1.0032145084871233</v>
      </c>
      <c r="J93" s="31">
        <f t="shared" si="19"/>
        <v>1.0064778370156722</v>
      </c>
      <c r="K93" s="31">
        <f t="shared" si="20"/>
        <v>1.0125471187978126</v>
      </c>
      <c r="L93" s="31">
        <f t="shared" si="21"/>
        <v>1.0205307039721372</v>
      </c>
      <c r="M93" s="30">
        <f t="shared" si="22"/>
        <v>-6.1980000000506617E-6</v>
      </c>
      <c r="N93" s="30">
        <f t="shared" si="24"/>
        <v>4.9620000000739147E-6</v>
      </c>
      <c r="O93" s="30">
        <f t="shared" si="25"/>
        <v>4.4832000000027891E-5</v>
      </c>
      <c r="P93" s="30">
        <f t="shared" si="26"/>
        <v>7.4779999999956102E-5</v>
      </c>
      <c r="Q93" s="30">
        <f t="shared" si="27"/>
        <v>-3.6157999999992982E-4</v>
      </c>
      <c r="R93" s="30">
        <f t="shared" si="23"/>
        <v>-6.3361354970307149E-3</v>
      </c>
      <c r="S93" s="30">
        <f t="shared" si="28"/>
        <v>-6.398150110893952E-3</v>
      </c>
      <c r="T93" s="30">
        <f t="shared" si="29"/>
        <v>-6.4361447191720877E-3</v>
      </c>
      <c r="U93" s="30">
        <f t="shared" si="30"/>
        <v>-6.215133656100047E-3</v>
      </c>
      <c r="V93" s="30">
        <f t="shared" si="31"/>
        <v>-4.0563088642804335E-3</v>
      </c>
    </row>
    <row r="94" spans="1:22" s="29" customFormat="1" ht="20" customHeight="1" x14ac:dyDescent="0.35">
      <c r="A94" s="131"/>
      <c r="B94" s="28">
        <v>44459</v>
      </c>
      <c r="C94" s="30">
        <v>-6.6257040000000014E-3</v>
      </c>
      <c r="D94" s="30">
        <v>-6.5802479999999995E-3</v>
      </c>
      <c r="E94" s="30">
        <v>-6.4817260000000002E-3</v>
      </c>
      <c r="F94" s="30">
        <v>-6.1783879999999999E-3</v>
      </c>
      <c r="G94" s="30">
        <v>-4.1274100000000006E-3</v>
      </c>
      <c r="H94" s="31">
        <f t="shared" si="17"/>
        <v>1.0016577986313295</v>
      </c>
      <c r="I94" s="31">
        <f t="shared" si="18"/>
        <v>1.0032955423987393</v>
      </c>
      <c r="J94" s="31">
        <f t="shared" si="19"/>
        <v>1.0065027778454891</v>
      </c>
      <c r="K94" s="31">
        <f t="shared" si="20"/>
        <v>1.0124334363895637</v>
      </c>
      <c r="L94" s="31">
        <f t="shared" si="21"/>
        <v>1.02085146634992</v>
      </c>
      <c r="M94" s="30">
        <f t="shared" si="22"/>
        <v>6.7352500000058204E-5</v>
      </c>
      <c r="N94" s="30">
        <f t="shared" si="24"/>
        <v>8.0770999999939843E-5</v>
      </c>
      <c r="O94" s="30">
        <f t="shared" si="25"/>
        <v>2.4780000000058865E-5</v>
      </c>
      <c r="P94" s="30">
        <f t="shared" si="26"/>
        <v>-1.1228000000004244E-4</v>
      </c>
      <c r="Q94" s="30">
        <f t="shared" si="27"/>
        <v>3.1425999999988634E-4</v>
      </c>
      <c r="R94" s="30">
        <f t="shared" si="23"/>
        <v>-6.6038024210745006E-3</v>
      </c>
      <c r="S94" s="30">
        <f t="shared" si="28"/>
        <v>-6.5586455772003172E-3</v>
      </c>
      <c r="T94" s="30">
        <f t="shared" si="29"/>
        <v>-6.4607649264603051E-3</v>
      </c>
      <c r="U94" s="30">
        <f t="shared" si="30"/>
        <v>-6.1593410076185018E-3</v>
      </c>
      <c r="V94" s="30">
        <f t="shared" si="31"/>
        <v>-4.1189039500219016E-3</v>
      </c>
    </row>
    <row r="95" spans="1:22" s="29" customFormat="1" ht="20" customHeight="1" x14ac:dyDescent="0.35">
      <c r="A95" s="131"/>
      <c r="B95" s="28">
        <v>44466</v>
      </c>
      <c r="C95" s="30">
        <v>-6.804122000000001E-3</v>
      </c>
      <c r="D95" s="30">
        <v>-6.6682040000000005E-3</v>
      </c>
      <c r="E95" s="30">
        <v>-6.4191499999999993E-3</v>
      </c>
      <c r="F95" s="30">
        <v>-5.8999719999999999E-3</v>
      </c>
      <c r="G95" s="30">
        <v>-3.5180480000000002E-3</v>
      </c>
      <c r="H95" s="31">
        <f t="shared" si="17"/>
        <v>1.0017024780730532</v>
      </c>
      <c r="I95" s="31">
        <f t="shared" si="18"/>
        <v>1.0033396663003362</v>
      </c>
      <c r="J95" s="31">
        <f t="shared" si="19"/>
        <v>1.006439796898231</v>
      </c>
      <c r="K95" s="31">
        <f t="shared" si="20"/>
        <v>1.0118698379836883</v>
      </c>
      <c r="L95" s="31">
        <f t="shared" si="21"/>
        <v>1.0177458593933548</v>
      </c>
      <c r="M95" s="30">
        <f t="shared" si="22"/>
        <v>4.4604500000067888E-5</v>
      </c>
      <c r="N95" s="30">
        <f t="shared" si="24"/>
        <v>4.3977999999913777E-5</v>
      </c>
      <c r="O95" s="30">
        <f t="shared" si="25"/>
        <v>-6.2576000000082676E-5</v>
      </c>
      <c r="P95" s="30">
        <f t="shared" si="26"/>
        <v>-5.5683199999996015E-4</v>
      </c>
      <c r="Q95" s="30">
        <f t="shared" si="27"/>
        <v>-3.0468099999999203E-3</v>
      </c>
      <c r="R95" s="30">
        <f t="shared" si="23"/>
        <v>-6.7810263734123799E-3</v>
      </c>
      <c r="S95" s="30">
        <f t="shared" si="28"/>
        <v>-6.6460208623233541E-3</v>
      </c>
      <c r="T95" s="30">
        <f t="shared" si="29"/>
        <v>-6.3985912700172953E-3</v>
      </c>
      <c r="U95" s="30">
        <f t="shared" si="30"/>
        <v>-5.882601344117111E-3</v>
      </c>
      <c r="V95" s="30">
        <f t="shared" si="31"/>
        <v>-3.5118669197050645E-3</v>
      </c>
    </row>
    <row r="96" spans="1:22" s="29" customFormat="1" ht="20" customHeight="1" x14ac:dyDescent="0.35">
      <c r="A96" s="131"/>
      <c r="B96" s="28">
        <v>44473</v>
      </c>
      <c r="C96" s="30">
        <v>-6.9420420000000007E-3</v>
      </c>
      <c r="D96" s="30">
        <v>-6.7882479999999993E-3</v>
      </c>
      <c r="E96" s="30">
        <v>-6.5241459999999998E-3</v>
      </c>
      <c r="F96" s="30">
        <v>-6.0068059999999991E-3</v>
      </c>
      <c r="G96" s="30">
        <v>-3.5459560000000003E-3</v>
      </c>
      <c r="H96" s="31">
        <f t="shared" si="17"/>
        <v>1.0017370173699514</v>
      </c>
      <c r="I96" s="31">
        <f t="shared" si="18"/>
        <v>1.0033998905611592</v>
      </c>
      <c r="J96" s="31">
        <f t="shared" si="19"/>
        <v>1.0065454745989171</v>
      </c>
      <c r="K96" s="31">
        <f t="shared" si="20"/>
        <v>1.0120860652878358</v>
      </c>
      <c r="L96" s="31">
        <f t="shared" si="21"/>
        <v>1.0178878855595097</v>
      </c>
      <c r="M96" s="30">
        <f t="shared" si="22"/>
        <v>3.4480000000077942E-5</v>
      </c>
      <c r="N96" s="30">
        <f t="shared" si="24"/>
        <v>6.0022000000108131E-5</v>
      </c>
      <c r="O96" s="30">
        <f t="shared" si="25"/>
        <v>1.0499600000006673E-4</v>
      </c>
      <c r="P96" s="30">
        <f t="shared" si="26"/>
        <v>2.1366799999998501E-4</v>
      </c>
      <c r="Q96" s="30">
        <f t="shared" si="27"/>
        <v>1.3954000000005021E-4</v>
      </c>
      <c r="R96" s="30">
        <f t="shared" si="23"/>
        <v>-6.91800168822021E-3</v>
      </c>
      <c r="S96" s="30">
        <f t="shared" si="28"/>
        <v>-6.7652598902868677E-3</v>
      </c>
      <c r="T96" s="30">
        <f t="shared" si="29"/>
        <v>-6.5029099669094981E-3</v>
      </c>
      <c r="U96" s="30">
        <f t="shared" si="30"/>
        <v>-5.988801209305894E-3</v>
      </c>
      <c r="V96" s="30">
        <f t="shared" si="31"/>
        <v>-3.5396765224661175E-3</v>
      </c>
    </row>
    <row r="97" spans="1:22" s="29" customFormat="1" ht="20" customHeight="1" x14ac:dyDescent="0.35">
      <c r="A97" s="131"/>
      <c r="B97" s="28">
        <v>44480</v>
      </c>
      <c r="C97" s="30">
        <v>-6.8732159999999997E-3</v>
      </c>
      <c r="D97" s="30">
        <v>-6.723429999999999E-3</v>
      </c>
      <c r="E97" s="30">
        <v>-6.4455879999999995E-3</v>
      </c>
      <c r="F97" s="30">
        <v>-5.8514400000000003E-3</v>
      </c>
      <c r="G97" s="30">
        <v>-3.144694E-3</v>
      </c>
      <c r="H97" s="31">
        <f t="shared" si="17"/>
        <v>1.0017197811302501</v>
      </c>
      <c r="I97" s="31">
        <f t="shared" si="18"/>
        <v>1.0033673719010574</v>
      </c>
      <c r="J97" s="31">
        <f t="shared" si="19"/>
        <v>1.006466405505319</v>
      </c>
      <c r="K97" s="31">
        <f t="shared" si="20"/>
        <v>1.0117716266162056</v>
      </c>
      <c r="L97" s="31">
        <f t="shared" si="21"/>
        <v>1.0158477341882299</v>
      </c>
      <c r="M97" s="30">
        <f t="shared" si="22"/>
        <v>-1.7206499999973426E-5</v>
      </c>
      <c r="N97" s="30">
        <f t="shared" si="24"/>
        <v>-3.2409000000067371E-5</v>
      </c>
      <c r="O97" s="30">
        <f t="shared" si="25"/>
        <v>-7.8558000000111851E-5</v>
      </c>
      <c r="P97" s="30">
        <f t="shared" si="26"/>
        <v>-3.1073199999994468E-4</v>
      </c>
      <c r="Q97" s="30">
        <f t="shared" si="27"/>
        <v>-2.006310000000009E-3</v>
      </c>
      <c r="R97" s="30">
        <f t="shared" si="23"/>
        <v>-6.8496494744265668E-3</v>
      </c>
      <c r="S97" s="30">
        <f t="shared" si="28"/>
        <v>-6.7008783143824857E-3</v>
      </c>
      <c r="T97" s="30">
        <f t="shared" si="29"/>
        <v>-6.4248597568166144E-3</v>
      </c>
      <c r="U97" s="30">
        <f t="shared" si="30"/>
        <v>-5.8343536677568641E-3</v>
      </c>
      <c r="V97" s="30">
        <f t="shared" si="31"/>
        <v>-3.1397546287833533E-3</v>
      </c>
    </row>
    <row r="98" spans="1:22" s="29" customFormat="1" ht="20" customHeight="1" x14ac:dyDescent="0.35">
      <c r="A98" s="131"/>
      <c r="B98" s="28">
        <v>44487</v>
      </c>
      <c r="C98" s="30">
        <v>-6.7639959999999996E-3</v>
      </c>
      <c r="D98" s="30">
        <v>-6.6061499999999999E-3</v>
      </c>
      <c r="E98" s="30">
        <v>-6.2785339999999997E-3</v>
      </c>
      <c r="F98" s="30">
        <v>-5.529476000000001E-3</v>
      </c>
      <c r="G98" s="30">
        <v>-2.5354739999999998E-3</v>
      </c>
      <c r="H98" s="31">
        <f t="shared" si="17"/>
        <v>1.0016924295450453</v>
      </c>
      <c r="I98" s="31">
        <f t="shared" si="18"/>
        <v>1.0033085361634499</v>
      </c>
      <c r="J98" s="31">
        <f t="shared" si="19"/>
        <v>1.0062982853093803</v>
      </c>
      <c r="K98" s="31">
        <f t="shared" si="20"/>
        <v>1.0111203282533527</v>
      </c>
      <c r="L98" s="31">
        <f t="shared" si="21"/>
        <v>1.0127580685094442</v>
      </c>
      <c r="M98" s="30">
        <f t="shared" si="22"/>
        <v>-2.7305000000232951E-5</v>
      </c>
      <c r="N98" s="30">
        <f t="shared" si="24"/>
        <v>-5.8639999999816175E-5</v>
      </c>
      <c r="O98" s="30">
        <f t="shared" si="25"/>
        <v>-1.6705400000003177E-4</v>
      </c>
      <c r="P98" s="30">
        <f t="shared" si="26"/>
        <v>-6.4392799999991824E-4</v>
      </c>
      <c r="Q98" s="30">
        <f t="shared" si="27"/>
        <v>-3.0460999999999865E-3</v>
      </c>
      <c r="R98" s="30">
        <f t="shared" si="23"/>
        <v>-6.741171669277124E-3</v>
      </c>
      <c r="S98" s="30">
        <f t="shared" si="28"/>
        <v>-6.5843773619088664E-3</v>
      </c>
      <c r="T98" s="30">
        <f t="shared" si="29"/>
        <v>-6.2588651906964055E-3</v>
      </c>
      <c r="U98" s="30">
        <f t="shared" si="30"/>
        <v>-5.5142165860588843E-3</v>
      </c>
      <c r="V98" s="30">
        <f t="shared" si="31"/>
        <v>-2.532262400679941E-3</v>
      </c>
    </row>
    <row r="99" spans="1:22" s="29" customFormat="1" ht="20" customHeight="1" x14ac:dyDescent="0.35">
      <c r="A99" s="131"/>
      <c r="B99" s="28">
        <v>44494</v>
      </c>
      <c r="C99" s="30">
        <v>-6.7095599999999998E-3</v>
      </c>
      <c r="D99" s="30">
        <v>-6.5877779999999999E-3</v>
      </c>
      <c r="E99" s="30">
        <v>-6.2730680000000006E-3</v>
      </c>
      <c r="F99" s="30">
        <v>-5.4261319999999993E-3</v>
      </c>
      <c r="G99" s="30">
        <v>-2.130308E-3</v>
      </c>
      <c r="H99" s="31">
        <f t="shared" si="17"/>
        <v>1.0016787976055306</v>
      </c>
      <c r="I99" s="31">
        <f t="shared" si="18"/>
        <v>1.0032993198135673</v>
      </c>
      <c r="J99" s="31">
        <f t="shared" si="19"/>
        <v>1.0062927848979855</v>
      </c>
      <c r="K99" s="31">
        <f t="shared" si="20"/>
        <v>1.0109113634109532</v>
      </c>
      <c r="L99" s="31">
        <f t="shared" si="21"/>
        <v>1.0107084696019537</v>
      </c>
      <c r="M99" s="30">
        <f t="shared" si="22"/>
        <v>-1.3608999999786746E-5</v>
      </c>
      <c r="N99" s="30">
        <f t="shared" si="24"/>
        <v>-9.1860000001347289E-6</v>
      </c>
      <c r="O99" s="30">
        <f t="shared" si="25"/>
        <v>-5.4659999998988811E-6</v>
      </c>
      <c r="P99" s="30">
        <f t="shared" si="26"/>
        <v>-2.0668800000005707E-4</v>
      </c>
      <c r="Q99" s="30">
        <f t="shared" si="27"/>
        <v>-2.0258299999999928E-3</v>
      </c>
      <c r="R99" s="30">
        <f t="shared" si="23"/>
        <v>-6.6871011600203589E-3</v>
      </c>
      <c r="S99" s="30">
        <f t="shared" si="28"/>
        <v>-6.5661261624346823E-3</v>
      </c>
      <c r="T99" s="30">
        <f t="shared" si="29"/>
        <v>-6.2534333868083936E-3</v>
      </c>
      <c r="U99" s="30">
        <f t="shared" si="30"/>
        <v>-5.4114371365295844E-3</v>
      </c>
      <c r="V99" s="30">
        <f t="shared" si="31"/>
        <v>-2.1280405043531125E-3</v>
      </c>
    </row>
    <row r="100" spans="1:22" s="29" customFormat="1" ht="20" customHeight="1" x14ac:dyDescent="0.35">
      <c r="A100" s="131"/>
      <c r="B100" s="28">
        <v>44501</v>
      </c>
      <c r="C100" s="30">
        <v>-6.9380239999999992E-3</v>
      </c>
      <c r="D100" s="30">
        <v>-6.7816759999999986E-3</v>
      </c>
      <c r="E100" s="30">
        <v>-6.4509419999999994E-3</v>
      </c>
      <c r="F100" s="30">
        <v>-5.6634039999999995E-3</v>
      </c>
      <c r="G100" s="30">
        <v>-2.4470239999999999E-3</v>
      </c>
      <c r="H100" s="31">
        <f t="shared" si="17"/>
        <v>1.0017360111256226</v>
      </c>
      <c r="I100" s="31">
        <f t="shared" si="18"/>
        <v>1.0033965933945361</v>
      </c>
      <c r="J100" s="31">
        <f t="shared" si="19"/>
        <v>1.0064717941408794</v>
      </c>
      <c r="K100" s="31">
        <f t="shared" si="20"/>
        <v>1.0113911991755786</v>
      </c>
      <c r="L100" s="31">
        <f t="shared" si="21"/>
        <v>1.0123102752792223</v>
      </c>
      <c r="M100" s="30">
        <f t="shared" si="22"/>
        <v>5.7115999999900728E-5</v>
      </c>
      <c r="N100" s="30">
        <f t="shared" si="24"/>
        <v>9.6949000000238087E-5</v>
      </c>
      <c r="O100" s="30">
        <f t="shared" si="25"/>
        <v>1.7787399999986332E-4</v>
      </c>
      <c r="P100" s="30">
        <f t="shared" si="26"/>
        <v>4.7454400000007018E-4</v>
      </c>
      <c r="Q100" s="30">
        <f t="shared" si="27"/>
        <v>1.583579999999964E-3</v>
      </c>
      <c r="R100" s="30">
        <f t="shared" si="23"/>
        <v>-6.9140114767346494E-3</v>
      </c>
      <c r="S100" s="30">
        <f t="shared" si="28"/>
        <v>-6.75873233012525E-3</v>
      </c>
      <c r="T100" s="30">
        <f t="shared" si="29"/>
        <v>-6.4301793438770183E-3</v>
      </c>
      <c r="U100" s="30">
        <f t="shared" si="30"/>
        <v>-5.6473971595569772E-3</v>
      </c>
      <c r="V100" s="30">
        <f t="shared" si="31"/>
        <v>-2.444032477378455E-3</v>
      </c>
    </row>
    <row r="101" spans="1:22" s="29" customFormat="1" ht="20" customHeight="1" x14ac:dyDescent="0.35">
      <c r="A101" s="131"/>
      <c r="B101" s="28">
        <v>44508</v>
      </c>
      <c r="C101" s="30">
        <v>-7.4710480000000001E-3</v>
      </c>
      <c r="D101" s="30">
        <v>-7.3410200000000002E-3</v>
      </c>
      <c r="E101" s="30">
        <v>-7.0449780000000004E-3</v>
      </c>
      <c r="F101" s="30">
        <v>-6.2925640000000005E-3</v>
      </c>
      <c r="G101" s="30">
        <v>-3.1473300000000003E-3</v>
      </c>
      <c r="H101" s="31">
        <f t="shared" si="17"/>
        <v>1.0018695073539103</v>
      </c>
      <c r="I101" s="31">
        <f t="shared" si="18"/>
        <v>1.0036772545713109</v>
      </c>
      <c r="J101" s="31">
        <f t="shared" si="19"/>
        <v>1.0070698522360162</v>
      </c>
      <c r="K101" s="31">
        <f t="shared" si="20"/>
        <v>1.0126646539881261</v>
      </c>
      <c r="L101" s="31">
        <f t="shared" si="21"/>
        <v>1.0158611231495995</v>
      </c>
      <c r="M101" s="30">
        <f t="shared" si="22"/>
        <v>1.3325599999998086E-4</v>
      </c>
      <c r="N101" s="30">
        <f t="shared" si="24"/>
        <v>2.7967199999988851E-4</v>
      </c>
      <c r="O101" s="30">
        <f t="shared" si="25"/>
        <v>5.9403600000005241E-4</v>
      </c>
      <c r="P101" s="30">
        <f t="shared" si="26"/>
        <v>1.2583200000000924E-3</v>
      </c>
      <c r="Q101" s="30">
        <f t="shared" si="27"/>
        <v>3.5015299999997989E-3</v>
      </c>
      <c r="R101" s="30">
        <f t="shared" si="23"/>
        <v>-7.4432090926368488E-3</v>
      </c>
      <c r="S101" s="30">
        <f t="shared" si="28"/>
        <v>-7.3141405271468507E-3</v>
      </c>
      <c r="T101" s="30">
        <f t="shared" si="29"/>
        <v>-7.0202203157198051E-3</v>
      </c>
      <c r="U101" s="30">
        <f t="shared" si="30"/>
        <v>-6.2728072810137592E-3</v>
      </c>
      <c r="V101" s="30">
        <f t="shared" si="31"/>
        <v>-3.142382348926831E-3</v>
      </c>
    </row>
    <row r="102" spans="1:22" s="29" customFormat="1" ht="20" customHeight="1" x14ac:dyDescent="0.35">
      <c r="A102" s="131"/>
      <c r="B102" s="28">
        <v>44515</v>
      </c>
      <c r="C102" s="30">
        <v>-7.8633379999999992E-3</v>
      </c>
      <c r="D102" s="30">
        <v>-7.6687339999999991E-3</v>
      </c>
      <c r="E102" s="30">
        <v>-7.2702300000000008E-3</v>
      </c>
      <c r="F102" s="30">
        <v>-6.3812819999999994E-3</v>
      </c>
      <c r="G102" s="30">
        <v>-3.0305240000000002E-3</v>
      </c>
      <c r="H102" s="31">
        <f t="shared" si="17"/>
        <v>1.0019677680194261</v>
      </c>
      <c r="I102" s="31">
        <f t="shared" si="18"/>
        <v>1.0038417275898728</v>
      </c>
      <c r="J102" s="31">
        <f t="shared" si="19"/>
        <v>1.007296722284879</v>
      </c>
      <c r="K102" s="31">
        <f t="shared" si="20"/>
        <v>1.0128443530957449</v>
      </c>
      <c r="L102" s="31">
        <f t="shared" si="21"/>
        <v>1.0152680029946877</v>
      </c>
      <c r="M102" s="30">
        <f t="shared" si="22"/>
        <v>9.8072500000075474E-5</v>
      </c>
      <c r="N102" s="30">
        <f t="shared" si="24"/>
        <v>1.6385699999982211E-4</v>
      </c>
      <c r="O102" s="30">
        <f t="shared" si="25"/>
        <v>2.2525199999996249E-4</v>
      </c>
      <c r="P102" s="30">
        <f t="shared" si="26"/>
        <v>1.77435999999868E-4</v>
      </c>
      <c r="Q102" s="30">
        <f t="shared" si="27"/>
        <v>-5.840299999998721E-4</v>
      </c>
      <c r="R102" s="30">
        <f t="shared" si="23"/>
        <v>-7.8325028331287516E-3</v>
      </c>
      <c r="S102" s="30">
        <f t="shared" si="28"/>
        <v>-7.6394042812442109E-3</v>
      </c>
      <c r="T102" s="30">
        <f t="shared" si="29"/>
        <v>-7.2438658078104456E-3</v>
      </c>
      <c r="U102" s="30">
        <f t="shared" si="30"/>
        <v>-6.3609648594575852E-3</v>
      </c>
      <c r="V102" s="30">
        <f t="shared" si="31"/>
        <v>-3.0259365973906993E-3</v>
      </c>
    </row>
    <row r="103" spans="1:22" s="29" customFormat="1" ht="20" customHeight="1" x14ac:dyDescent="0.35">
      <c r="A103" s="131"/>
      <c r="B103" s="28">
        <v>44522</v>
      </c>
      <c r="C103" s="30">
        <v>-8.1614159999999995E-3</v>
      </c>
      <c r="D103" s="30">
        <v>-7.8319879999999998E-3</v>
      </c>
      <c r="E103" s="30">
        <v>-7.284811999999999E-3</v>
      </c>
      <c r="F103" s="30">
        <v>-6.3553480000000002E-3</v>
      </c>
      <c r="G103" s="30">
        <v>-3.143688E-3</v>
      </c>
      <c r="H103" s="31">
        <f t="shared" si="17"/>
        <v>1.0020424369386258</v>
      </c>
      <c r="I103" s="31">
        <f t="shared" si="18"/>
        <v>1.003923671522944</v>
      </c>
      <c r="J103" s="31">
        <f t="shared" si="19"/>
        <v>1.007311410792777</v>
      </c>
      <c r="K103" s="31">
        <f t="shared" si="20"/>
        <v>1.0127918202472372</v>
      </c>
      <c r="L103" s="31">
        <f t="shared" si="21"/>
        <v>1.0158426244869778</v>
      </c>
      <c r="M103" s="30">
        <f t="shared" si="22"/>
        <v>7.4519500000037734E-5</v>
      </c>
      <c r="N103" s="30">
        <f t="shared" si="24"/>
        <v>8.1627000000054559E-5</v>
      </c>
      <c r="O103" s="30">
        <f t="shared" si="25"/>
        <v>1.4581999999894352E-5</v>
      </c>
      <c r="P103" s="30">
        <f t="shared" si="26"/>
        <v>-5.1868000000007446E-5</v>
      </c>
      <c r="Q103" s="30">
        <f t="shared" si="27"/>
        <v>5.6581999999990055E-4</v>
      </c>
      <c r="R103" s="30">
        <f t="shared" si="23"/>
        <v>-8.1282020634422247E-3</v>
      </c>
      <c r="S103" s="30">
        <f t="shared" si="28"/>
        <v>-7.8013978945251639E-3</v>
      </c>
      <c r="T103" s="30">
        <f t="shared" si="29"/>
        <v>-7.2583420722125425E-3</v>
      </c>
      <c r="U103" s="30">
        <f t="shared" si="30"/>
        <v>-6.3351954905702668E-3</v>
      </c>
      <c r="V103" s="30">
        <f t="shared" si="31"/>
        <v>-3.1387517868721737E-3</v>
      </c>
    </row>
    <row r="104" spans="1:22" s="29" customFormat="1" ht="20" customHeight="1" x14ac:dyDescent="0.35">
      <c r="A104" s="131"/>
      <c r="B104" s="28">
        <v>44529</v>
      </c>
      <c r="C104" s="30">
        <v>-8.1268259999999985E-3</v>
      </c>
      <c r="D104" s="30">
        <v>-7.763222000000001E-3</v>
      </c>
      <c r="E104" s="30">
        <v>-7.1618819999999979E-3</v>
      </c>
      <c r="F104" s="30">
        <v>-6.1986000000000012E-3</v>
      </c>
      <c r="G104" s="30">
        <v>-3.2908179999999996E-3</v>
      </c>
      <c r="H104" s="31">
        <f t="shared" si="17"/>
        <v>1.0020337718141183</v>
      </c>
      <c r="I104" s="31">
        <f t="shared" si="18"/>
        <v>1.0038891542087538</v>
      </c>
      <c r="J104" s="31">
        <f t="shared" si="19"/>
        <v>1.0071875896118729</v>
      </c>
      <c r="K104" s="31">
        <f t="shared" si="20"/>
        <v>1.0124743638260163</v>
      </c>
      <c r="L104" s="31">
        <f t="shared" si="21"/>
        <v>1.0165902040584229</v>
      </c>
      <c r="M104" s="30">
        <f t="shared" si="22"/>
        <v>-8.6474999999430555E-6</v>
      </c>
      <c r="N104" s="30">
        <f t="shared" si="24"/>
        <v>-3.4383000000085245E-5</v>
      </c>
      <c r="O104" s="30">
        <f t="shared" si="25"/>
        <v>-1.2293000000009478E-4</v>
      </c>
      <c r="P104" s="30">
        <f t="shared" si="26"/>
        <v>-3.1349599999982639E-4</v>
      </c>
      <c r="Q104" s="30">
        <f t="shared" si="27"/>
        <v>7.3564999999995925E-4</v>
      </c>
      <c r="R104" s="30">
        <f t="shared" si="23"/>
        <v>-8.0938926245732734E-3</v>
      </c>
      <c r="S104" s="30">
        <f t="shared" si="28"/>
        <v>-7.7331660194631668E-3</v>
      </c>
      <c r="T104" s="30">
        <f t="shared" si="29"/>
        <v>-7.1362968388468673E-3</v>
      </c>
      <c r="U104" s="30">
        <f t="shared" si="30"/>
        <v>-6.1794283120151228E-3</v>
      </c>
      <c r="V104" s="30">
        <f t="shared" si="31"/>
        <v>-3.28540919320508E-3</v>
      </c>
    </row>
    <row r="105" spans="1:22" s="29" customFormat="1" ht="20" customHeight="1" x14ac:dyDescent="0.35">
      <c r="A105" s="131"/>
      <c r="B105" s="28">
        <v>44536</v>
      </c>
      <c r="C105" s="30">
        <v>-7.7960779999999997E-3</v>
      </c>
      <c r="D105" s="30">
        <v>-7.4145339999999995E-3</v>
      </c>
      <c r="E105" s="30">
        <v>-6.824086E-3</v>
      </c>
      <c r="F105" s="30">
        <v>-5.9804539999999996E-3</v>
      </c>
      <c r="G105" s="30">
        <v>-3.4711300000000002E-3</v>
      </c>
      <c r="H105" s="31">
        <f t="shared" si="17"/>
        <v>1.0019509200730565</v>
      </c>
      <c r="I105" s="31">
        <f t="shared" si="18"/>
        <v>1.003714147414188</v>
      </c>
      <c r="J105" s="31">
        <f t="shared" si="19"/>
        <v>1.0068474231295257</v>
      </c>
      <c r="K105" s="31">
        <f t="shared" si="20"/>
        <v>1.0120327257094679</v>
      </c>
      <c r="L105" s="31">
        <f t="shared" si="21"/>
        <v>1.0175071343945432</v>
      </c>
      <c r="M105" s="30">
        <f t="shared" si="22"/>
        <v>-8.268699999995265E-5</v>
      </c>
      <c r="N105" s="30">
        <f t="shared" si="24"/>
        <v>-1.7434400000006703E-4</v>
      </c>
      <c r="O105" s="30">
        <f t="shared" si="25"/>
        <v>-3.3779599999978919E-4</v>
      </c>
      <c r="P105" s="30">
        <f t="shared" si="26"/>
        <v>-4.3629200000011841E-4</v>
      </c>
      <c r="Q105" s="30">
        <f t="shared" si="27"/>
        <v>9.0156000000005652E-4</v>
      </c>
      <c r="R105" s="30">
        <f t="shared" si="23"/>
        <v>-7.7657674029819601E-3</v>
      </c>
      <c r="S105" s="30">
        <f t="shared" si="28"/>
        <v>-7.3871141530956752E-3</v>
      </c>
      <c r="T105" s="30">
        <f t="shared" si="29"/>
        <v>-6.8008547990738855E-3</v>
      </c>
      <c r="U105" s="30">
        <f t="shared" si="30"/>
        <v>-5.9626066810577472E-3</v>
      </c>
      <c r="V105" s="30">
        <f t="shared" si="31"/>
        <v>-3.4651125926760118E-3</v>
      </c>
    </row>
    <row r="106" spans="1:22" s="29" customFormat="1" ht="20" customHeight="1" x14ac:dyDescent="0.35">
      <c r="A106" s="131"/>
      <c r="B106" s="28">
        <v>44543</v>
      </c>
      <c r="C106" s="30">
        <v>-7.319575E-3</v>
      </c>
      <c r="D106" s="30">
        <v>-7.0041125000000004E-3</v>
      </c>
      <c r="E106" s="30">
        <v>-6.5160499999999998E-3</v>
      </c>
      <c r="F106" s="30">
        <v>-5.8081599999999997E-3</v>
      </c>
      <c r="G106" s="30">
        <v>-3.5268750000000005E-3</v>
      </c>
      <c r="H106" s="31">
        <f t="shared" si="17"/>
        <v>1.0018315690272721</v>
      </c>
      <c r="I106" s="31">
        <f t="shared" si="18"/>
        <v>1.003508195613696</v>
      </c>
      <c r="J106" s="31">
        <f t="shared" si="19"/>
        <v>1.0065373256397416</v>
      </c>
      <c r="K106" s="31">
        <f t="shared" si="20"/>
        <v>1.0116840514545133</v>
      </c>
      <c r="L106" s="31">
        <f t="shared" si="21"/>
        <v>1.0177907785981064</v>
      </c>
      <c r="M106" s="30">
        <f t="shared" si="22"/>
        <v>-1.1912575000003836E-4</v>
      </c>
      <c r="N106" s="30">
        <f t="shared" si="24"/>
        <v>-2.0521075000000304E-4</v>
      </c>
      <c r="O106" s="30">
        <f t="shared" si="25"/>
        <v>-3.0803600000012076E-4</v>
      </c>
      <c r="P106" s="30">
        <f t="shared" si="26"/>
        <v>-3.445880000000315E-4</v>
      </c>
      <c r="Q106" s="30">
        <f t="shared" si="27"/>
        <v>2.7872500000000321E-4</v>
      </c>
      <c r="R106" s="30">
        <f t="shared" si="23"/>
        <v>-7.2928521506266941E-3</v>
      </c>
      <c r="S106" s="30">
        <f t="shared" si="28"/>
        <v>-6.9796408713891367E-3</v>
      </c>
      <c r="T106" s="30">
        <f t="shared" si="29"/>
        <v>-6.494866581909009E-3</v>
      </c>
      <c r="U106" s="30">
        <f t="shared" si="30"/>
        <v>-5.7913252474552923E-3</v>
      </c>
      <c r="V106" s="30">
        <f t="shared" si="31"/>
        <v>-3.5206628816347729E-3</v>
      </c>
    </row>
    <row r="107" spans="1:22" s="29" customFormat="1" ht="20" customHeight="1" x14ac:dyDescent="0.35">
      <c r="A107" s="131"/>
      <c r="B107" s="28">
        <v>44550</v>
      </c>
      <c r="C107" s="30">
        <v>-7.0452520000000018E-3</v>
      </c>
      <c r="D107" s="30">
        <v>-6.8691399999999993E-3</v>
      </c>
      <c r="E107" s="30">
        <v>-6.5287800000000005E-3</v>
      </c>
      <c r="F107" s="30">
        <v>-5.8105559999999997E-3</v>
      </c>
      <c r="G107" s="30">
        <v>-2.9963119999999997E-3</v>
      </c>
      <c r="H107" s="31">
        <f t="shared" si="17"/>
        <v>1.0017628650228076</v>
      </c>
      <c r="I107" s="31">
        <f t="shared" si="18"/>
        <v>1.0034404748938643</v>
      </c>
      <c r="J107" s="31">
        <f t="shared" si="19"/>
        <v>1.0065501389414535</v>
      </c>
      <c r="K107" s="31">
        <f t="shared" si="20"/>
        <v>1.0116888994561037</v>
      </c>
      <c r="L107" s="31">
        <f t="shared" si="21"/>
        <v>1.0150943461033928</v>
      </c>
      <c r="M107" s="30">
        <f t="shared" si="22"/>
        <v>-6.8580749999902472E-5</v>
      </c>
      <c r="N107" s="30">
        <f t="shared" si="24"/>
        <v>-6.7486249999798272E-5</v>
      </c>
      <c r="O107" s="30">
        <f t="shared" si="25"/>
        <v>1.273000000007441E-5</v>
      </c>
      <c r="P107" s="30">
        <f t="shared" si="26"/>
        <v>4.7919999999743298E-6</v>
      </c>
      <c r="Q107" s="30">
        <f t="shared" si="27"/>
        <v>-2.652814999999962E-3</v>
      </c>
      <c r="R107" s="30">
        <f t="shared" si="23"/>
        <v>-7.0204923921421969E-3</v>
      </c>
      <c r="S107" s="30">
        <f t="shared" si="28"/>
        <v>-6.8456013853478437E-3</v>
      </c>
      <c r="T107" s="30">
        <f t="shared" si="29"/>
        <v>-6.5075138217576267E-3</v>
      </c>
      <c r="U107" s="30">
        <f t="shared" si="30"/>
        <v>-5.7937073685861984E-3</v>
      </c>
      <c r="V107" s="30">
        <f t="shared" si="31"/>
        <v>-2.9918275372673442E-3</v>
      </c>
    </row>
    <row r="108" spans="1:22" s="29" customFormat="1" ht="20" customHeight="1" x14ac:dyDescent="0.35">
      <c r="A108" s="131"/>
      <c r="B108" s="28">
        <v>44557</v>
      </c>
      <c r="C108" s="30">
        <v>-6.8779019999999991E-3</v>
      </c>
      <c r="D108" s="30">
        <v>-6.7127940000000011E-3</v>
      </c>
      <c r="E108" s="30">
        <v>-6.3403779999999998E-3</v>
      </c>
      <c r="F108" s="30">
        <v>-5.4516200000000008E-3</v>
      </c>
      <c r="G108" s="30">
        <v>-2.1827399999999999E-3</v>
      </c>
      <c r="H108" s="31">
        <f t="shared" si="17"/>
        <v>1.0017209546456609</v>
      </c>
      <c r="I108" s="31">
        <f t="shared" si="18"/>
        <v>1.0033620360075619</v>
      </c>
      <c r="J108" s="31">
        <f t="shared" si="19"/>
        <v>1.0063605207449613</v>
      </c>
      <c r="K108" s="31">
        <f t="shared" si="20"/>
        <v>1.0109628969420899</v>
      </c>
      <c r="L108" s="31">
        <f t="shared" si="21"/>
        <v>1.0109734716692977</v>
      </c>
      <c r="M108" s="30">
        <f t="shared" si="22"/>
        <v>-4.1837500000152209E-5</v>
      </c>
      <c r="N108" s="30">
        <f t="shared" si="24"/>
        <v>-7.8173000000007357E-5</v>
      </c>
      <c r="O108" s="30">
        <f t="shared" si="25"/>
        <v>-1.8840199999997499E-4</v>
      </c>
      <c r="P108" s="30">
        <f t="shared" si="26"/>
        <v>-7.1787200000014738E-4</v>
      </c>
      <c r="Q108" s="30">
        <f t="shared" si="27"/>
        <v>-4.0678600000000811E-3</v>
      </c>
      <c r="R108" s="30">
        <f t="shared" si="23"/>
        <v>-6.8543033660650732E-3</v>
      </c>
      <c r="S108" s="30">
        <f t="shared" si="28"/>
        <v>-6.6903135287407212E-3</v>
      </c>
      <c r="T108" s="30">
        <f t="shared" si="29"/>
        <v>-6.3203202171056017E-3</v>
      </c>
      <c r="U108" s="30">
        <f t="shared" si="30"/>
        <v>-5.4367868867611913E-3</v>
      </c>
      <c r="V108" s="30">
        <f t="shared" si="31"/>
        <v>-2.1803595553251398E-3</v>
      </c>
    </row>
    <row r="109" spans="1:22" s="29" customFormat="1" ht="20" customHeight="1" x14ac:dyDescent="0.35">
      <c r="A109" s="131"/>
      <c r="B109" s="28">
        <v>44564</v>
      </c>
      <c r="C109" s="30">
        <v>-6.4675380000000001E-3</v>
      </c>
      <c r="D109" s="30">
        <v>-6.3018960000000004E-3</v>
      </c>
      <c r="E109" s="30">
        <v>-5.9235260000000001E-3</v>
      </c>
      <c r="F109" s="30">
        <v>-5.0121140000000007E-3</v>
      </c>
      <c r="G109" s="30">
        <v>-1.6611579999999998E-3</v>
      </c>
      <c r="H109" s="31">
        <f t="shared" si="17"/>
        <v>1.0016181923625358</v>
      </c>
      <c r="I109" s="31">
        <f t="shared" si="18"/>
        <v>1.0031559174547764</v>
      </c>
      <c r="J109" s="31">
        <f t="shared" si="19"/>
        <v>1.0059411047724345</v>
      </c>
      <c r="K109" s="31">
        <f t="shared" si="20"/>
        <v>1.0100746388760662</v>
      </c>
      <c r="L109" s="31">
        <f t="shared" si="21"/>
        <v>1.0083403787697962</v>
      </c>
      <c r="M109" s="30">
        <f t="shared" si="22"/>
        <v>-1.0259099999983358E-4</v>
      </c>
      <c r="N109" s="30">
        <f t="shared" si="24"/>
        <v>-2.0544900000012459E-4</v>
      </c>
      <c r="O109" s="30">
        <f t="shared" si="25"/>
        <v>-4.1685200000002971E-4</v>
      </c>
      <c r="P109" s="30">
        <f t="shared" si="26"/>
        <v>-8.7901200000001039E-4</v>
      </c>
      <c r="Q109" s="30">
        <f t="shared" si="27"/>
        <v>-2.607910000000093E-3</v>
      </c>
      <c r="R109" s="30">
        <f t="shared" si="23"/>
        <v>-6.446668491793317E-3</v>
      </c>
      <c r="S109" s="30">
        <f t="shared" si="28"/>
        <v>-6.2820806999064338E-3</v>
      </c>
      <c r="T109" s="30">
        <f t="shared" si="29"/>
        <v>-5.9060165095635719E-3</v>
      </c>
      <c r="U109" s="30">
        <f t="shared" si="30"/>
        <v>-4.9995743154823691E-3</v>
      </c>
      <c r="V109" s="30">
        <f t="shared" si="31"/>
        <v>-1.6597790407115731E-3</v>
      </c>
    </row>
    <row r="110" spans="1:22" s="29" customFormat="1" ht="20" customHeight="1" x14ac:dyDescent="0.35">
      <c r="A110" s="131"/>
      <c r="B110" s="28">
        <v>44571</v>
      </c>
      <c r="C110" s="30">
        <v>-6.2901799999999994E-3</v>
      </c>
      <c r="D110" s="30">
        <v>-6.1051459999999988E-3</v>
      </c>
      <c r="E110" s="30">
        <v>-5.6865580000000004E-3</v>
      </c>
      <c r="F110" s="30">
        <v>-4.7044340000000004E-3</v>
      </c>
      <c r="G110" s="30">
        <v>-1.3029300000000001E-3</v>
      </c>
      <c r="H110" s="31">
        <f t="shared" si="17"/>
        <v>1.0015737820972672</v>
      </c>
      <c r="I110" s="31">
        <f t="shared" si="18"/>
        <v>1.0030572368453288</v>
      </c>
      <c r="J110" s="31">
        <f t="shared" si="19"/>
        <v>1.0057027571622124</v>
      </c>
      <c r="K110" s="31">
        <f t="shared" si="20"/>
        <v>1.0094532705485022</v>
      </c>
      <c r="L110" s="31">
        <f t="shared" si="21"/>
        <v>1.0065359164884722</v>
      </c>
      <c r="M110" s="30">
        <f t="shared" si="22"/>
        <v>-4.4339500000117593E-5</v>
      </c>
      <c r="N110" s="30">
        <f t="shared" si="24"/>
        <v>-9.8375000000044797E-5</v>
      </c>
      <c r="O110" s="30">
        <f t="shared" si="25"/>
        <v>-2.3696800000002705E-4</v>
      </c>
      <c r="P110" s="30">
        <f t="shared" si="26"/>
        <v>-6.1535999999997747E-4</v>
      </c>
      <c r="Q110" s="30">
        <f t="shared" si="27"/>
        <v>-1.7911399999999407E-3</v>
      </c>
      <c r="R110" s="30">
        <f t="shared" si="23"/>
        <v>-6.2704382325624586E-3</v>
      </c>
      <c r="S110" s="30">
        <f t="shared" si="28"/>
        <v>-6.0865474643327921E-3</v>
      </c>
      <c r="T110" s="30">
        <f t="shared" si="29"/>
        <v>-5.6704201331851944E-3</v>
      </c>
      <c r="U110" s="30">
        <f t="shared" si="30"/>
        <v>-4.6933854828332677E-3</v>
      </c>
      <c r="V110" s="30">
        <f t="shared" si="31"/>
        <v>-1.3020815552355902E-3</v>
      </c>
    </row>
    <row r="111" spans="1:22" s="29" customFormat="1" ht="20" customHeight="1" x14ac:dyDescent="0.35">
      <c r="A111" s="131"/>
      <c r="B111" s="28">
        <v>44578</v>
      </c>
      <c r="C111" s="30">
        <v>-6.4416320000000001E-3</v>
      </c>
      <c r="D111" s="30">
        <v>-6.2545959999999986E-3</v>
      </c>
      <c r="E111" s="30">
        <v>-5.8166620000000002E-3</v>
      </c>
      <c r="F111" s="30">
        <v>-4.7579019999999996E-3</v>
      </c>
      <c r="G111" s="30">
        <v>-1.0834760000000001E-3</v>
      </c>
      <c r="H111" s="31">
        <f t="shared" si="17"/>
        <v>1.0016117054033193</v>
      </c>
      <c r="I111" s="31">
        <f t="shared" si="18"/>
        <v>1.0031321930978703</v>
      </c>
      <c r="J111" s="31">
        <f t="shared" si="19"/>
        <v>1.0058336116258904</v>
      </c>
      <c r="K111" s="31">
        <f t="shared" si="20"/>
        <v>1.0095612232153519</v>
      </c>
      <c r="L111" s="31">
        <f t="shared" si="21"/>
        <v>1.0054320805371757</v>
      </c>
      <c r="M111" s="30">
        <f t="shared" si="22"/>
        <v>3.7862999999927202E-5</v>
      </c>
      <c r="N111" s="30">
        <f t="shared" si="24"/>
        <v>7.4725000000231572E-5</v>
      </c>
      <c r="O111" s="30">
        <f t="shared" si="25"/>
        <v>1.3010400000014043E-4</v>
      </c>
      <c r="P111" s="30">
        <f t="shared" si="26"/>
        <v>1.0693599999999464E-4</v>
      </c>
      <c r="Q111" s="30">
        <f t="shared" si="27"/>
        <v>-1.0972699999999692E-3</v>
      </c>
      <c r="R111" s="30">
        <f t="shared" si="23"/>
        <v>-6.4209291657871814E-3</v>
      </c>
      <c r="S111" s="30">
        <f t="shared" si="28"/>
        <v>-6.2350767306883492E-3</v>
      </c>
      <c r="T111" s="30">
        <f t="shared" si="29"/>
        <v>-5.7997779736754795E-3</v>
      </c>
      <c r="U111" s="30">
        <f t="shared" si="30"/>
        <v>-4.7466011142188735E-3</v>
      </c>
      <c r="V111" s="30">
        <f t="shared" si="31"/>
        <v>-1.0828892518069955E-3</v>
      </c>
    </row>
    <row r="112" spans="1:22" s="29" customFormat="1" ht="20" customHeight="1" x14ac:dyDescent="0.35">
      <c r="A112" s="131"/>
      <c r="B112" s="28">
        <v>44585</v>
      </c>
      <c r="C112" s="30">
        <v>-6.2940339999999996E-3</v>
      </c>
      <c r="D112" s="30">
        <v>-6.4566700000000012E-3</v>
      </c>
      <c r="E112" s="30">
        <v>-6.0977200000000009E-3</v>
      </c>
      <c r="F112" s="30">
        <v>-4.9261619999999996E-3</v>
      </c>
      <c r="G112" s="30">
        <v>-1.2221140000000001E-3</v>
      </c>
      <c r="H112" s="31">
        <f t="shared" si="17"/>
        <v>1.0015747471140712</v>
      </c>
      <c r="I112" s="31">
        <f t="shared" si="18"/>
        <v>1.0032335516856619</v>
      </c>
      <c r="J112" s="31">
        <f t="shared" si="19"/>
        <v>1.0061163489400375</v>
      </c>
      <c r="K112" s="31">
        <f t="shared" si="20"/>
        <v>1.0099010179288401</v>
      </c>
      <c r="L112" s="31">
        <f t="shared" si="21"/>
        <v>1.0061292776181878</v>
      </c>
      <c r="M112" s="30">
        <f t="shared" si="22"/>
        <v>-3.6899499999930057E-5</v>
      </c>
      <c r="N112" s="30">
        <f t="shared" si="24"/>
        <v>1.0103700000004876E-4</v>
      </c>
      <c r="O112" s="30">
        <f t="shared" si="25"/>
        <v>2.8105800000007659E-4</v>
      </c>
      <c r="P112" s="30">
        <f t="shared" si="26"/>
        <v>3.3652000000007691E-4</v>
      </c>
      <c r="Q112" s="30">
        <f t="shared" si="27"/>
        <v>6.9319000000002797E-4</v>
      </c>
      <c r="R112" s="30">
        <f t="shared" si="23"/>
        <v>-6.2742680589134014E-3</v>
      </c>
      <c r="S112" s="30">
        <f t="shared" si="28"/>
        <v>-6.4358704955101986E-3</v>
      </c>
      <c r="T112" s="30">
        <f t="shared" si="29"/>
        <v>-6.0791666356293517E-3</v>
      </c>
      <c r="U112" s="30">
        <f t="shared" si="30"/>
        <v>-4.9140483633832721E-3</v>
      </c>
      <c r="V112" s="30">
        <f t="shared" si="31"/>
        <v>-1.2213675228098797E-3</v>
      </c>
    </row>
    <row r="113" spans="1:22" s="29" customFormat="1" ht="20" customHeight="1" x14ac:dyDescent="0.35">
      <c r="A113" s="131"/>
      <c r="B113" s="28">
        <v>44592</v>
      </c>
      <c r="C113" s="30">
        <v>-6.035398E-3</v>
      </c>
      <c r="D113" s="30">
        <v>-6.3418200000000006E-3</v>
      </c>
      <c r="E113" s="30">
        <v>-5.3816980000000007E-3</v>
      </c>
      <c r="F113" s="30">
        <v>-3.293144E-3</v>
      </c>
      <c r="G113" s="30">
        <v>9.9008600000000005E-4</v>
      </c>
      <c r="H113" s="31">
        <f t="shared" si="17"/>
        <v>1.0015099883861374</v>
      </c>
      <c r="I113" s="31">
        <f t="shared" si="18"/>
        <v>1.0031759426530715</v>
      </c>
      <c r="J113" s="31">
        <f t="shared" si="19"/>
        <v>1.005396205349731</v>
      </c>
      <c r="K113" s="31">
        <f t="shared" si="20"/>
        <v>1.0066080252912919</v>
      </c>
      <c r="L113" s="31">
        <f t="shared" si="21"/>
        <v>0.99506180318376092</v>
      </c>
      <c r="M113" s="30">
        <f t="shared" si="22"/>
        <v>-6.4659000000048131E-5</v>
      </c>
      <c r="N113" s="30">
        <f t="shared" si="24"/>
        <v>-5.7424999999920026E-5</v>
      </c>
      <c r="O113" s="30">
        <f t="shared" si="25"/>
        <v>-7.1602200000009581E-4</v>
      </c>
      <c r="P113" s="30">
        <f t="shared" si="26"/>
        <v>-3.2660360000000589E-3</v>
      </c>
      <c r="Q113" s="30">
        <f t="shared" si="27"/>
        <v>-1.1060999999999955E-2</v>
      </c>
      <c r="R113" s="30">
        <f t="shared" si="23"/>
        <v>-6.0172215712022137E-3</v>
      </c>
      <c r="S113" s="30">
        <f t="shared" si="28"/>
        <v>-6.3217531021707574E-3</v>
      </c>
      <c r="T113" s="30">
        <f t="shared" si="29"/>
        <v>-5.3672426064647061E-3</v>
      </c>
      <c r="U113" s="30">
        <f t="shared" si="30"/>
        <v>-3.2877275486470348E-3</v>
      </c>
      <c r="V113" s="30">
        <f t="shared" si="31"/>
        <v>9.9057629694243587E-4</v>
      </c>
    </row>
    <row r="114" spans="1:22" s="29" customFormat="1" ht="20" customHeight="1" x14ac:dyDescent="0.35">
      <c r="A114" s="131"/>
      <c r="B114" s="28">
        <v>44599</v>
      </c>
      <c r="C114" s="30">
        <v>-5.6131719999999996E-3</v>
      </c>
      <c r="D114" s="30">
        <v>-6.2625120000000013E-3</v>
      </c>
      <c r="E114" s="30">
        <v>-4.5989719999999998E-3</v>
      </c>
      <c r="F114" s="30">
        <v>-1.4570119999999999E-3</v>
      </c>
      <c r="G114" s="30">
        <v>3.4957239999999995E-3</v>
      </c>
      <c r="H114" s="31">
        <f t="shared" si="17"/>
        <v>1.0014042780763517</v>
      </c>
      <c r="I114" s="31">
        <f t="shared" si="18"/>
        <v>1.0031361635029479</v>
      </c>
      <c r="J114" s="31">
        <f t="shared" si="19"/>
        <v>1.0046095635021779</v>
      </c>
      <c r="K114" s="31">
        <f t="shared" si="20"/>
        <v>1.0029182738950324</v>
      </c>
      <c r="L114" s="31">
        <f t="shared" si="21"/>
        <v>0.98267324499446063</v>
      </c>
      <c r="M114" s="30">
        <f t="shared" si="22"/>
        <v>-1.0555649999990746E-4</v>
      </c>
      <c r="N114" s="30">
        <f t="shared" si="24"/>
        <v>-3.9654000000090548E-5</v>
      </c>
      <c r="O114" s="30">
        <f t="shared" si="25"/>
        <v>-7.8272599999991269E-4</v>
      </c>
      <c r="P114" s="30">
        <f t="shared" si="26"/>
        <v>-3.6722639999999325E-3</v>
      </c>
      <c r="Q114" s="30">
        <f t="shared" si="27"/>
        <v>-1.2528190000000041E-2</v>
      </c>
      <c r="R114" s="30">
        <f t="shared" si="23"/>
        <v>-5.5974475850880667E-3</v>
      </c>
      <c r="S114" s="30">
        <f t="shared" si="28"/>
        <v>-6.2429433426849368E-3</v>
      </c>
      <c r="T114" s="30">
        <f t="shared" si="29"/>
        <v>-4.5884129214421865E-3</v>
      </c>
      <c r="U114" s="30">
        <f t="shared" si="30"/>
        <v>-1.455951073339401E-3</v>
      </c>
      <c r="V114" s="30">
        <f t="shared" si="31"/>
        <v>3.5018411690432849E-3</v>
      </c>
    </row>
    <row r="115" spans="1:22" s="29" customFormat="1" ht="20" customHeight="1" x14ac:dyDescent="0.35">
      <c r="A115" s="131"/>
      <c r="B115" s="28">
        <v>44606</v>
      </c>
      <c r="C115" s="30">
        <v>-5.9223519999999997E-3</v>
      </c>
      <c r="D115" s="30">
        <v>-6.6225240000000012E-3</v>
      </c>
      <c r="E115" s="30">
        <v>-5.2387459999999999E-3</v>
      </c>
      <c r="F115" s="30">
        <v>-2.1036179999999998E-3</v>
      </c>
      <c r="G115" s="30">
        <v>3.3712740000000001E-3</v>
      </c>
      <c r="H115" s="31">
        <f t="shared" si="17"/>
        <v>1.001481684611556</v>
      </c>
      <c r="I115" s="31">
        <f t="shared" si="18"/>
        <v>1.0033167502840599</v>
      </c>
      <c r="J115" s="31">
        <f t="shared" si="19"/>
        <v>1.0052524922236681</v>
      </c>
      <c r="K115" s="31">
        <f t="shared" si="20"/>
        <v>1.0042160988423774</v>
      </c>
      <c r="L115" s="31">
        <f t="shared" si="21"/>
        <v>0.98328490370373844</v>
      </c>
      <c r="M115" s="30">
        <f t="shared" si="22"/>
        <v>7.7294999999875613E-5</v>
      </c>
      <c r="N115" s="30">
        <f t="shared" si="24"/>
        <v>1.8000600000010674E-4</v>
      </c>
      <c r="O115" s="30">
        <f t="shared" si="25"/>
        <v>6.3977400000006263E-4</v>
      </c>
      <c r="P115" s="30">
        <f t="shared" si="26"/>
        <v>1.2932119999999213E-3</v>
      </c>
      <c r="Q115" s="30">
        <f t="shared" si="27"/>
        <v>6.2225000000007446E-4</v>
      </c>
      <c r="R115" s="30">
        <f t="shared" si="23"/>
        <v>-5.9048494425418818E-3</v>
      </c>
      <c r="S115" s="30">
        <f t="shared" si="28"/>
        <v>-6.6006434161434147E-3</v>
      </c>
      <c r="T115" s="30">
        <f t="shared" si="29"/>
        <v>-5.225047701248875E-3</v>
      </c>
      <c r="U115" s="30">
        <f t="shared" si="30"/>
        <v>-2.1014069463308749E-3</v>
      </c>
      <c r="V115" s="30">
        <f t="shared" si="31"/>
        <v>3.3769631356066476E-3</v>
      </c>
    </row>
    <row r="116" spans="1:22" s="29" customFormat="1" ht="20" customHeight="1" x14ac:dyDescent="0.35">
      <c r="A116" s="131"/>
      <c r="B116" s="28">
        <v>44613</v>
      </c>
      <c r="C116" s="30">
        <v>-5.8750099999999991E-3</v>
      </c>
      <c r="D116" s="30">
        <v>-6.6246200000000003E-3</v>
      </c>
      <c r="E116" s="30">
        <v>-5.2391319999999996E-3</v>
      </c>
      <c r="F116" s="30">
        <v>-2.1430239999999999E-3</v>
      </c>
      <c r="G116" s="30">
        <v>3.2146519999999997E-3</v>
      </c>
      <c r="H116" s="31">
        <f t="shared" si="17"/>
        <v>1.0014698316452209</v>
      </c>
      <c r="I116" s="31">
        <f t="shared" si="18"/>
        <v>1.0033178017605651</v>
      </c>
      <c r="J116" s="31">
        <f t="shared" si="19"/>
        <v>1.0052528802512049</v>
      </c>
      <c r="K116" s="31">
        <f t="shared" si="20"/>
        <v>1.0042952462404007</v>
      </c>
      <c r="L116" s="31">
        <f t="shared" si="21"/>
        <v>0.98405522552867264</v>
      </c>
      <c r="M116" s="30">
        <f t="shared" si="22"/>
        <v>-1.1835499999892051E-5</v>
      </c>
      <c r="N116" s="30">
        <f t="shared" si="24"/>
        <v>1.0479999998565846E-6</v>
      </c>
      <c r="O116" s="30">
        <f t="shared" si="25"/>
        <v>3.8599999985029322E-7</v>
      </c>
      <c r="P116" s="30">
        <f t="shared" si="26"/>
        <v>7.8811999999881622E-5</v>
      </c>
      <c r="Q116" s="30">
        <f t="shared" si="27"/>
        <v>7.831099999999234E-4</v>
      </c>
      <c r="R116" s="30">
        <f t="shared" si="23"/>
        <v>-5.8577858758912527E-3</v>
      </c>
      <c r="S116" s="30">
        <f t="shared" si="28"/>
        <v>-6.6027255790126471E-3</v>
      </c>
      <c r="T116" s="30">
        <f t="shared" si="29"/>
        <v>-5.2254316843063364E-3</v>
      </c>
      <c r="U116" s="30">
        <f t="shared" si="30"/>
        <v>-2.1407293635140601E-3</v>
      </c>
      <c r="V116" s="30">
        <f t="shared" si="31"/>
        <v>3.2198245348886712E-3</v>
      </c>
    </row>
    <row r="117" spans="1:22" s="29" customFormat="1" ht="20" customHeight="1" x14ac:dyDescent="0.35">
      <c r="A117" s="131"/>
      <c r="B117" s="28">
        <v>44620</v>
      </c>
      <c r="C117" s="30">
        <v>-6.5588339999999986E-3</v>
      </c>
      <c r="D117" s="30">
        <v>-6.6995179999999998E-3</v>
      </c>
      <c r="E117" s="30">
        <v>-6.0306040000000002E-3</v>
      </c>
      <c r="F117" s="30">
        <v>-3.9870599999999997E-3</v>
      </c>
      <c r="G117" s="30">
        <v>1.2266859999999998E-3</v>
      </c>
      <c r="H117" s="31">
        <f t="shared" si="17"/>
        <v>1.0016410535570492</v>
      </c>
      <c r="I117" s="31">
        <f t="shared" si="18"/>
        <v>1.0033553757124725</v>
      </c>
      <c r="J117" s="31">
        <f t="shared" si="19"/>
        <v>1.0060488247011656</v>
      </c>
      <c r="K117" s="31">
        <f t="shared" si="20"/>
        <v>1.0080059979714746</v>
      </c>
      <c r="L117" s="31">
        <f t="shared" si="21"/>
        <v>0.99388534108512971</v>
      </c>
      <c r="M117" s="30">
        <f t="shared" si="22"/>
        <v>1.7095600000004434E-4</v>
      </c>
      <c r="N117" s="30">
        <f t="shared" si="24"/>
        <v>3.7449000000215411E-5</v>
      </c>
      <c r="O117" s="30">
        <f t="shared" si="25"/>
        <v>7.9147199999995098E-4</v>
      </c>
      <c r="P117" s="30">
        <f t="shared" si="26"/>
        <v>3.6880720000000587E-3</v>
      </c>
      <c r="Q117" s="30">
        <f t="shared" si="27"/>
        <v>9.9398299999999187E-3</v>
      </c>
      <c r="R117" s="30">
        <f t="shared" si="23"/>
        <v>-6.5373717962592393E-3</v>
      </c>
      <c r="S117" s="30">
        <f t="shared" si="28"/>
        <v>-6.6771262618062766E-3</v>
      </c>
      <c r="T117" s="30">
        <f t="shared" si="29"/>
        <v>-6.0124564063404051E-3</v>
      </c>
      <c r="U117" s="30">
        <f t="shared" si="30"/>
        <v>-3.9791222292384631E-3</v>
      </c>
      <c r="V117" s="30">
        <f t="shared" si="31"/>
        <v>1.2274386870101406E-3</v>
      </c>
    </row>
    <row r="118" spans="1:22" s="29" customFormat="1" ht="20" customHeight="1" x14ac:dyDescent="0.35">
      <c r="A118" s="131"/>
      <c r="B118" s="28">
        <v>44627</v>
      </c>
      <c r="C118" s="30">
        <v>-6.7995320000000005E-3</v>
      </c>
      <c r="D118" s="30">
        <v>-6.7989560000000001E-3</v>
      </c>
      <c r="E118" s="30">
        <v>-5.695884E-3</v>
      </c>
      <c r="F118" s="30">
        <v>-3.1907300000000001E-3</v>
      </c>
      <c r="G118" s="30">
        <v>2.4269400000000003E-3</v>
      </c>
      <c r="H118" s="31">
        <f t="shared" si="17"/>
        <v>1.0017013286201191</v>
      </c>
      <c r="I118" s="31">
        <f t="shared" si="18"/>
        <v>1.0034052627785546</v>
      </c>
      <c r="J118" s="31">
        <f t="shared" si="19"/>
        <v>1.0057121363898611</v>
      </c>
      <c r="K118" s="31">
        <f t="shared" si="20"/>
        <v>1.0064018648971189</v>
      </c>
      <c r="L118" s="31">
        <f t="shared" si="21"/>
        <v>0.98793862856563663</v>
      </c>
      <c r="M118" s="30">
        <f t="shared" si="22"/>
        <v>6.017449999992409E-5</v>
      </c>
      <c r="N118" s="30">
        <f t="shared" si="24"/>
        <v>4.9718999999722318E-5</v>
      </c>
      <c r="O118" s="30">
        <f t="shared" si="25"/>
        <v>-3.3471999999977849E-4</v>
      </c>
      <c r="P118" s="30">
        <f t="shared" si="26"/>
        <v>-1.5926599999999405E-3</v>
      </c>
      <c r="Q118" s="30">
        <f t="shared" si="27"/>
        <v>-6.0012699999999674E-3</v>
      </c>
      <c r="R118" s="30">
        <f t="shared" si="23"/>
        <v>-6.7764674878608711E-3</v>
      </c>
      <c r="S118" s="30">
        <f t="shared" si="28"/>
        <v>-6.7758953909413666E-3</v>
      </c>
      <c r="T118" s="30">
        <f t="shared" si="29"/>
        <v>-5.6796932076066398E-3</v>
      </c>
      <c r="U118" s="30">
        <f t="shared" si="30"/>
        <v>-3.1856450307259365E-3</v>
      </c>
      <c r="V118" s="30">
        <f t="shared" si="31"/>
        <v>2.4298874027894879E-3</v>
      </c>
    </row>
    <row r="119" spans="1:22" s="29" customFormat="1" ht="20" customHeight="1" x14ac:dyDescent="0.35">
      <c r="A119" s="131"/>
      <c r="B119" s="28">
        <v>44634</v>
      </c>
      <c r="C119" s="30">
        <v>-6.2459079999999997E-3</v>
      </c>
      <c r="D119" s="30">
        <v>-6.6522679999999994E-3</v>
      </c>
      <c r="E119" s="30">
        <v>-5.2433259999999995E-3</v>
      </c>
      <c r="F119" s="30">
        <v>-1.8707439999999999E-3</v>
      </c>
      <c r="G119" s="30">
        <v>4.4611799999999995E-3</v>
      </c>
      <c r="H119" s="31">
        <f t="shared" si="17"/>
        <v>1.0015626967399935</v>
      </c>
      <c r="I119" s="31">
        <f t="shared" si="18"/>
        <v>1.0033316717217255</v>
      </c>
      <c r="J119" s="31">
        <f t="shared" si="19"/>
        <v>1.0052570962906258</v>
      </c>
      <c r="K119" s="31">
        <f t="shared" si="20"/>
        <v>1.0037484961037466</v>
      </c>
      <c r="L119" s="31">
        <f t="shared" si="21"/>
        <v>0.97794103712796332</v>
      </c>
      <c r="M119" s="30">
        <f t="shared" si="22"/>
        <v>-1.3840599999981009E-4</v>
      </c>
      <c r="N119" s="30">
        <f t="shared" si="24"/>
        <v>-7.334400000001558E-5</v>
      </c>
      <c r="O119" s="30">
        <f t="shared" si="25"/>
        <v>-4.5255799999999966E-4</v>
      </c>
      <c r="P119" s="30">
        <f t="shared" si="26"/>
        <v>-2.6399719999999527E-3</v>
      </c>
      <c r="Q119" s="30">
        <f t="shared" si="27"/>
        <v>-1.0171200000000036E-2</v>
      </c>
      <c r="R119" s="30">
        <f t="shared" si="23"/>
        <v>-6.2264428635295799E-3</v>
      </c>
      <c r="S119" s="30">
        <f t="shared" si="28"/>
        <v>-6.6301906471769589E-3</v>
      </c>
      <c r="T119" s="30">
        <f t="shared" si="29"/>
        <v>-5.229603760097068E-3</v>
      </c>
      <c r="U119" s="30">
        <f t="shared" si="30"/>
        <v>-1.8689952491016681E-3</v>
      </c>
      <c r="V119" s="30">
        <f t="shared" si="31"/>
        <v>4.4711458778432522E-3</v>
      </c>
    </row>
    <row r="120" spans="1:22" s="29" customFormat="1" ht="20" customHeight="1" x14ac:dyDescent="0.35">
      <c r="A120" s="131"/>
      <c r="B120" s="28">
        <v>44641</v>
      </c>
      <c r="C120" s="30">
        <v>-5.8336039999999992E-3</v>
      </c>
      <c r="D120" s="30">
        <v>-6.5925319999999999E-3</v>
      </c>
      <c r="E120" s="30">
        <v>-4.8218639999999995E-3</v>
      </c>
      <c r="F120" s="30">
        <v>-8.7359199999999997E-4</v>
      </c>
      <c r="G120" s="30">
        <v>5.5029839999999998E-3</v>
      </c>
      <c r="H120" s="31">
        <f t="shared" si="17"/>
        <v>1.0014594649839139</v>
      </c>
      <c r="I120" s="31">
        <f t="shared" si="18"/>
        <v>1.003301704658885</v>
      </c>
      <c r="J120" s="31">
        <f t="shared" si="19"/>
        <v>1.0048335078937856</v>
      </c>
      <c r="K120" s="31">
        <f t="shared" si="20"/>
        <v>1.0017487112152774</v>
      </c>
      <c r="L120" s="31">
        <f t="shared" si="21"/>
        <v>0.97286016737147385</v>
      </c>
      <c r="M120" s="30">
        <f t="shared" si="22"/>
        <v>-1.0307600000012654E-4</v>
      </c>
      <c r="N120" s="30">
        <f t="shared" si="24"/>
        <v>-2.9867999999891521E-5</v>
      </c>
      <c r="O120" s="30">
        <f t="shared" si="25"/>
        <v>-4.2146199999998612E-4</v>
      </c>
      <c r="P120" s="30">
        <f t="shared" si="26"/>
        <v>-1.9943039999999581E-3</v>
      </c>
      <c r="Q120" s="30">
        <f t="shared" si="27"/>
        <v>-5.2090199999999731E-3</v>
      </c>
      <c r="R120" s="30">
        <f t="shared" si="23"/>
        <v>-5.8166215711544789E-3</v>
      </c>
      <c r="S120" s="30">
        <f t="shared" si="28"/>
        <v>-6.5708489358449196E-3</v>
      </c>
      <c r="T120" s="30">
        <f t="shared" si="29"/>
        <v>-4.8102574763025929E-3</v>
      </c>
      <c r="U120" s="30">
        <f t="shared" si="30"/>
        <v>-8.7321052959998813E-4</v>
      </c>
      <c r="V120" s="30">
        <f t="shared" si="31"/>
        <v>5.5181532290287105E-3</v>
      </c>
    </row>
    <row r="121" spans="1:22" s="29" customFormat="1" ht="20" customHeight="1" x14ac:dyDescent="0.35">
      <c r="A121" s="131"/>
      <c r="B121" s="28">
        <v>44648</v>
      </c>
      <c r="C121" s="30">
        <v>-5.3227420000000001E-3</v>
      </c>
      <c r="D121" s="30">
        <v>-6.3073499999999998E-3</v>
      </c>
      <c r="E121" s="30">
        <v>-3.8156800000000001E-3</v>
      </c>
      <c r="F121" s="30">
        <v>9.9528599999999996E-4</v>
      </c>
      <c r="G121" s="30">
        <v>7.3797259999999996E-3</v>
      </c>
      <c r="H121" s="31">
        <f t="shared" si="17"/>
        <v>1.0013315712547934</v>
      </c>
      <c r="I121" s="31">
        <f t="shared" si="18"/>
        <v>1.0031586530646932</v>
      </c>
      <c r="J121" s="31">
        <f t="shared" si="19"/>
        <v>1.0038229689747811</v>
      </c>
      <c r="K121" s="31">
        <f t="shared" si="20"/>
        <v>0.99801140787453146</v>
      </c>
      <c r="L121" s="31">
        <f t="shared" si="21"/>
        <v>0.96377382815036972</v>
      </c>
      <c r="M121" s="30">
        <f t="shared" si="22"/>
        <v>-1.2771549999995307E-4</v>
      </c>
      <c r="N121" s="30">
        <f t="shared" si="24"/>
        <v>-1.4259100000013392E-4</v>
      </c>
      <c r="O121" s="30">
        <f t="shared" si="25"/>
        <v>-1.006184000000015E-3</v>
      </c>
      <c r="P121" s="30">
        <f t="shared" si="26"/>
        <v>-3.7377559999999853E-3</v>
      </c>
      <c r="Q121" s="30">
        <f t="shared" si="27"/>
        <v>-9.3837100000000746E-3</v>
      </c>
      <c r="R121" s="30">
        <f t="shared" si="23"/>
        <v>-5.3086013090085649E-3</v>
      </c>
      <c r="S121" s="30">
        <f t="shared" si="28"/>
        <v>-6.2875004226586872E-3</v>
      </c>
      <c r="T121" s="30">
        <f t="shared" si="29"/>
        <v>-3.8084095432538989E-3</v>
      </c>
      <c r="U121" s="30">
        <f t="shared" si="30"/>
        <v>9.9578146147250024E-4</v>
      </c>
      <c r="V121" s="30">
        <f t="shared" si="31"/>
        <v>7.4070232854313023E-3</v>
      </c>
    </row>
    <row r="122" spans="1:22" s="29" customFormat="1" ht="20" customHeight="1" x14ac:dyDescent="0.35">
      <c r="A122" s="131"/>
      <c r="B122" s="28">
        <v>44655</v>
      </c>
      <c r="C122" s="30">
        <v>-4.997736E-3</v>
      </c>
      <c r="D122" s="30">
        <v>-6.1186859999999999E-3</v>
      </c>
      <c r="E122" s="30">
        <v>-3.3982119999999998E-3</v>
      </c>
      <c r="F122" s="30">
        <v>1.7157299999999999E-3</v>
      </c>
      <c r="G122" s="30">
        <v>8.2330440000000019E-3</v>
      </c>
      <c r="H122" s="31">
        <f t="shared" si="17"/>
        <v>1.0012502148678406</v>
      </c>
      <c r="I122" s="31">
        <f t="shared" si="18"/>
        <v>1.0030640275658089</v>
      </c>
      <c r="J122" s="31">
        <f t="shared" si="19"/>
        <v>1.003403992468296</v>
      </c>
      <c r="K122" s="31">
        <f t="shared" si="20"/>
        <v>0.99657442073044566</v>
      </c>
      <c r="L122" s="31">
        <f t="shared" si="21"/>
        <v>0.9596705600787665</v>
      </c>
      <c r="M122" s="30">
        <f t="shared" si="22"/>
        <v>-8.125150000003916E-5</v>
      </c>
      <c r="N122" s="30">
        <f t="shared" si="24"/>
        <v>-9.4331999999784397E-5</v>
      </c>
      <c r="O122" s="30">
        <f t="shared" si="25"/>
        <v>-4.1746800000007491E-4</v>
      </c>
      <c r="P122" s="30">
        <f t="shared" si="26"/>
        <v>-1.440887999999975E-3</v>
      </c>
      <c r="Q122" s="30">
        <f t="shared" si="27"/>
        <v>-4.2665899999999582E-3</v>
      </c>
      <c r="R122" s="30">
        <f t="shared" si="23"/>
        <v>-4.9852680965146723E-3</v>
      </c>
      <c r="S122" s="30">
        <f t="shared" si="28"/>
        <v>-6.1000049613726404E-3</v>
      </c>
      <c r="T122" s="30">
        <f t="shared" si="29"/>
        <v>-3.3924446123864138E-3</v>
      </c>
      <c r="U122" s="30">
        <f t="shared" si="30"/>
        <v>1.7172027068517171E-3</v>
      </c>
      <c r="V122" s="30">
        <f t="shared" si="31"/>
        <v>8.2670287085964134E-3</v>
      </c>
    </row>
    <row r="123" spans="1:22" s="29" customFormat="1" ht="20" customHeight="1" x14ac:dyDescent="0.35">
      <c r="A123" s="131"/>
      <c r="B123" s="28">
        <v>44662</v>
      </c>
      <c r="C123" s="30">
        <v>-4.6879499999999998E-3</v>
      </c>
      <c r="D123" s="30">
        <v>-5.8497825000000002E-3</v>
      </c>
      <c r="E123" s="30">
        <v>-2.8244724999999999E-3</v>
      </c>
      <c r="F123" s="30">
        <v>2.5997375000000001E-3</v>
      </c>
      <c r="G123" s="30">
        <v>9.3959999999999998E-3</v>
      </c>
      <c r="H123" s="31">
        <f t="shared" si="17"/>
        <v>1.0011726745457268</v>
      </c>
      <c r="I123" s="31">
        <f t="shared" si="18"/>
        <v>1.0029291729178655</v>
      </c>
      <c r="J123" s="31">
        <f t="shared" si="19"/>
        <v>1.0028284650805448</v>
      </c>
      <c r="K123" s="31">
        <f t="shared" si="20"/>
        <v>0.99481401887298959</v>
      </c>
      <c r="L123" s="31">
        <f t="shared" si="21"/>
        <v>0.95410647952914174</v>
      </c>
      <c r="M123" s="30">
        <f t="shared" si="22"/>
        <v>-7.7446500000047608E-5</v>
      </c>
      <c r="N123" s="30">
        <f t="shared" si="24"/>
        <v>-1.3445175000001121E-4</v>
      </c>
      <c r="O123" s="30">
        <f t="shared" si="25"/>
        <v>-5.7373949999986213E-4</v>
      </c>
      <c r="P123" s="30">
        <f t="shared" si="26"/>
        <v>-1.7680149999999995E-3</v>
      </c>
      <c r="Q123" s="30">
        <f t="shared" si="27"/>
        <v>-5.8147799999998884E-3</v>
      </c>
      <c r="R123" s="30">
        <f t="shared" si="23"/>
        <v>-4.6769787133753571E-3</v>
      </c>
      <c r="S123" s="30">
        <f t="shared" si="28"/>
        <v>-5.8327058368323748E-3</v>
      </c>
      <c r="T123" s="30">
        <f t="shared" si="29"/>
        <v>-2.8204874303378036E-3</v>
      </c>
      <c r="U123" s="30">
        <f t="shared" si="30"/>
        <v>2.6031197478848522E-3</v>
      </c>
      <c r="V123" s="30">
        <f t="shared" si="31"/>
        <v>9.4402809873916915E-3</v>
      </c>
    </row>
    <row r="124" spans="1:22" s="29" customFormat="1" ht="20" customHeight="1" x14ac:dyDescent="0.35">
      <c r="A124" s="131"/>
      <c r="B124" s="28">
        <v>44669</v>
      </c>
      <c r="C124" s="30">
        <v>-4.5879275000000001E-3</v>
      </c>
      <c r="D124" s="30">
        <v>-5.6379150000000003E-3</v>
      </c>
      <c r="E124" s="30">
        <v>-2.3820000000000004E-3</v>
      </c>
      <c r="F124" s="30">
        <v>3.223315E-3</v>
      </c>
      <c r="G124" s="30">
        <v>1.0319509999999999E-2</v>
      </c>
      <c r="H124" s="31">
        <f t="shared" si="17"/>
        <v>1.0011476399102717</v>
      </c>
      <c r="I124" s="31">
        <f t="shared" si="18"/>
        <v>1.0028229344968103</v>
      </c>
      <c r="J124" s="31">
        <f t="shared" si="19"/>
        <v>1.0023848392158898</v>
      </c>
      <c r="K124" s="31">
        <f t="shared" si="20"/>
        <v>0.99357410493842657</v>
      </c>
      <c r="L124" s="31">
        <f t="shared" si="21"/>
        <v>0.94971100113516571</v>
      </c>
      <c r="M124" s="30">
        <f t="shared" si="22"/>
        <v>-2.500562499986037E-5</v>
      </c>
      <c r="N124" s="30">
        <f t="shared" si="24"/>
        <v>-1.0593375000018308E-4</v>
      </c>
      <c r="O124" s="30">
        <f t="shared" si="25"/>
        <v>-4.424725000001639E-4</v>
      </c>
      <c r="P124" s="30">
        <f t="shared" si="26"/>
        <v>-1.247155000000028E-3</v>
      </c>
      <c r="Q124" s="30">
        <f t="shared" si="27"/>
        <v>-4.6175500000000605E-3</v>
      </c>
      <c r="R124" s="30">
        <f t="shared" si="23"/>
        <v>-4.5774190374578971E-3</v>
      </c>
      <c r="S124" s="30">
        <f t="shared" si="28"/>
        <v>-5.6220517830504191E-3</v>
      </c>
      <c r="T124" s="30">
        <f t="shared" si="29"/>
        <v>-2.3791652892071191E-3</v>
      </c>
      <c r="U124" s="30">
        <f t="shared" si="30"/>
        <v>3.2285154658733273E-3</v>
      </c>
      <c r="V124" s="30">
        <f t="shared" si="31"/>
        <v>1.0372939774858425E-2</v>
      </c>
    </row>
    <row r="125" spans="1:22" s="29" customFormat="1" ht="20" customHeight="1" x14ac:dyDescent="0.35">
      <c r="A125" s="131"/>
      <c r="B125" s="28">
        <v>44676</v>
      </c>
      <c r="C125" s="30">
        <v>-4.3812199999999999E-3</v>
      </c>
      <c r="D125" s="30">
        <v>-5.0824679999999997E-3</v>
      </c>
      <c r="E125" s="30">
        <v>-1.718008E-3</v>
      </c>
      <c r="F125" s="30">
        <v>3.593242E-3</v>
      </c>
      <c r="G125" s="30">
        <v>1.0351398000000001E-2</v>
      </c>
      <c r="H125" s="31">
        <f t="shared" si="17"/>
        <v>1.0010959050655865</v>
      </c>
      <c r="I125" s="31">
        <f t="shared" si="18"/>
        <v>1.0025444656720199</v>
      </c>
      <c r="J125" s="31">
        <f t="shared" si="19"/>
        <v>1.0017194846212387</v>
      </c>
      <c r="K125" s="31">
        <f t="shared" si="20"/>
        <v>0.99283927702879504</v>
      </c>
      <c r="L125" s="31">
        <f t="shared" si="21"/>
        <v>0.94955959128385881</v>
      </c>
      <c r="M125" s="30">
        <f t="shared" si="22"/>
        <v>-5.1676874999959564E-5</v>
      </c>
      <c r="N125" s="30">
        <f t="shared" si="24"/>
        <v>-2.7772349999984834E-4</v>
      </c>
      <c r="O125" s="30">
        <f t="shared" si="25"/>
        <v>-6.6399199999994608E-4</v>
      </c>
      <c r="P125" s="30">
        <f t="shared" si="26"/>
        <v>-7.398539999999115E-4</v>
      </c>
      <c r="Q125" s="30">
        <f t="shared" si="27"/>
        <v>-1.5944000000005533E-4</v>
      </c>
      <c r="R125" s="30">
        <f t="shared" si="23"/>
        <v>-4.3716364566348531E-3</v>
      </c>
      <c r="S125" s="30">
        <f t="shared" si="28"/>
        <v>-5.0695741130192262E-3</v>
      </c>
      <c r="T125" s="30">
        <f t="shared" si="29"/>
        <v>-1.7165330690246394E-3</v>
      </c>
      <c r="U125" s="30">
        <f t="shared" si="30"/>
        <v>3.5997054332765899E-3</v>
      </c>
      <c r="V125" s="30">
        <f t="shared" si="31"/>
        <v>1.0405159060863589E-2</v>
      </c>
    </row>
    <row r="126" spans="1:22" s="29" customFormat="1" ht="20" customHeight="1" x14ac:dyDescent="0.35">
      <c r="A126" s="131"/>
      <c r="B126" s="28">
        <v>44683</v>
      </c>
      <c r="C126" s="30">
        <v>-4.0568859999999991E-3</v>
      </c>
      <c r="D126" s="30">
        <v>-4.7620620000000001E-3</v>
      </c>
      <c r="E126" s="30">
        <v>-9.4835799999999995E-4</v>
      </c>
      <c r="F126" s="30">
        <v>5.0006540000000011E-3</v>
      </c>
      <c r="G126" s="30">
        <v>1.2266384000000002E-2</v>
      </c>
      <c r="H126" s="31">
        <f t="shared" si="17"/>
        <v>1.0010147359965487</v>
      </c>
      <c r="I126" s="31">
        <f t="shared" si="18"/>
        <v>1.0023838679054513</v>
      </c>
      <c r="J126" s="31">
        <f t="shared" si="19"/>
        <v>1.0009488078336379</v>
      </c>
      <c r="K126" s="31">
        <f t="shared" si="20"/>
        <v>0.99004853876483245</v>
      </c>
      <c r="L126" s="31">
        <f t="shared" si="21"/>
        <v>0.94051101354619493</v>
      </c>
      <c r="M126" s="30">
        <f t="shared" si="22"/>
        <v>-8.1083500000078121E-5</v>
      </c>
      <c r="N126" s="30">
        <f t="shared" si="24"/>
        <v>-1.6020300000005647E-4</v>
      </c>
      <c r="O126" s="30">
        <f t="shared" si="25"/>
        <v>-7.6965000000007576E-4</v>
      </c>
      <c r="P126" s="30">
        <f t="shared" si="26"/>
        <v>-2.8148240000000361E-3</v>
      </c>
      <c r="Q126" s="30">
        <f t="shared" si="27"/>
        <v>-9.5749299999999416E-3</v>
      </c>
      <c r="R126" s="30">
        <f t="shared" si="23"/>
        <v>-4.0486679549714966E-3</v>
      </c>
      <c r="S126" s="30">
        <f t="shared" si="28"/>
        <v>-4.7507413597465131E-3</v>
      </c>
      <c r="T126" s="30">
        <f t="shared" si="29"/>
        <v>-9.4790845067438401E-4</v>
      </c>
      <c r="U126" s="30">
        <f t="shared" si="30"/>
        <v>5.0131781378046636E-3</v>
      </c>
      <c r="V126" s="30">
        <f t="shared" si="31"/>
        <v>1.2341924642409019E-2</v>
      </c>
    </row>
    <row r="127" spans="1:22" s="29" customFormat="1" ht="20" customHeight="1" x14ac:dyDescent="0.35">
      <c r="A127" s="131"/>
      <c r="B127" s="28">
        <v>44690</v>
      </c>
      <c r="C127" s="30">
        <v>-4.4899439999999992E-3</v>
      </c>
      <c r="D127" s="30">
        <v>-4.3166539999999996E-3</v>
      </c>
      <c r="E127" s="30">
        <v>-1.082602E-3</v>
      </c>
      <c r="F127" s="30">
        <v>4.1059119999999998E-3</v>
      </c>
      <c r="G127" s="30">
        <v>1.1798515999999998E-2</v>
      </c>
      <c r="H127" s="31">
        <f t="shared" si="17"/>
        <v>1.0011231162231935</v>
      </c>
      <c r="I127" s="31">
        <f t="shared" si="18"/>
        <v>1.0021606578643403</v>
      </c>
      <c r="J127" s="31">
        <f t="shared" si="19"/>
        <v>1.0010831882250757</v>
      </c>
      <c r="K127" s="31">
        <f t="shared" si="20"/>
        <v>0.99182180092310268</v>
      </c>
      <c r="L127" s="31">
        <f t="shared" si="21"/>
        <v>0.94271376406727803</v>
      </c>
      <c r="M127" s="30">
        <f t="shared" si="22"/>
        <v>1.0826449999991719E-4</v>
      </c>
      <c r="N127" s="30">
        <f t="shared" si="24"/>
        <v>-2.2270400000009785E-4</v>
      </c>
      <c r="O127" s="30">
        <f t="shared" si="25"/>
        <v>1.3424400000002174E-4</v>
      </c>
      <c r="P127" s="30">
        <f t="shared" si="26"/>
        <v>1.7894839999998992E-3</v>
      </c>
      <c r="Q127" s="30">
        <f t="shared" si="27"/>
        <v>2.3393399999999454E-3</v>
      </c>
      <c r="R127" s="30">
        <f t="shared" si="23"/>
        <v>-4.4798792704302537E-3</v>
      </c>
      <c r="S127" s="30">
        <f t="shared" si="28"/>
        <v>-4.3073506403976669E-3</v>
      </c>
      <c r="T127" s="30">
        <f t="shared" si="29"/>
        <v>-1.0820161978707388E-3</v>
      </c>
      <c r="U127" s="30">
        <f t="shared" si="30"/>
        <v>4.1143528051230671E-3</v>
      </c>
      <c r="V127" s="30">
        <f t="shared" si="31"/>
        <v>1.1868393034591529E-2</v>
      </c>
    </row>
    <row r="128" spans="1:22" s="29" customFormat="1" ht="20" customHeight="1" x14ac:dyDescent="0.35">
      <c r="A128" s="131"/>
      <c r="B128" s="28">
        <v>44697</v>
      </c>
      <c r="C128" s="30">
        <v>-3.7581000000000003E-3</v>
      </c>
      <c r="D128" s="30">
        <v>-3.7580519999999996E-3</v>
      </c>
      <c r="E128" s="30">
        <v>-4.7170399999999993E-4</v>
      </c>
      <c r="F128" s="30">
        <v>4.7456479999999999E-3</v>
      </c>
      <c r="G128" s="30">
        <v>1.2104877999999999E-2</v>
      </c>
      <c r="H128" s="31">
        <f t="shared" si="17"/>
        <v>1.0009399664918661</v>
      </c>
      <c r="I128" s="31">
        <f t="shared" si="18"/>
        <v>1.001880792475599</v>
      </c>
      <c r="J128" s="31">
        <f t="shared" si="19"/>
        <v>1.0004718152698266</v>
      </c>
      <c r="K128" s="31">
        <f t="shared" si="20"/>
        <v>0.99055360418394944</v>
      </c>
      <c r="L128" s="31">
        <f t="shared" si="21"/>
        <v>0.94127081114335176</v>
      </c>
      <c r="M128" s="30">
        <f t="shared" si="22"/>
        <v>-1.829609999999934E-4</v>
      </c>
      <c r="N128" s="30">
        <f t="shared" si="24"/>
        <v>-2.793009999998812E-4</v>
      </c>
      <c r="O128" s="30">
        <f t="shared" si="25"/>
        <v>-6.1089800000002777E-4</v>
      </c>
      <c r="P128" s="30">
        <f t="shared" si="26"/>
        <v>-1.2794720000000052E-3</v>
      </c>
      <c r="Q128" s="30">
        <f t="shared" si="27"/>
        <v>-1.5318100000000366E-3</v>
      </c>
      <c r="R128" s="30">
        <f t="shared" si="23"/>
        <v>-3.7510471800288325E-3</v>
      </c>
      <c r="S128" s="30">
        <f t="shared" si="28"/>
        <v>-3.7509993600779445E-3</v>
      </c>
      <c r="T128" s="30">
        <f t="shared" si="29"/>
        <v>-4.7159276515884585E-4</v>
      </c>
      <c r="U128" s="30">
        <f t="shared" si="30"/>
        <v>4.7569264215516771E-3</v>
      </c>
      <c r="V128" s="30">
        <f t="shared" si="31"/>
        <v>1.2178438549875326E-2</v>
      </c>
    </row>
    <row r="129" spans="1:22" s="29" customFormat="1" ht="20" customHeight="1" x14ac:dyDescent="0.35">
      <c r="A129" s="131"/>
      <c r="B129" s="28">
        <v>44704</v>
      </c>
      <c r="C129" s="30">
        <v>-3.1859979999999998E-3</v>
      </c>
      <c r="D129" s="30">
        <v>-3.2525840000000002E-3</v>
      </c>
      <c r="E129" s="30">
        <v>-1.8795600000000003E-4</v>
      </c>
      <c r="F129" s="30">
        <v>4.730090000000001E-3</v>
      </c>
      <c r="G129" s="30">
        <v>1.1914932E-2</v>
      </c>
      <c r="H129" s="31">
        <f t="shared" si="17"/>
        <v>1.0007968167899617</v>
      </c>
      <c r="I129" s="31">
        <f t="shared" si="18"/>
        <v>1.0016276151300028</v>
      </c>
      <c r="J129" s="31">
        <f t="shared" si="19"/>
        <v>1.0001879736648356</v>
      </c>
      <c r="K129" s="31">
        <f t="shared" si="20"/>
        <v>0.99058442672943192</v>
      </c>
      <c r="L129" s="31">
        <f t="shared" si="21"/>
        <v>0.94216518891229173</v>
      </c>
      <c r="M129" s="30">
        <f t="shared" si="22"/>
        <v>-1.4302549999983255E-4</v>
      </c>
      <c r="N129" s="30">
        <f t="shared" si="24"/>
        <v>-2.5273400000003151E-4</v>
      </c>
      <c r="O129" s="30">
        <f t="shared" si="25"/>
        <v>-2.8374800000011174E-4</v>
      </c>
      <c r="P129" s="30">
        <f t="shared" si="26"/>
        <v>3.1116000000057942E-5</v>
      </c>
      <c r="Q129" s="30">
        <f t="shared" si="27"/>
        <v>9.4972999999998859E-4</v>
      </c>
      <c r="R129" s="30">
        <f t="shared" si="23"/>
        <v>-3.1809280940379159E-3</v>
      </c>
      <c r="S129" s="30">
        <f t="shared" si="28"/>
        <v>-3.2473000790128603E-3</v>
      </c>
      <c r="T129" s="30">
        <f t="shared" si="29"/>
        <v>-1.8793833737762444E-4</v>
      </c>
      <c r="U129" s="30">
        <f t="shared" si="30"/>
        <v>4.7412945348910274E-3</v>
      </c>
      <c r="V129" s="30">
        <f t="shared" si="31"/>
        <v>1.1986197562467993E-2</v>
      </c>
    </row>
    <row r="130" spans="1:22" s="29" customFormat="1" ht="20" customHeight="1" x14ac:dyDescent="0.35">
      <c r="A130" s="131"/>
      <c r="B130" s="28">
        <v>44711</v>
      </c>
      <c r="C130" s="30">
        <v>-2.2658839999999997E-3</v>
      </c>
      <c r="D130" s="30">
        <v>-2.8478919999999994E-3</v>
      </c>
      <c r="E130" s="30">
        <v>8.3652400000000006E-4</v>
      </c>
      <c r="F130" s="30">
        <v>6.6150240000000006E-3</v>
      </c>
      <c r="G130" s="30">
        <v>1.3984706E-2</v>
      </c>
      <c r="H130" s="31">
        <f t="shared" si="17"/>
        <v>1.000566631474997</v>
      </c>
      <c r="I130" s="31">
        <f t="shared" si="18"/>
        <v>1.001424960292481</v>
      </c>
      <c r="J130" s="31">
        <f t="shared" si="19"/>
        <v>0.99916382578865892</v>
      </c>
      <c r="K130" s="31">
        <f t="shared" si="20"/>
        <v>0.98685708440646558</v>
      </c>
      <c r="L130" s="31">
        <f t="shared" si="21"/>
        <v>0.93246512278758742</v>
      </c>
      <c r="M130" s="30">
        <f t="shared" si="22"/>
        <v>-2.3002850000001222E-4</v>
      </c>
      <c r="N130" s="30">
        <f t="shared" si="24"/>
        <v>-2.023460000000148E-4</v>
      </c>
      <c r="O130" s="30">
        <f t="shared" si="25"/>
        <v>-1.0244799999999412E-3</v>
      </c>
      <c r="P130" s="30">
        <f t="shared" si="26"/>
        <v>-3.769868E-3</v>
      </c>
      <c r="Q130" s="30">
        <f t="shared" si="27"/>
        <v>-1.0348869999999963E-2</v>
      </c>
      <c r="R130" s="30">
        <f t="shared" si="23"/>
        <v>-2.2633188226798273E-3</v>
      </c>
      <c r="S130" s="30">
        <f t="shared" si="28"/>
        <v>-2.843840602471559E-3</v>
      </c>
      <c r="T130" s="30">
        <f t="shared" si="29"/>
        <v>8.3687398378451405E-4</v>
      </c>
      <c r="U130" s="30">
        <f t="shared" si="30"/>
        <v>6.6369515951179014E-3</v>
      </c>
      <c r="V130" s="30">
        <f t="shared" si="31"/>
        <v>1.4082949435262782E-2</v>
      </c>
    </row>
    <row r="131" spans="1:22" s="29" customFormat="1" ht="20" customHeight="1" x14ac:dyDescent="0.35">
      <c r="A131" s="131"/>
      <c r="B131" s="28">
        <v>44718</v>
      </c>
      <c r="C131" s="30">
        <v>-1.346234E-3</v>
      </c>
      <c r="D131" s="30">
        <v>-1.5759119999999998E-3</v>
      </c>
      <c r="E131" s="30">
        <v>2.5725460000000002E-3</v>
      </c>
      <c r="F131" s="30">
        <v>8.9046620000000007E-3</v>
      </c>
      <c r="G131" s="30">
        <v>1.6640196000000003E-2</v>
      </c>
      <c r="H131" s="31">
        <f t="shared" si="17"/>
        <v>1.0003366151421662</v>
      </c>
      <c r="I131" s="31">
        <f t="shared" si="18"/>
        <v>1.0007882665188821</v>
      </c>
      <c r="J131" s="31">
        <f t="shared" si="19"/>
        <v>0.99743076016076981</v>
      </c>
      <c r="K131" s="31">
        <f t="shared" si="20"/>
        <v>0.98234832475082134</v>
      </c>
      <c r="L131" s="31">
        <f t="shared" si="21"/>
        <v>0.92016619363316488</v>
      </c>
      <c r="M131" s="30">
        <f t="shared" si="22"/>
        <v>-2.2991250000011472E-4</v>
      </c>
      <c r="N131" s="30">
        <f t="shared" si="24"/>
        <v>-6.3598999999995101E-4</v>
      </c>
      <c r="O131" s="30">
        <f t="shared" si="25"/>
        <v>-1.7360219999999901E-3</v>
      </c>
      <c r="P131" s="30">
        <f t="shared" si="26"/>
        <v>-4.5792759999999412E-3</v>
      </c>
      <c r="Q131" s="30">
        <f t="shared" si="27"/>
        <v>-1.3277450000000145E-2</v>
      </c>
      <c r="R131" s="30">
        <f t="shared" si="23"/>
        <v>-1.3453282335120775E-3</v>
      </c>
      <c r="S131" s="30">
        <f t="shared" si="28"/>
        <v>-1.5746709027231187E-3</v>
      </c>
      <c r="T131" s="30">
        <f t="shared" si="29"/>
        <v>2.5758578358021644E-3</v>
      </c>
      <c r="U131" s="30">
        <f t="shared" si="30"/>
        <v>8.9444264446771893E-3</v>
      </c>
      <c r="V131" s="30">
        <f t="shared" si="31"/>
        <v>1.6779415201057857E-2</v>
      </c>
    </row>
    <row r="132" spans="1:22" s="29" customFormat="1" ht="20" customHeight="1" x14ac:dyDescent="0.35">
      <c r="A132" s="131"/>
      <c r="B132" s="28">
        <v>44725</v>
      </c>
      <c r="C132" s="30">
        <v>-6.2195200000000005E-4</v>
      </c>
      <c r="D132" s="30">
        <v>2.0426559999999999E-3</v>
      </c>
      <c r="E132" s="30">
        <v>6.4680899999999993E-3</v>
      </c>
      <c r="F132" s="30">
        <v>1.2671986E-2</v>
      </c>
      <c r="G132" s="30">
        <v>2.1060064E-2</v>
      </c>
      <c r="H132" s="31">
        <f t="shared" si="17"/>
        <v>1.0001555000888855</v>
      </c>
      <c r="I132" s="31">
        <f t="shared" si="18"/>
        <v>0.9989791933779274</v>
      </c>
      <c r="J132" s="31">
        <f t="shared" si="19"/>
        <v>0.99355278306691908</v>
      </c>
      <c r="K132" s="31">
        <f t="shared" si="20"/>
        <v>0.97497449041840067</v>
      </c>
      <c r="L132" s="31">
        <f t="shared" si="21"/>
        <v>0.90005417772265917</v>
      </c>
      <c r="M132" s="30">
        <f t="shared" si="22"/>
        <v>-1.8107050000009271E-4</v>
      </c>
      <c r="N132" s="30">
        <f t="shared" si="24"/>
        <v>-1.8092840000000993E-3</v>
      </c>
      <c r="O132" s="30">
        <f t="shared" si="25"/>
        <v>-3.8955440000000082E-3</v>
      </c>
      <c r="P132" s="30">
        <f t="shared" si="26"/>
        <v>-7.5346479999999633E-3</v>
      </c>
      <c r="Q132" s="30">
        <f t="shared" si="27"/>
        <v>-2.2099339999999891E-2</v>
      </c>
      <c r="R132" s="30">
        <f t="shared" si="23"/>
        <v>-6.2175862794633385E-4</v>
      </c>
      <c r="S132" s="30">
        <f t="shared" si="28"/>
        <v>2.0447436429706922E-3</v>
      </c>
      <c r="T132" s="30">
        <f t="shared" si="29"/>
        <v>6.4890532671848522E-3</v>
      </c>
      <c r="U132" s="30">
        <f t="shared" si="30"/>
        <v>1.2752615834681791E-2</v>
      </c>
      <c r="V132" s="30">
        <f t="shared" si="31"/>
        <v>2.1283392160998282E-2</v>
      </c>
    </row>
    <row r="133" spans="1:22" s="29" customFormat="1" ht="20" customHeight="1" x14ac:dyDescent="0.35">
      <c r="A133" s="131"/>
      <c r="B133" s="28">
        <v>44732</v>
      </c>
      <c r="C133" s="30">
        <v>-2.304024E-3</v>
      </c>
      <c r="D133" s="30">
        <v>8.9780000000000003E-4</v>
      </c>
      <c r="E133" s="30">
        <v>5.6941200000000004E-3</v>
      </c>
      <c r="F133" s="30">
        <v>1.1460857999999997E-2</v>
      </c>
      <c r="G133" s="30">
        <v>1.8710416000000004E-2</v>
      </c>
      <c r="H133" s="31">
        <f t="shared" ref="H133:H196" si="32">EXP(-0.25*C133)</f>
        <v>1.0005761719233122</v>
      </c>
      <c r="I133" s="31">
        <f t="shared" ref="I133:I196" si="33">EXP(-0.5*D133)</f>
        <v>0.99955120074053028</v>
      </c>
      <c r="J133" s="31">
        <f t="shared" ref="J133:J196" si="34">EXP(-1*E133)</f>
        <v>0.99432206077496155</v>
      </c>
      <c r="K133" s="31">
        <f t="shared" ref="K133:K196" si="35">EXP(-2*F133)</f>
        <v>0.97733899078415509</v>
      </c>
      <c r="L133" s="31">
        <f t="shared" ref="L133:L196" si="36">EXP(-5*G133)</f>
        <v>0.91069058742533959</v>
      </c>
      <c r="M133" s="30">
        <f t="shared" si="22"/>
        <v>4.20518000000134E-4</v>
      </c>
      <c r="N133" s="30">
        <f t="shared" si="24"/>
        <v>5.7242799999992241E-4</v>
      </c>
      <c r="O133" s="30">
        <f t="shared" si="25"/>
        <v>7.7396999999994516E-4</v>
      </c>
      <c r="P133" s="30">
        <f t="shared" si="26"/>
        <v>2.422256000000008E-3</v>
      </c>
      <c r="Q133" s="30">
        <f t="shared" si="27"/>
        <v>1.1748239999999917E-2</v>
      </c>
      <c r="R133" s="30">
        <f t="shared" si="23"/>
        <v>-2.3013717740255624E-3</v>
      </c>
      <c r="S133" s="30">
        <f t="shared" si="28"/>
        <v>8.9820314305821825E-4</v>
      </c>
      <c r="T133" s="30">
        <f t="shared" si="29"/>
        <v>5.7103623152172656E-3</v>
      </c>
      <c r="U133" s="30">
        <f t="shared" si="30"/>
        <v>1.1526785253281879E-2</v>
      </c>
      <c r="V133" s="30">
        <f t="shared" si="31"/>
        <v>1.8886552648472499E-2</v>
      </c>
    </row>
    <row r="134" spans="1:22" s="29" customFormat="1" ht="20" customHeight="1" x14ac:dyDescent="0.35">
      <c r="A134" s="131"/>
      <c r="B134" s="28">
        <v>44739</v>
      </c>
      <c r="C134" s="30">
        <v>-2.9931099999999998E-3</v>
      </c>
      <c r="D134" s="30">
        <v>3.5507999999999997E-4</v>
      </c>
      <c r="E134" s="30">
        <v>5.0157559999999997E-3</v>
      </c>
      <c r="F134" s="30">
        <v>1.0112680000000001E-2</v>
      </c>
      <c r="G134" s="30">
        <v>1.6880019999999999E-2</v>
      </c>
      <c r="H134" s="31">
        <f t="shared" si="32"/>
        <v>1.0007485575294508</v>
      </c>
      <c r="I134" s="31">
        <f t="shared" si="33"/>
        <v>0.99982247575929317</v>
      </c>
      <c r="J134" s="31">
        <f t="shared" si="34"/>
        <v>0.99499680189956619</v>
      </c>
      <c r="K134" s="31">
        <f t="shared" si="35"/>
        <v>0.97997780062260775</v>
      </c>
      <c r="L134" s="31">
        <f t="shared" si="36"/>
        <v>0.91906346523102966</v>
      </c>
      <c r="M134" s="30">
        <f t="shared" ref="M134:M197" si="37">+LN(H134/H133)</f>
        <v>1.7227150000000127E-4</v>
      </c>
      <c r="N134" s="30">
        <f t="shared" si="24"/>
        <v>2.7136000000003497E-4</v>
      </c>
      <c r="O134" s="30">
        <f t="shared" si="25"/>
        <v>6.783640000000336E-4</v>
      </c>
      <c r="P134" s="30">
        <f t="shared" si="26"/>
        <v>2.6963560000000282E-3</v>
      </c>
      <c r="Q134" s="30">
        <f t="shared" si="27"/>
        <v>9.1519799999998496E-3</v>
      </c>
      <c r="R134" s="30">
        <f t="shared" ref="R134:R197" si="38">+EXP(C134)-1</f>
        <v>-2.9886351119879917E-3</v>
      </c>
      <c r="S134" s="30">
        <f t="shared" si="28"/>
        <v>3.551430483654805E-4</v>
      </c>
      <c r="T134" s="30">
        <f t="shared" si="29"/>
        <v>5.0283559614283657E-3</v>
      </c>
      <c r="U134" s="30">
        <f t="shared" si="30"/>
        <v>1.0163985949429577E-2</v>
      </c>
      <c r="V134" s="30">
        <f t="shared" si="31"/>
        <v>1.7023292550180757E-2</v>
      </c>
    </row>
    <row r="135" spans="1:22" s="29" customFormat="1" ht="20" customHeight="1" x14ac:dyDescent="0.35">
      <c r="A135" s="131"/>
      <c r="B135" s="28">
        <v>44746</v>
      </c>
      <c r="C135" s="30">
        <v>-2.551944E-3</v>
      </c>
      <c r="D135" s="30">
        <v>1.4532999999999999E-4</v>
      </c>
      <c r="E135" s="30">
        <v>3.7015720000000002E-3</v>
      </c>
      <c r="F135" s="30">
        <v>7.5613479999999999E-3</v>
      </c>
      <c r="G135" s="30">
        <v>1.4264252000000002E-2</v>
      </c>
      <c r="H135" s="31">
        <f t="shared" si="32"/>
        <v>1.0006381895563545</v>
      </c>
      <c r="I135" s="31">
        <f t="shared" si="33"/>
        <v>0.99992733764003716</v>
      </c>
      <c r="J135" s="31">
        <f t="shared" si="34"/>
        <v>0.99630527037252048</v>
      </c>
      <c r="K135" s="31">
        <f t="shared" si="35"/>
        <v>0.9849910777233073</v>
      </c>
      <c r="L135" s="31">
        <f t="shared" si="36"/>
        <v>0.93116269874213398</v>
      </c>
      <c r="M135" s="30">
        <f t="shared" si="37"/>
        <v>-1.1029150000008679E-4</v>
      </c>
      <c r="N135" s="30">
        <f t="shared" si="24"/>
        <v>1.048750000000661E-4</v>
      </c>
      <c r="O135" s="30">
        <f t="shared" si="25"/>
        <v>1.3141840000000585E-3</v>
      </c>
      <c r="P135" s="30">
        <f t="shared" si="26"/>
        <v>5.1026639999998957E-3</v>
      </c>
      <c r="Q135" s="30">
        <f t="shared" si="27"/>
        <v>1.3078840000000008E-2</v>
      </c>
      <c r="R135" s="30">
        <f t="shared" si="38"/>
        <v>-2.548690559031952E-3</v>
      </c>
      <c r="S135" s="30">
        <f t="shared" si="28"/>
        <v>1.4534056091597414E-4</v>
      </c>
      <c r="T135" s="30">
        <f t="shared" si="29"/>
        <v>3.7084312783952633E-3</v>
      </c>
      <c r="U135" s="30">
        <f t="shared" si="30"/>
        <v>7.5900071802619262E-3</v>
      </c>
      <c r="V135" s="30">
        <f t="shared" si="31"/>
        <v>1.4366471894383892E-2</v>
      </c>
    </row>
    <row r="136" spans="1:22" s="29" customFormat="1" ht="20" customHeight="1" x14ac:dyDescent="0.35">
      <c r="A136" s="131"/>
      <c r="B136" s="28">
        <v>44753</v>
      </c>
      <c r="C136" s="30">
        <v>-2.4352699999999998E-3</v>
      </c>
      <c r="D136" s="30">
        <v>6.0098200000000001E-4</v>
      </c>
      <c r="E136" s="30">
        <v>4.2235940000000007E-3</v>
      </c>
      <c r="F136" s="30">
        <v>7.6044759999999998E-3</v>
      </c>
      <c r="G136" s="30">
        <v>1.3591196000000002E-2</v>
      </c>
      <c r="H136" s="31">
        <f t="shared" si="32"/>
        <v>1.0006090028669905</v>
      </c>
      <c r="I136" s="31">
        <f t="shared" si="33"/>
        <v>0.99969955414289879</v>
      </c>
      <c r="J136" s="31">
        <f t="shared" si="34"/>
        <v>0.99578531282911609</v>
      </c>
      <c r="K136" s="31">
        <f t="shared" si="35"/>
        <v>0.98490611999701672</v>
      </c>
      <c r="L136" s="31">
        <f t="shared" si="36"/>
        <v>0.93430160062846013</v>
      </c>
      <c r="M136" s="30">
        <f t="shared" si="37"/>
        <v>-2.9168499999962924E-5</v>
      </c>
      <c r="N136" s="30">
        <f t="shared" si="24"/>
        <v>-2.2782599999990192E-4</v>
      </c>
      <c r="O136" s="30">
        <f t="shared" si="25"/>
        <v>-5.2202200000006085E-4</v>
      </c>
      <c r="P136" s="30">
        <f t="shared" si="26"/>
        <v>-8.6256000000019199E-5</v>
      </c>
      <c r="Q136" s="30">
        <f t="shared" si="27"/>
        <v>3.3652800000000221E-3</v>
      </c>
      <c r="R136" s="30">
        <f t="shared" si="38"/>
        <v>-2.4323071356264769E-3</v>
      </c>
      <c r="S136" s="30">
        <f t="shared" si="28"/>
        <v>6.0116262586462632E-4</v>
      </c>
      <c r="T136" s="30">
        <f t="shared" si="29"/>
        <v>4.2325259436790663E-3</v>
      </c>
      <c r="U136" s="30">
        <f t="shared" si="30"/>
        <v>7.6334634591759265E-3</v>
      </c>
      <c r="V136" s="30">
        <f t="shared" si="31"/>
        <v>1.3683976158965994E-2</v>
      </c>
    </row>
    <row r="137" spans="1:22" s="29" customFormat="1" ht="20" customHeight="1" x14ac:dyDescent="0.35">
      <c r="A137" s="131"/>
      <c r="B137" s="28">
        <v>44760</v>
      </c>
      <c r="C137" s="30">
        <v>-1.0503719999999999E-3</v>
      </c>
      <c r="D137" s="30">
        <v>1.614054E-3</v>
      </c>
      <c r="E137" s="30">
        <v>5.2632720000000003E-3</v>
      </c>
      <c r="F137" s="30">
        <v>9.2026759999999999E-3</v>
      </c>
      <c r="G137" s="30">
        <v>1.4919430000000003E-2</v>
      </c>
      <c r="H137" s="31">
        <f t="shared" si="32"/>
        <v>1.0002626274805599</v>
      </c>
      <c r="I137" s="31">
        <f t="shared" si="33"/>
        <v>0.9991932985587052</v>
      </c>
      <c r="J137" s="31">
        <f t="shared" si="34"/>
        <v>0.99475055474745944</v>
      </c>
      <c r="K137" s="31">
        <f t="shared" si="35"/>
        <v>0.9817629920981702</v>
      </c>
      <c r="L137" s="31">
        <f t="shared" si="36"/>
        <v>0.92811730308300455</v>
      </c>
      <c r="M137" s="30">
        <f t="shared" si="37"/>
        <v>-3.4622450000000951E-4</v>
      </c>
      <c r="N137" s="30">
        <f t="shared" si="24"/>
        <v>-5.065360000001503E-4</v>
      </c>
      <c r="O137" s="30">
        <f t="shared" si="25"/>
        <v>-1.0396779999999051E-3</v>
      </c>
      <c r="P137" s="30">
        <f t="shared" si="26"/>
        <v>-3.1963999999998997E-3</v>
      </c>
      <c r="Q137" s="30">
        <f t="shared" si="27"/>
        <v>-6.6411699999999914E-3</v>
      </c>
      <c r="R137" s="30">
        <f t="shared" si="38"/>
        <v>-1.0498205524227533E-3</v>
      </c>
      <c r="S137" s="30">
        <f t="shared" si="28"/>
        <v>1.615357286254504E-3</v>
      </c>
      <c r="T137" s="30">
        <f t="shared" si="29"/>
        <v>5.2771473486368237E-3</v>
      </c>
      <c r="U137" s="30">
        <f t="shared" si="30"/>
        <v>9.2451508167905594E-3</v>
      </c>
      <c r="V137" s="30">
        <f t="shared" si="31"/>
        <v>1.5031280250830337E-2</v>
      </c>
    </row>
    <row r="138" spans="1:22" s="29" customFormat="1" ht="20" customHeight="1" x14ac:dyDescent="0.35">
      <c r="A138" s="131"/>
      <c r="B138" s="28">
        <v>44767</v>
      </c>
      <c r="C138" s="30">
        <v>6.4407400000000001E-4</v>
      </c>
      <c r="D138" s="30">
        <v>2.2636980000000002E-3</v>
      </c>
      <c r="E138" s="30">
        <v>4.4842699999999994E-3</v>
      </c>
      <c r="F138" s="30">
        <v>7.133098E-3</v>
      </c>
      <c r="G138" s="30">
        <v>1.2260637999999999E-2</v>
      </c>
      <c r="H138" s="31">
        <f t="shared" si="32"/>
        <v>0.9998389944627829</v>
      </c>
      <c r="I138" s="31">
        <f t="shared" si="33"/>
        <v>0.99886879129948247</v>
      </c>
      <c r="J138" s="31">
        <f t="shared" si="34"/>
        <v>0.99552576932675985</v>
      </c>
      <c r="K138" s="31">
        <f t="shared" si="35"/>
        <v>0.98583508397545849</v>
      </c>
      <c r="L138" s="31">
        <f t="shared" si="36"/>
        <v>0.94053803481577281</v>
      </c>
      <c r="M138" s="30">
        <f t="shared" si="37"/>
        <v>-4.2361150000012096E-4</v>
      </c>
      <c r="N138" s="30">
        <f t="shared" si="24"/>
        <v>-3.2482199999997837E-4</v>
      </c>
      <c r="O138" s="30">
        <f t="shared" si="25"/>
        <v>7.7900200000010321E-4</v>
      </c>
      <c r="P138" s="30">
        <f t="shared" si="26"/>
        <v>4.1391559999999833E-3</v>
      </c>
      <c r="Q138" s="30">
        <f t="shared" si="27"/>
        <v>1.3293960000000018E-2</v>
      </c>
      <c r="R138" s="30">
        <f t="shared" si="38"/>
        <v>6.442814601963498E-4</v>
      </c>
      <c r="S138" s="30">
        <f t="shared" si="28"/>
        <v>2.2662620987343729E-3</v>
      </c>
      <c r="T138" s="30">
        <f t="shared" si="29"/>
        <v>4.4943393843697166E-3</v>
      </c>
      <c r="U138" s="30">
        <f t="shared" si="30"/>
        <v>7.1585991415263894E-3</v>
      </c>
      <c r="V138" s="30">
        <f t="shared" si="31"/>
        <v>1.2336107742421998E-2</v>
      </c>
    </row>
    <row r="139" spans="1:22" s="29" customFormat="1" ht="20" customHeight="1" x14ac:dyDescent="0.35">
      <c r="A139" s="131"/>
      <c r="B139" s="28">
        <v>44774</v>
      </c>
      <c r="C139" s="30">
        <v>1.582326E-3</v>
      </c>
      <c r="D139" s="30">
        <v>2.6926259999999996E-3</v>
      </c>
      <c r="E139" s="30">
        <v>4.2395459999999994E-3</v>
      </c>
      <c r="F139" s="30">
        <v>6.3293100000000003E-3</v>
      </c>
      <c r="G139" s="30">
        <v>1.1037589999999996E-2</v>
      </c>
      <c r="H139" s="31">
        <f t="shared" si="32"/>
        <v>0.99960449673204554</v>
      </c>
      <c r="I139" s="31">
        <f t="shared" si="33"/>
        <v>0.99865459287277192</v>
      </c>
      <c r="J139" s="31">
        <f t="shared" si="34"/>
        <v>0.99576942818850211</v>
      </c>
      <c r="K139" s="31">
        <f t="shared" si="35"/>
        <v>0.9874211633263893</v>
      </c>
      <c r="L139" s="31">
        <f t="shared" si="36"/>
        <v>0.94630727278626847</v>
      </c>
      <c r="M139" s="30">
        <f t="shared" si="37"/>
        <v>-2.3456299999995194E-4</v>
      </c>
      <c r="N139" s="30">
        <f t="shared" si="24"/>
        <v>-2.144639999999822E-4</v>
      </c>
      <c r="O139" s="30">
        <f t="shared" si="25"/>
        <v>2.4472399999991422E-4</v>
      </c>
      <c r="P139" s="30">
        <f t="shared" si="26"/>
        <v>1.6075760000000886E-3</v>
      </c>
      <c r="Q139" s="30">
        <f t="shared" si="27"/>
        <v>6.1152399999999055E-3</v>
      </c>
      <c r="R139" s="30">
        <f t="shared" si="38"/>
        <v>1.5835785383393475E-3</v>
      </c>
      <c r="S139" s="30">
        <f t="shared" si="28"/>
        <v>2.6962543732744759E-3</v>
      </c>
      <c r="T139" s="30">
        <f t="shared" si="29"/>
        <v>4.2485455887053547E-3</v>
      </c>
      <c r="U139" s="30">
        <f t="shared" si="30"/>
        <v>6.3493824083573625E-3</v>
      </c>
      <c r="V139" s="30">
        <f t="shared" si="31"/>
        <v>1.1098728931603796E-2</v>
      </c>
    </row>
    <row r="140" spans="1:22" s="29" customFormat="1" ht="20" customHeight="1" x14ac:dyDescent="0.35">
      <c r="A140" s="131"/>
      <c r="B140" s="28">
        <v>44781</v>
      </c>
      <c r="C140" s="30">
        <v>2.0404900000000003E-3</v>
      </c>
      <c r="D140" s="30">
        <v>3.1696439999999997E-3</v>
      </c>
      <c r="E140" s="30">
        <v>4.8947599999999997E-3</v>
      </c>
      <c r="F140" s="30">
        <v>7.2327760000000007E-3</v>
      </c>
      <c r="G140" s="30">
        <v>1.1842536000000001E-2</v>
      </c>
      <c r="H140" s="31">
        <f t="shared" si="32"/>
        <v>0.99949000759036088</v>
      </c>
      <c r="I140" s="31">
        <f t="shared" si="33"/>
        <v>0.99841643316722606</v>
      </c>
      <c r="J140" s="31">
        <f t="shared" si="34"/>
        <v>0.99511719981629509</v>
      </c>
      <c r="K140" s="31">
        <f t="shared" si="35"/>
        <v>0.98563857142508626</v>
      </c>
      <c r="L140" s="31">
        <f t="shared" si="36"/>
        <v>0.9425062956005491</v>
      </c>
      <c r="M140" s="30">
        <f t="shared" si="37"/>
        <v>-1.1454100000008333E-4</v>
      </c>
      <c r="N140" s="30">
        <f t="shared" si="24"/>
        <v>-2.3850900000002315E-4</v>
      </c>
      <c r="O140" s="30">
        <f t="shared" si="25"/>
        <v>-6.5521399999999294E-4</v>
      </c>
      <c r="P140" s="30">
        <f t="shared" si="26"/>
        <v>-1.8069320000000508E-3</v>
      </c>
      <c r="Q140" s="30">
        <f t="shared" si="27"/>
        <v>-4.0247299999999426E-3</v>
      </c>
      <c r="R140" s="30">
        <f t="shared" si="38"/>
        <v>2.0425732164064403E-3</v>
      </c>
      <c r="S140" s="30">
        <f t="shared" si="28"/>
        <v>3.1746726331320918E-3</v>
      </c>
      <c r="T140" s="30">
        <f t="shared" si="29"/>
        <v>4.9067589069973216E-3</v>
      </c>
      <c r="U140" s="30">
        <f t="shared" si="30"/>
        <v>7.2589956999526972E-3</v>
      </c>
      <c r="V140" s="30">
        <f t="shared" si="31"/>
        <v>1.1912936461646595E-2</v>
      </c>
    </row>
    <row r="141" spans="1:22" s="29" customFormat="1" ht="20" customHeight="1" x14ac:dyDescent="0.35">
      <c r="A141" s="131"/>
      <c r="B141" s="28">
        <v>44788</v>
      </c>
      <c r="C141" s="30">
        <v>2.5074139999999999E-3</v>
      </c>
      <c r="D141" s="30">
        <v>3.9226280000000001E-3</v>
      </c>
      <c r="E141" s="30">
        <v>6.0061820000000014E-3</v>
      </c>
      <c r="F141" s="30">
        <v>8.5944040000000017E-3</v>
      </c>
      <c r="G141" s="30">
        <v>1.3165686000000001E-2</v>
      </c>
      <c r="H141" s="31">
        <f t="shared" si="32"/>
        <v>0.99937334293160851</v>
      </c>
      <c r="I141" s="31">
        <f t="shared" si="33"/>
        <v>0.99804060811947137</v>
      </c>
      <c r="J141" s="31">
        <f t="shared" si="34"/>
        <v>0.9940118190538757</v>
      </c>
      <c r="K141" s="31">
        <f t="shared" si="35"/>
        <v>0.98295807676477787</v>
      </c>
      <c r="L141" s="31">
        <f t="shared" si="36"/>
        <v>0.93629149004289136</v>
      </c>
      <c r="M141" s="30">
        <f t="shared" si="37"/>
        <v>-1.1673099999996728E-4</v>
      </c>
      <c r="N141" s="30">
        <f t="shared" si="24"/>
        <v>-3.7649199999999602E-4</v>
      </c>
      <c r="O141" s="30">
        <f t="shared" si="25"/>
        <v>-1.1114219999999622E-3</v>
      </c>
      <c r="P141" s="30">
        <f t="shared" si="26"/>
        <v>-2.7232559999999062E-3</v>
      </c>
      <c r="Q141" s="30">
        <f t="shared" si="27"/>
        <v>-6.6157500000000461E-3</v>
      </c>
      <c r="R141" s="30">
        <f t="shared" si="38"/>
        <v>2.5105601915356157E-3</v>
      </c>
      <c r="S141" s="30">
        <f t="shared" si="28"/>
        <v>3.9303315746721523E-3</v>
      </c>
      <c r="T141" s="30">
        <f t="shared" si="29"/>
        <v>6.0242552767872937E-3</v>
      </c>
      <c r="U141" s="30">
        <f t="shared" si="30"/>
        <v>8.6314419203041837E-3</v>
      </c>
      <c r="V141" s="30">
        <f t="shared" si="31"/>
        <v>1.3252735245437686E-2</v>
      </c>
    </row>
    <row r="142" spans="1:22" s="29" customFormat="1" ht="20" customHeight="1" x14ac:dyDescent="0.35">
      <c r="A142" s="131"/>
      <c r="B142" s="28">
        <v>44795</v>
      </c>
      <c r="C142" s="30">
        <v>1.7161839999999999E-3</v>
      </c>
      <c r="D142" s="30">
        <v>4.1404240000000002E-3</v>
      </c>
      <c r="E142" s="30">
        <v>7.5175840000000008E-3</v>
      </c>
      <c r="F142" s="30">
        <v>1.1189674000000004E-2</v>
      </c>
      <c r="G142" s="30">
        <v>1.6302762000000002E-2</v>
      </c>
      <c r="H142" s="31">
        <f t="shared" si="32"/>
        <v>0.99957104602707325</v>
      </c>
      <c r="I142" s="31">
        <f t="shared" si="33"/>
        <v>0.99793192941088271</v>
      </c>
      <c r="J142" s="31">
        <f t="shared" si="34"/>
        <v>0.99251060235926492</v>
      </c>
      <c r="K142" s="31">
        <f t="shared" si="35"/>
        <v>0.97786921195240839</v>
      </c>
      <c r="L142" s="31">
        <f t="shared" si="36"/>
        <v>0.92171998081305839</v>
      </c>
      <c r="M142" s="30">
        <f t="shared" si="37"/>
        <v>1.9780749999989133E-4</v>
      </c>
      <c r="N142" s="30">
        <f t="shared" si="24"/>
        <v>-1.0889800000006778E-4</v>
      </c>
      <c r="O142" s="30">
        <f t="shared" si="25"/>
        <v>-1.5114020000000818E-3</v>
      </c>
      <c r="P142" s="30">
        <f t="shared" si="26"/>
        <v>-5.1905400000000351E-3</v>
      </c>
      <c r="Q142" s="30">
        <f t="shared" si="27"/>
        <v>-1.5685379999999929E-2</v>
      </c>
      <c r="R142" s="30">
        <f t="shared" si="38"/>
        <v>1.7176574865651606E-3</v>
      </c>
      <c r="S142" s="30">
        <f t="shared" si="28"/>
        <v>4.149007397663329E-3</v>
      </c>
      <c r="T142" s="30">
        <f t="shared" si="29"/>
        <v>7.545911976085895E-3</v>
      </c>
      <c r="U142" s="30">
        <f t="shared" si="30"/>
        <v>1.1252512564413175E-2</v>
      </c>
      <c r="V142" s="30">
        <f t="shared" si="31"/>
        <v>1.6436377135476965E-2</v>
      </c>
    </row>
    <row r="143" spans="1:22" s="29" customFormat="1" ht="20" customHeight="1" x14ac:dyDescent="0.35">
      <c r="A143" s="131"/>
      <c r="B143" s="28">
        <v>44802</v>
      </c>
      <c r="C143" s="30">
        <v>4.5055799999999999E-4</v>
      </c>
      <c r="D143" s="30">
        <v>4.4303939999999998E-3</v>
      </c>
      <c r="E143" s="30">
        <v>9.4503620000000003E-3</v>
      </c>
      <c r="F143" s="30">
        <v>1.3822592E-2</v>
      </c>
      <c r="G143" s="30">
        <v>1.8446931999999999E-2</v>
      </c>
      <c r="H143" s="31">
        <f t="shared" si="32"/>
        <v>0.99988736684359025</v>
      </c>
      <c r="I143" s="31">
        <f t="shared" si="33"/>
        <v>0.9977872547381792</v>
      </c>
      <c r="J143" s="31">
        <f t="shared" si="34"/>
        <v>0.99059415233507642</v>
      </c>
      <c r="K143" s="31">
        <f t="shared" si="35"/>
        <v>0.97273344696836384</v>
      </c>
      <c r="L143" s="31">
        <f t="shared" si="36"/>
        <v>0.91189114006141292</v>
      </c>
      <c r="M143" s="30">
        <f t="shared" si="37"/>
        <v>3.1640650000011491E-4</v>
      </c>
      <c r="N143" s="30">
        <f t="shared" si="24"/>
        <v>-1.4498499999998759E-4</v>
      </c>
      <c r="O143" s="30">
        <f t="shared" si="25"/>
        <v>-1.9327779999999235E-3</v>
      </c>
      <c r="P143" s="30">
        <f t="shared" si="26"/>
        <v>-5.2658359999999075E-3</v>
      </c>
      <c r="Q143" s="30">
        <f t="shared" si="27"/>
        <v>-1.0720850000000046E-2</v>
      </c>
      <c r="R143" s="30">
        <f t="shared" si="38"/>
        <v>4.5065951650147262E-4</v>
      </c>
      <c r="S143" s="30">
        <f t="shared" si="28"/>
        <v>4.4402227051492105E-3</v>
      </c>
      <c r="T143" s="30">
        <f t="shared" si="29"/>
        <v>9.4951576715365249E-3</v>
      </c>
      <c r="U143" s="30">
        <f t="shared" si="30"/>
        <v>1.391856571680905E-2</v>
      </c>
      <c r="V143" s="30">
        <f t="shared" si="31"/>
        <v>1.8618127708425858E-2</v>
      </c>
    </row>
    <row r="144" spans="1:22" s="29" customFormat="1" ht="20" customHeight="1" x14ac:dyDescent="0.35">
      <c r="A144" s="131"/>
      <c r="B144" s="28">
        <v>44809</v>
      </c>
      <c r="C144" s="30">
        <v>2.1443700000000005E-3</v>
      </c>
      <c r="D144" s="30">
        <v>6.3642880000000001E-3</v>
      </c>
      <c r="E144" s="30">
        <v>1.1201276E-2</v>
      </c>
      <c r="F144" s="30">
        <v>1.4811414E-2</v>
      </c>
      <c r="G144" s="30">
        <v>1.9101699999999996E-2</v>
      </c>
      <c r="H144" s="31">
        <f t="shared" si="32"/>
        <v>0.99946405117190928</v>
      </c>
      <c r="I144" s="31">
        <f t="shared" si="33"/>
        <v>0.99682291365406817</v>
      </c>
      <c r="J144" s="31">
        <f t="shared" si="34"/>
        <v>0.98886122471177273</v>
      </c>
      <c r="K144" s="31">
        <f t="shared" si="35"/>
        <v>0.97081162746713545</v>
      </c>
      <c r="L144" s="31">
        <f t="shared" si="36"/>
        <v>0.90891063588043175</v>
      </c>
      <c r="M144" s="30">
        <f t="shared" si="37"/>
        <v>-4.2345299999999475E-4</v>
      </c>
      <c r="N144" s="30">
        <f t="shared" si="24"/>
        <v>-9.6694700000002787E-4</v>
      </c>
      <c r="O144" s="30">
        <f t="shared" si="25"/>
        <v>-1.7509139999999966E-3</v>
      </c>
      <c r="P144" s="30">
        <f t="shared" si="26"/>
        <v>-1.9776440000000266E-3</v>
      </c>
      <c r="Q144" s="30">
        <f t="shared" si="27"/>
        <v>-3.2738399999999424E-3</v>
      </c>
      <c r="R144" s="30">
        <f t="shared" si="38"/>
        <v>2.1466708056474548E-3</v>
      </c>
      <c r="S144" s="30">
        <f t="shared" si="28"/>
        <v>6.384583112676756E-3</v>
      </c>
      <c r="T144" s="30">
        <f t="shared" si="29"/>
        <v>1.1264245184124722E-2</v>
      </c>
      <c r="U144" s="30">
        <f t="shared" si="30"/>
        <v>1.4921646553265999E-2</v>
      </c>
      <c r="V144" s="30">
        <f t="shared" si="31"/>
        <v>1.9285304661892821E-2</v>
      </c>
    </row>
    <row r="145" spans="1:22" s="29" customFormat="1" ht="20" customHeight="1" x14ac:dyDescent="0.35">
      <c r="A145" s="131"/>
      <c r="B145" s="28">
        <v>44816</v>
      </c>
      <c r="C145" s="30">
        <v>5.3586860000000005E-3</v>
      </c>
      <c r="D145" s="30">
        <v>9.6307520000000011E-3</v>
      </c>
      <c r="E145" s="30">
        <v>1.4438929999999999E-2</v>
      </c>
      <c r="F145" s="30">
        <v>1.7688906000000001E-2</v>
      </c>
      <c r="G145" s="30">
        <v>2.0802932E-2</v>
      </c>
      <c r="H145" s="31">
        <f t="shared" si="32"/>
        <v>0.9986612254592756</v>
      </c>
      <c r="I145" s="31">
        <f t="shared" si="33"/>
        <v>0.99519619933569281</v>
      </c>
      <c r="J145" s="31">
        <f t="shared" si="34"/>
        <v>0.98566481144441409</v>
      </c>
      <c r="K145" s="31">
        <f t="shared" si="35"/>
        <v>0.9652406678515405</v>
      </c>
      <c r="L145" s="31">
        <f t="shared" si="36"/>
        <v>0.90121208555518784</v>
      </c>
      <c r="M145" s="30">
        <f t="shared" si="37"/>
        <v>-8.0357899999997236E-4</v>
      </c>
      <c r="N145" s="30">
        <f t="shared" si="24"/>
        <v>-1.6332319999999433E-3</v>
      </c>
      <c r="O145" s="30">
        <f t="shared" si="25"/>
        <v>-3.2376539999999384E-3</v>
      </c>
      <c r="P145" s="30">
        <f t="shared" si="26"/>
        <v>-5.7549840000000038E-3</v>
      </c>
      <c r="Q145" s="30">
        <f t="shared" si="27"/>
        <v>-8.5061599999999623E-3</v>
      </c>
      <c r="R145" s="30">
        <f t="shared" si="38"/>
        <v>5.3730694384563904E-3</v>
      </c>
      <c r="S145" s="30">
        <f t="shared" si="28"/>
        <v>9.6772769287813976E-3</v>
      </c>
      <c r="T145" s="30">
        <f t="shared" si="29"/>
        <v>1.4543674877242285E-2</v>
      </c>
      <c r="U145" s="30">
        <f t="shared" si="30"/>
        <v>1.7846281260348151E-2</v>
      </c>
      <c r="V145" s="30">
        <f t="shared" si="31"/>
        <v>2.1020821278940005E-2</v>
      </c>
    </row>
    <row r="146" spans="1:22" s="29" customFormat="1" ht="20" customHeight="1" x14ac:dyDescent="0.35">
      <c r="A146" s="131"/>
      <c r="B146" s="28">
        <v>44823</v>
      </c>
      <c r="C146" s="30">
        <v>7.4326880000000007E-3</v>
      </c>
      <c r="D146" s="30">
        <v>1.2651259999999999E-2</v>
      </c>
      <c r="E146" s="30">
        <v>1.8123945999999998E-2</v>
      </c>
      <c r="F146" s="30">
        <v>2.1114918E-2</v>
      </c>
      <c r="G146" s="30">
        <v>2.3332052000000002E-2</v>
      </c>
      <c r="H146" s="31">
        <f t="shared" si="32"/>
        <v>0.99814355333277027</v>
      </c>
      <c r="I146" s="31">
        <f t="shared" si="33"/>
        <v>0.9936943346788768</v>
      </c>
      <c r="J146" s="31">
        <f t="shared" si="34"/>
        <v>0.98203930497095127</v>
      </c>
      <c r="K146" s="31">
        <f t="shared" si="35"/>
        <v>0.95864942310160672</v>
      </c>
      <c r="L146" s="31">
        <f t="shared" si="36"/>
        <v>0.88988747218216602</v>
      </c>
      <c r="M146" s="30">
        <f t="shared" si="37"/>
        <v>-5.1850050000004535E-4</v>
      </c>
      <c r="N146" s="30">
        <f t="shared" si="24"/>
        <v>-1.5102540000000095E-3</v>
      </c>
      <c r="O146" s="30">
        <f t="shared" si="25"/>
        <v>-3.6850159999999971E-3</v>
      </c>
      <c r="P146" s="30">
        <f t="shared" si="26"/>
        <v>-6.8520240000000138E-3</v>
      </c>
      <c r="Q146" s="30">
        <f t="shared" si="27"/>
        <v>-1.2645600000000062E-2</v>
      </c>
      <c r="R146" s="30">
        <f t="shared" si="38"/>
        <v>7.4603789890983485E-3</v>
      </c>
      <c r="S146" s="30">
        <f t="shared" si="28"/>
        <v>1.2731625741487118E-2</v>
      </c>
      <c r="T146" s="30">
        <f t="shared" si="29"/>
        <v>1.8289181439209434E-2</v>
      </c>
      <c r="U146" s="30">
        <f t="shared" si="30"/>
        <v>2.1339415176721221E-2</v>
      </c>
      <c r="V146" s="30">
        <f t="shared" si="31"/>
        <v>2.3606373666384295E-2</v>
      </c>
    </row>
    <row r="147" spans="1:22" s="29" customFormat="1" ht="20" customHeight="1" x14ac:dyDescent="0.35">
      <c r="A147" s="131"/>
      <c r="B147" s="28">
        <v>44830</v>
      </c>
      <c r="C147" s="30">
        <v>8.6628620000000003E-3</v>
      </c>
      <c r="D147" s="30">
        <v>1.377304E-2</v>
      </c>
      <c r="E147" s="30">
        <v>1.9404912E-2</v>
      </c>
      <c r="F147" s="30">
        <v>2.3042134000000002E-2</v>
      </c>
      <c r="G147" s="30">
        <v>2.6161015999999999E-2</v>
      </c>
      <c r="H147" s="31">
        <f t="shared" si="32"/>
        <v>0.99783662796974526</v>
      </c>
      <c r="I147" s="31">
        <f t="shared" si="33"/>
        <v>0.9931371377412016</v>
      </c>
      <c r="J147" s="31">
        <f t="shared" si="34"/>
        <v>0.98078215136803337</v>
      </c>
      <c r="K147" s="31">
        <f t="shared" si="35"/>
        <v>0.95496148610547171</v>
      </c>
      <c r="L147" s="31">
        <f t="shared" si="36"/>
        <v>0.87738877834513185</v>
      </c>
      <c r="M147" s="30">
        <f t="shared" si="37"/>
        <v>-3.0754349999997477E-4</v>
      </c>
      <c r="N147" s="30">
        <f t="shared" si="24"/>
        <v>-5.6089000000003662E-4</v>
      </c>
      <c r="O147" s="30">
        <f t="shared" si="25"/>
        <v>-1.2809660000001034E-3</v>
      </c>
      <c r="P147" s="30">
        <f t="shared" si="26"/>
        <v>-3.8544319999999541E-3</v>
      </c>
      <c r="Q147" s="30">
        <f t="shared" si="27"/>
        <v>-1.4144819999999898E-2</v>
      </c>
      <c r="R147" s="30">
        <f t="shared" si="38"/>
        <v>8.7004931750835901E-3</v>
      </c>
      <c r="S147" s="30">
        <f t="shared" si="28"/>
        <v>1.3868325268808324E-2</v>
      </c>
      <c r="T147" s="30">
        <f t="shared" si="29"/>
        <v>1.9594411057706207E-2</v>
      </c>
      <c r="U147" s="30">
        <f t="shared" si="30"/>
        <v>2.3309654767896815E-2</v>
      </c>
      <c r="V147" s="30">
        <f t="shared" si="31"/>
        <v>2.6506219092851557E-2</v>
      </c>
    </row>
    <row r="148" spans="1:22" s="29" customFormat="1" ht="20" customHeight="1" x14ac:dyDescent="0.35">
      <c r="A148" s="131"/>
      <c r="B148" s="28">
        <v>44837</v>
      </c>
      <c r="C148" s="30">
        <v>8.0612200000000009E-3</v>
      </c>
      <c r="D148" s="30">
        <v>1.3544086000000002E-2</v>
      </c>
      <c r="E148" s="30">
        <v>1.8769109999999999E-2</v>
      </c>
      <c r="F148" s="30">
        <v>2.1225329999999997E-2</v>
      </c>
      <c r="G148" s="30">
        <v>2.4307596000000001E-2</v>
      </c>
      <c r="H148" s="31">
        <f t="shared" si="32"/>
        <v>0.99798672436363034</v>
      </c>
      <c r="I148" s="31">
        <f t="shared" si="33"/>
        <v>0.99325083560909011</v>
      </c>
      <c r="J148" s="31">
        <f t="shared" si="34"/>
        <v>0.98140593290119738</v>
      </c>
      <c r="K148" s="31">
        <f t="shared" si="35"/>
        <v>0.95843775367310491</v>
      </c>
      <c r="L148" s="31">
        <f t="shared" si="36"/>
        <v>0.88555741923937692</v>
      </c>
      <c r="M148" s="30">
        <f t="shared" si="37"/>
        <v>1.504104999999462E-4</v>
      </c>
      <c r="N148" s="30">
        <f t="shared" si="24"/>
        <v>1.1447699999998715E-4</v>
      </c>
      <c r="O148" s="30">
        <f t="shared" si="25"/>
        <v>6.3580199999996735E-4</v>
      </c>
      <c r="P148" s="30">
        <f t="shared" si="26"/>
        <v>3.6336079999999991E-3</v>
      </c>
      <c r="Q148" s="30">
        <f t="shared" si="27"/>
        <v>9.2670999999999795E-3</v>
      </c>
      <c r="R148" s="30">
        <f t="shared" si="38"/>
        <v>8.0937991175824564E-3</v>
      </c>
      <c r="S148" s="30">
        <f t="shared" si="28"/>
        <v>1.3636222631692174E-2</v>
      </c>
      <c r="T148" s="30">
        <f t="shared" si="29"/>
        <v>1.8946356930852781E-2</v>
      </c>
      <c r="U148" s="30">
        <f t="shared" si="30"/>
        <v>2.1452189529935994E-2</v>
      </c>
      <c r="V148" s="30">
        <f t="shared" si="31"/>
        <v>2.4605433956979672E-2</v>
      </c>
    </row>
    <row r="149" spans="1:22" s="29" customFormat="1" ht="20" customHeight="1" x14ac:dyDescent="0.35">
      <c r="A149" s="131"/>
      <c r="B149" s="28">
        <v>44844</v>
      </c>
      <c r="C149" s="30">
        <v>8.7412159999999996E-3</v>
      </c>
      <c r="D149" s="30">
        <v>1.4461150000000001E-2</v>
      </c>
      <c r="E149" s="30">
        <v>2.0128522000000003E-2</v>
      </c>
      <c r="F149" s="30">
        <v>2.3086558E-2</v>
      </c>
      <c r="G149" s="30">
        <v>2.6711955999999999E-2</v>
      </c>
      <c r="H149" s="31">
        <f t="shared" si="32"/>
        <v>0.9978170820383967</v>
      </c>
      <c r="I149" s="31">
        <f t="shared" si="33"/>
        <v>0.99279550271726524</v>
      </c>
      <c r="J149" s="31">
        <f t="shared" si="34"/>
        <v>0.98007270430793181</v>
      </c>
      <c r="K149" s="31">
        <f t="shared" si="35"/>
        <v>0.95487664345645995</v>
      </c>
      <c r="L149" s="31">
        <f t="shared" si="36"/>
        <v>0.87497516139901033</v>
      </c>
      <c r="M149" s="30">
        <f t="shared" si="37"/>
        <v>-1.6999899999992741E-4</v>
      </c>
      <c r="N149" s="30">
        <f t="shared" ref="N149:N212" si="39">+LN(I149/I148)</f>
        <v>-4.5853200000004369E-4</v>
      </c>
      <c r="O149" s="30">
        <f t="shared" ref="O149:O212" si="40">+LN(J149/J148)</f>
        <v>-1.3594119999999735E-3</v>
      </c>
      <c r="P149" s="30">
        <f t="shared" ref="P149:P212" si="41">+LN(K149/K148)</f>
        <v>-3.7224560000000623E-3</v>
      </c>
      <c r="Q149" s="30">
        <f t="shared" ref="Q149:Q212" si="42">+LN(L149/L148)</f>
        <v>-1.2021799999999978E-2</v>
      </c>
      <c r="R149" s="30">
        <f t="shared" si="38"/>
        <v>8.7795319899890423E-3</v>
      </c>
      <c r="S149" s="30">
        <f t="shared" ref="S149:S212" si="43">+EXP(D149)-1</f>
        <v>1.456621828815452E-2</v>
      </c>
      <c r="T149" s="30">
        <f t="shared" ref="T149:T212" si="44">+EXP(E149)-1</f>
        <v>2.033246676953393E-2</v>
      </c>
      <c r="U149" s="30">
        <f t="shared" ref="U149:U212" si="45">+EXP(F149)-1</f>
        <v>2.3355115285761618E-2</v>
      </c>
      <c r="V149" s="30">
        <f t="shared" ref="V149:V212" si="46">+EXP(G149)-1</f>
        <v>2.7071918248035676E-2</v>
      </c>
    </row>
    <row r="150" spans="1:22" s="29" customFormat="1" ht="20" customHeight="1" x14ac:dyDescent="0.35">
      <c r="A150" s="131"/>
      <c r="B150" s="28">
        <v>44851</v>
      </c>
      <c r="C150" s="30">
        <v>9.6455319999999983E-3</v>
      </c>
      <c r="D150" s="30">
        <v>1.5363248000000001E-2</v>
      </c>
      <c r="E150" s="30">
        <v>2.1214044000000001E-2</v>
      </c>
      <c r="F150" s="30">
        <v>2.4340769999999998E-2</v>
      </c>
      <c r="G150" s="30">
        <v>2.7376656000000003E-2</v>
      </c>
      <c r="H150" s="31">
        <f t="shared" si="32"/>
        <v>0.99759152204845569</v>
      </c>
      <c r="I150" s="31">
        <f t="shared" si="33"/>
        <v>0.99234780427311808</v>
      </c>
      <c r="J150" s="31">
        <f t="shared" si="34"/>
        <v>0.97900939105518403</v>
      </c>
      <c r="K150" s="31">
        <f t="shared" si="35"/>
        <v>0.95248440958976255</v>
      </c>
      <c r="L150" s="31">
        <f t="shared" si="36"/>
        <v>0.87207200843680333</v>
      </c>
      <c r="M150" s="30">
        <f t="shared" si="37"/>
        <v>-2.2607900000008984E-4</v>
      </c>
      <c r="N150" s="30">
        <f t="shared" si="39"/>
        <v>-4.5104899999998251E-4</v>
      </c>
      <c r="O150" s="30">
        <f t="shared" si="40"/>
        <v>-1.0855219999999846E-3</v>
      </c>
      <c r="P150" s="30">
        <f t="shared" si="41"/>
        <v>-2.508424000000137E-3</v>
      </c>
      <c r="Q150" s="30">
        <f t="shared" si="42"/>
        <v>-3.3235000000000534E-3</v>
      </c>
      <c r="R150" s="30">
        <f t="shared" si="38"/>
        <v>9.692200069216117E-3</v>
      </c>
      <c r="S150" s="30">
        <f t="shared" si="43"/>
        <v>1.5481869385956859E-2</v>
      </c>
      <c r="T150" s="30">
        <f t="shared" si="44"/>
        <v>2.1440661485577994E-2</v>
      </c>
      <c r="U150" s="30">
        <f t="shared" si="45"/>
        <v>2.4639424781448316E-2</v>
      </c>
      <c r="V150" s="30">
        <f t="shared" si="46"/>
        <v>2.7754839895960393E-2</v>
      </c>
    </row>
    <row r="151" spans="1:22" s="29" customFormat="1" ht="20" customHeight="1" x14ac:dyDescent="0.35">
      <c r="A151" s="131"/>
      <c r="B151" s="28">
        <v>44858</v>
      </c>
      <c r="C151" s="30">
        <v>1.0605988E-2</v>
      </c>
      <c r="D151" s="30">
        <v>1.6155053999999999E-2</v>
      </c>
      <c r="E151" s="30">
        <v>2.1015419999999996E-2</v>
      </c>
      <c r="F151" s="30">
        <v>2.2831818000000004E-2</v>
      </c>
      <c r="G151" s="30">
        <v>2.5750724000000003E-2</v>
      </c>
      <c r="H151" s="31">
        <f t="shared" si="32"/>
        <v>0.99735201511336535</v>
      </c>
      <c r="I151" s="31">
        <f t="shared" si="33"/>
        <v>0.99195500855999408</v>
      </c>
      <c r="J151" s="31">
        <f t="shared" si="34"/>
        <v>0.97920386512944291</v>
      </c>
      <c r="K151" s="31">
        <f t="shared" si="35"/>
        <v>0.95536325795842048</v>
      </c>
      <c r="L151" s="31">
        <f t="shared" si="36"/>
        <v>0.87919055383162958</v>
      </c>
      <c r="M151" s="30">
        <f t="shared" si="37"/>
        <v>-2.4011400000002579E-4</v>
      </c>
      <c r="N151" s="30">
        <f t="shared" si="39"/>
        <v>-3.9590299999997465E-4</v>
      </c>
      <c r="O151" s="30">
        <f t="shared" si="40"/>
        <v>1.986239999999391E-4</v>
      </c>
      <c r="P151" s="30">
        <f t="shared" si="41"/>
        <v>3.0179039999999511E-3</v>
      </c>
      <c r="Q151" s="30">
        <f t="shared" si="42"/>
        <v>8.1296599999998893E-3</v>
      </c>
      <c r="R151" s="30">
        <f t="shared" si="38"/>
        <v>1.0662430858332739E-2</v>
      </c>
      <c r="S151" s="30">
        <f t="shared" si="43"/>
        <v>1.6286252438665327E-2</v>
      </c>
      <c r="T151" s="30">
        <f t="shared" si="44"/>
        <v>2.1237799002976843E-2</v>
      </c>
      <c r="U151" s="30">
        <f t="shared" si="45"/>
        <v>2.3094459004893819E-2</v>
      </c>
      <c r="V151" s="30">
        <f t="shared" si="46"/>
        <v>2.6085138192176949E-2</v>
      </c>
    </row>
    <row r="152" spans="1:22" s="29" customFormat="1" ht="20" customHeight="1" x14ac:dyDescent="0.35">
      <c r="A152" s="131"/>
      <c r="B152" s="28">
        <v>44865</v>
      </c>
      <c r="C152" s="30">
        <v>1.2298854E-2</v>
      </c>
      <c r="D152" s="30">
        <v>1.7779805999999999E-2</v>
      </c>
      <c r="E152" s="30">
        <v>2.2106810000000001E-2</v>
      </c>
      <c r="F152" s="30">
        <v>2.3185544000000006E-2</v>
      </c>
      <c r="G152" s="30">
        <v>2.5862713999999998E-2</v>
      </c>
      <c r="H152" s="31">
        <f t="shared" si="32"/>
        <v>0.99693000859062186</v>
      </c>
      <c r="I152" s="31">
        <f t="shared" si="33"/>
        <v>0.99114949535205921</v>
      </c>
      <c r="J152" s="31">
        <f t="shared" si="34"/>
        <v>0.97813575479157178</v>
      </c>
      <c r="K152" s="31">
        <f t="shared" si="35"/>
        <v>0.95468762332856527</v>
      </c>
      <c r="L152" s="31">
        <f t="shared" si="36"/>
        <v>0.87869838888775142</v>
      </c>
      <c r="M152" s="30">
        <f t="shared" si="37"/>
        <v>-4.2321649999986185E-4</v>
      </c>
      <c r="N152" s="30">
        <f t="shared" si="39"/>
        <v>-8.1237599999999801E-4</v>
      </c>
      <c r="O152" s="30">
        <f t="shared" si="40"/>
        <v>-1.0913900000000542E-3</v>
      </c>
      <c r="P152" s="30">
        <f t="shared" si="41"/>
        <v>-7.074519999999766E-4</v>
      </c>
      <c r="Q152" s="30">
        <f t="shared" si="42"/>
        <v>-5.5994999999993216E-4</v>
      </c>
      <c r="R152" s="30">
        <f t="shared" si="38"/>
        <v>1.2374795918364434E-2</v>
      </c>
      <c r="S152" s="30">
        <f t="shared" si="43"/>
        <v>1.7938807692577496E-2</v>
      </c>
      <c r="T152" s="30">
        <f t="shared" si="44"/>
        <v>2.2352976160335825E-2</v>
      </c>
      <c r="U152" s="30">
        <f t="shared" si="45"/>
        <v>2.3456418128902312E-2</v>
      </c>
      <c r="V152" s="30">
        <f t="shared" si="46"/>
        <v>2.6200055901500097E-2</v>
      </c>
    </row>
    <row r="153" spans="1:22" s="29" customFormat="1" ht="20" customHeight="1" x14ac:dyDescent="0.35">
      <c r="A153" s="131"/>
      <c r="B153" s="28">
        <v>44872</v>
      </c>
      <c r="C153" s="30">
        <v>1.3216404000000001E-2</v>
      </c>
      <c r="D153" s="30">
        <v>1.8940148E-2</v>
      </c>
      <c r="E153" s="30">
        <v>2.3291335999999999E-2</v>
      </c>
      <c r="F153" s="30">
        <v>2.4100779999999999E-2</v>
      </c>
      <c r="G153" s="30">
        <v>2.6370117999999998E-2</v>
      </c>
      <c r="H153" s="31">
        <f t="shared" si="32"/>
        <v>0.9967013515348141</v>
      </c>
      <c r="I153" s="31">
        <f t="shared" si="33"/>
        <v>0.99057462593559842</v>
      </c>
      <c r="J153" s="31">
        <f t="shared" si="34"/>
        <v>0.97697781349966739</v>
      </c>
      <c r="K153" s="31">
        <f t="shared" si="35"/>
        <v>0.95294169279129393</v>
      </c>
      <c r="L153" s="31">
        <f t="shared" si="36"/>
        <v>0.87647193896936781</v>
      </c>
      <c r="M153" s="30">
        <f t="shared" si="37"/>
        <v>-2.2938750000002457E-4</v>
      </c>
      <c r="N153" s="30">
        <f t="shared" si="39"/>
        <v>-5.8017100000003175E-4</v>
      </c>
      <c r="O153" s="30">
        <f t="shared" si="40"/>
        <v>-1.1845260000000071E-3</v>
      </c>
      <c r="P153" s="30">
        <f t="shared" si="41"/>
        <v>-1.8304719999999927E-3</v>
      </c>
      <c r="Q153" s="30">
        <f t="shared" si="42"/>
        <v>-2.5370200000000439E-3</v>
      </c>
      <c r="R153" s="30">
        <f t="shared" si="38"/>
        <v>1.3304126700888874E-2</v>
      </c>
      <c r="S153" s="30">
        <f t="shared" si="43"/>
        <v>1.9120650382826287E-2</v>
      </c>
      <c r="T153" s="30">
        <f t="shared" si="44"/>
        <v>2.356469735772615E-2</v>
      </c>
      <c r="U153" s="30">
        <f t="shared" si="45"/>
        <v>2.4393551070691188E-2</v>
      </c>
      <c r="V153" s="30">
        <f t="shared" si="46"/>
        <v>2.6720886039137914E-2</v>
      </c>
    </row>
    <row r="154" spans="1:22" s="29" customFormat="1" ht="20" customHeight="1" x14ac:dyDescent="0.35">
      <c r="A154" s="131"/>
      <c r="B154" s="28">
        <v>44879</v>
      </c>
      <c r="C154" s="30">
        <v>1.4251633999999999E-2</v>
      </c>
      <c r="D154" s="30">
        <v>1.9733011999999998E-2</v>
      </c>
      <c r="E154" s="30">
        <v>2.3248221999999999E-2</v>
      </c>
      <c r="F154" s="30">
        <v>2.3119345999999999E-2</v>
      </c>
      <c r="G154" s="30">
        <v>2.4927424E-2</v>
      </c>
      <c r="H154" s="31">
        <f t="shared" si="32"/>
        <v>0.99644343112708433</v>
      </c>
      <c r="I154" s="31">
        <f t="shared" si="33"/>
        <v>0.99018200828373193</v>
      </c>
      <c r="J154" s="31">
        <f t="shared" si="34"/>
        <v>0.97701993582914315</v>
      </c>
      <c r="K154" s="31">
        <f t="shared" si="35"/>
        <v>0.95481402851872965</v>
      </c>
      <c r="L154" s="31">
        <f t="shared" si="36"/>
        <v>0.88281720117206619</v>
      </c>
      <c r="M154" s="30">
        <f t="shared" si="37"/>
        <v>-2.5880750000007271E-4</v>
      </c>
      <c r="N154" s="30">
        <f t="shared" si="39"/>
        <v>-3.9643200000004239E-4</v>
      </c>
      <c r="O154" s="30">
        <f t="shared" si="40"/>
        <v>4.3113999999917547E-5</v>
      </c>
      <c r="P154" s="30">
        <f t="shared" si="41"/>
        <v>1.9628679999999666E-3</v>
      </c>
      <c r="Q154" s="30">
        <f t="shared" si="42"/>
        <v>7.2134699999999189E-3</v>
      </c>
      <c r="R154" s="30">
        <f t="shared" si="38"/>
        <v>1.4353672698991904E-2</v>
      </c>
      <c r="S154" s="30">
        <f t="shared" si="43"/>
        <v>1.9928994869446992E-2</v>
      </c>
      <c r="T154" s="30">
        <f t="shared" si="44"/>
        <v>2.3520568340660297E-2</v>
      </c>
      <c r="U154" s="30">
        <f t="shared" si="45"/>
        <v>2.3388669603368051E-2</v>
      </c>
      <c r="V154" s="30">
        <f t="shared" si="46"/>
        <v>2.524070995448513E-2</v>
      </c>
    </row>
    <row r="155" spans="1:22" s="29" customFormat="1" ht="20" customHeight="1" x14ac:dyDescent="0.35">
      <c r="A155" s="131"/>
      <c r="B155" s="28">
        <v>44886</v>
      </c>
      <c r="C155" s="30">
        <v>1.4306262E-2</v>
      </c>
      <c r="D155" s="30">
        <v>1.9806994000000001E-2</v>
      </c>
      <c r="E155" s="30">
        <v>2.3101729999999997E-2</v>
      </c>
      <c r="F155" s="30">
        <v>2.2691204E-2</v>
      </c>
      <c r="G155" s="30">
        <v>2.4182301999999999E-2</v>
      </c>
      <c r="H155" s="31">
        <f t="shared" si="32"/>
        <v>0.99642982279207015</v>
      </c>
      <c r="I155" s="31">
        <f t="shared" si="33"/>
        <v>0.99014538113850503</v>
      </c>
      <c r="J155" s="31">
        <f t="shared" si="34"/>
        <v>0.97716307191747265</v>
      </c>
      <c r="K155" s="31">
        <f t="shared" si="35"/>
        <v>0.95563197063972349</v>
      </c>
      <c r="L155" s="31">
        <f t="shared" si="36"/>
        <v>0.88611236820709793</v>
      </c>
      <c r="M155" s="30">
        <f t="shared" si="37"/>
        <v>-1.3656999999997618E-5</v>
      </c>
      <c r="N155" s="30">
        <f t="shared" si="39"/>
        <v>-3.6990999999972155E-5</v>
      </c>
      <c r="O155" s="30">
        <f t="shared" si="40"/>
        <v>1.4649200000000306E-4</v>
      </c>
      <c r="P155" s="30">
        <f t="shared" si="41"/>
        <v>8.5628399999983175E-4</v>
      </c>
      <c r="Q155" s="30">
        <f t="shared" si="42"/>
        <v>3.7256100000000111E-3</v>
      </c>
      <c r="R155" s="30">
        <f t="shared" si="38"/>
        <v>1.4409086324978171E-2</v>
      </c>
      <c r="S155" s="30">
        <f t="shared" si="43"/>
        <v>2.0004454047621412E-2</v>
      </c>
      <c r="T155" s="30">
        <f t="shared" si="44"/>
        <v>2.3370641747354259E-2</v>
      </c>
      <c r="U155" s="30">
        <f t="shared" si="45"/>
        <v>2.2950607714625093E-2</v>
      </c>
      <c r="V155" s="30">
        <f t="shared" si="46"/>
        <v>2.4477065085829919E-2</v>
      </c>
    </row>
    <row r="156" spans="1:22" s="29" customFormat="1" ht="20" customHeight="1" x14ac:dyDescent="0.35">
      <c r="A156" s="131"/>
      <c r="B156" s="28">
        <v>44893</v>
      </c>
      <c r="C156" s="30">
        <v>1.5333994000000002E-2</v>
      </c>
      <c r="D156" s="30">
        <v>1.9773983999999998E-2</v>
      </c>
      <c r="E156" s="30">
        <v>2.2622832000000002E-2</v>
      </c>
      <c r="F156" s="30">
        <v>2.2557970000000004E-2</v>
      </c>
      <c r="G156" s="30">
        <v>2.4051966000000004E-2</v>
      </c>
      <c r="H156" s="31">
        <f t="shared" si="32"/>
        <v>0.9961738399750355</v>
      </c>
      <c r="I156" s="31">
        <f t="shared" si="33"/>
        <v>0.99016172362288668</v>
      </c>
      <c r="J156" s="31">
        <f t="shared" si="34"/>
        <v>0.97763114542907625</v>
      </c>
      <c r="K156" s="31">
        <f t="shared" si="35"/>
        <v>0.95588664991010686</v>
      </c>
      <c r="L156" s="31">
        <f t="shared" si="36"/>
        <v>0.88669001811621417</v>
      </c>
      <c r="M156" s="30">
        <f t="shared" si="37"/>
        <v>-2.5693299999999739E-4</v>
      </c>
      <c r="N156" s="30">
        <f t="shared" si="39"/>
        <v>1.6504999999949499E-5</v>
      </c>
      <c r="O156" s="30">
        <f t="shared" si="40"/>
        <v>4.7889800000002625E-4</v>
      </c>
      <c r="P156" s="30">
        <f t="shared" si="41"/>
        <v>2.6646800000003471E-4</v>
      </c>
      <c r="Q156" s="30">
        <f t="shared" si="42"/>
        <v>6.5167999999996039E-4</v>
      </c>
      <c r="R156" s="30">
        <f t="shared" si="38"/>
        <v>1.5452162913868417E-2</v>
      </c>
      <c r="S156" s="30">
        <f t="shared" si="43"/>
        <v>1.9970784256316376E-2</v>
      </c>
      <c r="T156" s="30">
        <f t="shared" si="44"/>
        <v>2.2880668926628989E-2</v>
      </c>
      <c r="U156" s="30">
        <f t="shared" si="45"/>
        <v>2.2814324992304513E-2</v>
      </c>
      <c r="V156" s="30">
        <f t="shared" si="46"/>
        <v>2.4343547544335209E-2</v>
      </c>
    </row>
    <row r="157" spans="1:22" s="29" customFormat="1" ht="20" customHeight="1" x14ac:dyDescent="0.35">
      <c r="A157" s="131"/>
      <c r="B157" s="28">
        <v>44900</v>
      </c>
      <c r="C157" s="30">
        <v>1.5772640000000001E-2</v>
      </c>
      <c r="D157" s="30">
        <v>1.9838432000000003E-2</v>
      </c>
      <c r="E157" s="30">
        <v>2.2452727999999998E-2</v>
      </c>
      <c r="F157" s="30">
        <v>2.2249521999999997E-2</v>
      </c>
      <c r="G157" s="30">
        <v>2.3246711999999999E-2</v>
      </c>
      <c r="H157" s="31">
        <f t="shared" si="32"/>
        <v>0.99606460404708042</v>
      </c>
      <c r="I157" s="31">
        <f t="shared" si="33"/>
        <v>0.99012981716558435</v>
      </c>
      <c r="J157" s="31">
        <f t="shared" si="34"/>
        <v>0.97779745854230016</v>
      </c>
      <c r="K157" s="31">
        <f t="shared" si="35"/>
        <v>0.95647651448473159</v>
      </c>
      <c r="L157" s="31">
        <f t="shared" si="36"/>
        <v>0.89026726819026203</v>
      </c>
      <c r="M157" s="30">
        <f t="shared" si="37"/>
        <v>-1.0966150000000298E-4</v>
      </c>
      <c r="N157" s="30">
        <f t="shared" si="39"/>
        <v>-3.2223999999954526E-5</v>
      </c>
      <c r="O157" s="30">
        <f t="shared" si="40"/>
        <v>1.7010399999989567E-4</v>
      </c>
      <c r="P157" s="30">
        <f t="shared" si="41"/>
        <v>6.1689600000004664E-4</v>
      </c>
      <c r="Q157" s="30">
        <f t="shared" si="42"/>
        <v>4.0262700000000843E-3</v>
      </c>
      <c r="R157" s="30">
        <f t="shared" si="38"/>
        <v>1.5897684649341937E-2</v>
      </c>
      <c r="S157" s="30">
        <f t="shared" si="43"/>
        <v>2.0036521451712641E-2</v>
      </c>
      <c r="T157" s="30">
        <f t="shared" si="44"/>
        <v>2.2706687631198541E-2</v>
      </c>
      <c r="U157" s="30">
        <f t="shared" si="45"/>
        <v>2.24988886097508E-2</v>
      </c>
      <c r="V157" s="30">
        <f t="shared" si="46"/>
        <v>2.3519022825768898E-2</v>
      </c>
    </row>
    <row r="158" spans="1:22" s="29" customFormat="1" ht="20" customHeight="1" x14ac:dyDescent="0.35">
      <c r="A158" s="131"/>
      <c r="B158" s="28">
        <v>44907</v>
      </c>
      <c r="C158" s="30">
        <v>1.6644526E-2</v>
      </c>
      <c r="D158" s="30">
        <v>2.0947979999999998E-2</v>
      </c>
      <c r="E158" s="30">
        <v>2.3872097999999998E-2</v>
      </c>
      <c r="F158" s="30">
        <v>2.3885348000000001E-2</v>
      </c>
      <c r="G158" s="30">
        <v>2.4983708E-2</v>
      </c>
      <c r="H158" s="31">
        <f t="shared" si="32"/>
        <v>0.99584751401181915</v>
      </c>
      <c r="I158" s="31">
        <f t="shared" si="33"/>
        <v>0.98958067122642512</v>
      </c>
      <c r="J158" s="31">
        <f t="shared" si="34"/>
        <v>0.97641058663858993</v>
      </c>
      <c r="K158" s="31">
        <f t="shared" si="35"/>
        <v>0.95335236952737401</v>
      </c>
      <c r="L158" s="31">
        <f t="shared" si="36"/>
        <v>0.88256879371036578</v>
      </c>
      <c r="M158" s="30">
        <f t="shared" si="37"/>
        <v>-2.1797150000000125E-4</v>
      </c>
      <c r="N158" s="30">
        <f t="shared" si="39"/>
        <v>-5.5477400000006219E-4</v>
      </c>
      <c r="O158" s="30">
        <f t="shared" si="40"/>
        <v>-1.4193699999999615E-3</v>
      </c>
      <c r="P158" s="30">
        <f t="shared" si="41"/>
        <v>-3.2716520000001044E-3</v>
      </c>
      <c r="Q158" s="30">
        <f t="shared" si="42"/>
        <v>-8.6849799999999411E-3</v>
      </c>
      <c r="R158" s="30">
        <f t="shared" si="38"/>
        <v>1.6783817865457351E-2</v>
      </c>
      <c r="S158" s="30">
        <f t="shared" si="43"/>
        <v>2.1168929048132945E-2</v>
      </c>
      <c r="T158" s="30">
        <f t="shared" si="44"/>
        <v>2.4159317488168019E-2</v>
      </c>
      <c r="U158" s="30">
        <f t="shared" si="45"/>
        <v>2.4172887689027034E-2</v>
      </c>
      <c r="V158" s="30">
        <f t="shared" si="46"/>
        <v>2.5298416226558817E-2</v>
      </c>
    </row>
    <row r="159" spans="1:22" s="29" customFormat="1" ht="20" customHeight="1" x14ac:dyDescent="0.35">
      <c r="A159" s="131"/>
      <c r="B159" s="28">
        <v>44914</v>
      </c>
      <c r="C159" s="30">
        <v>1.7704499999999998E-2</v>
      </c>
      <c r="D159" s="30">
        <v>2.2146625999999999E-2</v>
      </c>
      <c r="E159" s="30">
        <v>2.5875051999999999E-2</v>
      </c>
      <c r="F159" s="30">
        <v>2.6907002000000003E-2</v>
      </c>
      <c r="G159" s="30">
        <v>2.8479946000000003E-2</v>
      </c>
      <c r="H159" s="31">
        <f t="shared" si="32"/>
        <v>0.99558365585550712</v>
      </c>
      <c r="I159" s="31">
        <f t="shared" si="33"/>
        <v>0.98898777045708453</v>
      </c>
      <c r="J159" s="31">
        <f t="shared" si="34"/>
        <v>0.97445683843550357</v>
      </c>
      <c r="K159" s="31">
        <f t="shared" si="35"/>
        <v>0.94760834147287099</v>
      </c>
      <c r="L159" s="31">
        <f t="shared" si="36"/>
        <v>0.86727451154785296</v>
      </c>
      <c r="M159" s="30">
        <f t="shared" si="37"/>
        <v>-2.6499349999989494E-4</v>
      </c>
      <c r="N159" s="30">
        <f t="shared" si="39"/>
        <v>-5.9932300000001455E-4</v>
      </c>
      <c r="O159" s="30">
        <f t="shared" si="40"/>
        <v>-2.0029539999999869E-3</v>
      </c>
      <c r="P159" s="30">
        <f t="shared" si="41"/>
        <v>-6.043307999999992E-3</v>
      </c>
      <c r="Q159" s="30">
        <f t="shared" si="42"/>
        <v>-1.7481190000000105E-2</v>
      </c>
      <c r="R159" s="30">
        <f t="shared" si="38"/>
        <v>1.7862153679015114E-2</v>
      </c>
      <c r="S159" s="30">
        <f t="shared" si="43"/>
        <v>2.2393682976820539E-2</v>
      </c>
      <c r="T159" s="30">
        <f t="shared" si="44"/>
        <v>2.6212717235897465E-2</v>
      </c>
      <c r="U159" s="30">
        <f t="shared" si="45"/>
        <v>2.7272264055091311E-2</v>
      </c>
      <c r="V159" s="30">
        <f t="shared" si="46"/>
        <v>2.8889377280060025E-2</v>
      </c>
    </row>
    <row r="160" spans="1:22" s="29" customFormat="1" ht="20" customHeight="1" x14ac:dyDescent="0.35">
      <c r="A160" s="131"/>
      <c r="B160" s="28">
        <v>44921</v>
      </c>
      <c r="C160" s="30">
        <v>1.8763129999999999E-2</v>
      </c>
      <c r="D160" s="30">
        <v>2.2750474999999999E-2</v>
      </c>
      <c r="E160" s="30">
        <v>2.6569922499999999E-2</v>
      </c>
      <c r="F160" s="30">
        <v>2.8233059999999997E-2</v>
      </c>
      <c r="G160" s="30">
        <v>2.9974347500000002E-2</v>
      </c>
      <c r="H160" s="31">
        <f t="shared" si="32"/>
        <v>0.99532020203815963</v>
      </c>
      <c r="I160" s="31">
        <f t="shared" si="33"/>
        <v>0.98868921589171999</v>
      </c>
      <c r="J160" s="31">
        <f t="shared" si="34"/>
        <v>0.97377995232628201</v>
      </c>
      <c r="K160" s="31">
        <f t="shared" si="35"/>
        <v>0.94509850389004701</v>
      </c>
      <c r="L160" s="31">
        <f t="shared" si="36"/>
        <v>0.86081838006205591</v>
      </c>
      <c r="M160" s="30">
        <f t="shared" si="37"/>
        <v>-2.6465749999998348E-4</v>
      </c>
      <c r="N160" s="30">
        <f t="shared" si="39"/>
        <v>-3.0192450000006118E-4</v>
      </c>
      <c r="O160" s="30">
        <f t="shared" si="40"/>
        <v>-6.9487049999992915E-4</v>
      </c>
      <c r="P160" s="30">
        <f t="shared" si="41"/>
        <v>-2.6521159999999826E-3</v>
      </c>
      <c r="Q160" s="30">
        <f t="shared" si="42"/>
        <v>-7.4720074999999947E-3</v>
      </c>
      <c r="R160" s="30">
        <f t="shared" si="38"/>
        <v>1.8940263649857236E-2</v>
      </c>
      <c r="S160" s="30">
        <f t="shared" si="43"/>
        <v>2.3011240816969369E-2</v>
      </c>
      <c r="T160" s="30">
        <f t="shared" si="44"/>
        <v>2.6926049988070133E-2</v>
      </c>
      <c r="U160" s="30">
        <f t="shared" si="45"/>
        <v>2.8635390251471771E-2</v>
      </c>
      <c r="V160" s="30">
        <f t="shared" si="46"/>
        <v>3.0428100557627458E-2</v>
      </c>
    </row>
    <row r="161" spans="1:22" s="29" customFormat="1" ht="20" customHeight="1" x14ac:dyDescent="0.35">
      <c r="A161" s="131"/>
      <c r="B161" s="28">
        <v>44928</v>
      </c>
      <c r="C161" s="30">
        <v>2.0771748000000003E-2</v>
      </c>
      <c r="D161" s="30">
        <v>2.4593555999999999E-2</v>
      </c>
      <c r="E161" s="30">
        <v>2.7550262000000002E-2</v>
      </c>
      <c r="F161" s="30">
        <v>2.7908062000000001E-2</v>
      </c>
      <c r="G161" s="30">
        <v>2.8729068E-2</v>
      </c>
      <c r="H161" s="31">
        <f t="shared" si="32"/>
        <v>0.99482052298830692</v>
      </c>
      <c r="I161" s="31">
        <f t="shared" si="33"/>
        <v>0.98777851842411224</v>
      </c>
      <c r="J161" s="31">
        <f t="shared" si="34"/>
        <v>0.97282578515501028</v>
      </c>
      <c r="K161" s="31">
        <f t="shared" si="35"/>
        <v>0.94571301383004736</v>
      </c>
      <c r="L161" s="31">
        <f t="shared" si="36"/>
        <v>0.8661948982716593</v>
      </c>
      <c r="M161" s="30">
        <f t="shared" si="37"/>
        <v>-5.0215449999990963E-4</v>
      </c>
      <c r="N161" s="30">
        <f t="shared" si="39"/>
        <v>-9.2154049999990616E-4</v>
      </c>
      <c r="O161" s="30">
        <f t="shared" si="40"/>
        <v>-9.8033950000007215E-4</v>
      </c>
      <c r="P161" s="30">
        <f t="shared" si="41"/>
        <v>6.4999599999989474E-4</v>
      </c>
      <c r="Q161" s="30">
        <f t="shared" si="42"/>
        <v>6.2263974999999094E-3</v>
      </c>
      <c r="R161" s="30">
        <f t="shared" si="38"/>
        <v>2.0988982262085676E-2</v>
      </c>
      <c r="S161" s="30">
        <f t="shared" si="43"/>
        <v>2.4898472023459739E-2</v>
      </c>
      <c r="T161" s="30">
        <f t="shared" si="44"/>
        <v>2.7933279791365395E-2</v>
      </c>
      <c r="U161" s="30">
        <f t="shared" si="45"/>
        <v>2.8301140125164048E-2</v>
      </c>
      <c r="V161" s="30">
        <f t="shared" si="46"/>
        <v>2.914572818950667E-2</v>
      </c>
    </row>
    <row r="162" spans="1:22" s="29" customFormat="1" ht="20" customHeight="1" x14ac:dyDescent="0.35">
      <c r="A162" s="131"/>
      <c r="B162" s="28">
        <v>44935</v>
      </c>
      <c r="C162" s="30">
        <v>2.2353227999999999E-2</v>
      </c>
      <c r="D162" s="30">
        <v>2.5541654E-2</v>
      </c>
      <c r="E162" s="30">
        <v>2.7537746000000002E-2</v>
      </c>
      <c r="F162" s="30">
        <v>2.7085531999999999E-2</v>
      </c>
      <c r="G162" s="30">
        <v>2.7322065999999999E-2</v>
      </c>
      <c r="H162" s="31">
        <f t="shared" si="32"/>
        <v>0.99442727854178403</v>
      </c>
      <c r="I162" s="31">
        <f t="shared" si="33"/>
        <v>0.98731037397570243</v>
      </c>
      <c r="J162" s="31">
        <f t="shared" si="34"/>
        <v>0.97283796111873433</v>
      </c>
      <c r="K162" s="31">
        <f t="shared" si="35"/>
        <v>0.94727004883744303</v>
      </c>
      <c r="L162" s="31">
        <f t="shared" si="36"/>
        <v>0.87231007297988661</v>
      </c>
      <c r="M162" s="30">
        <f t="shared" si="37"/>
        <v>-3.9536999999997829E-4</v>
      </c>
      <c r="N162" s="30">
        <f t="shared" si="39"/>
        <v>-4.7404900000012619E-4</v>
      </c>
      <c r="O162" s="30">
        <f t="shared" si="40"/>
        <v>1.2516000000075925E-5</v>
      </c>
      <c r="P162" s="30">
        <f t="shared" si="41"/>
        <v>1.6450600000000905E-3</v>
      </c>
      <c r="Q162" s="30">
        <f t="shared" si="42"/>
        <v>7.0350100000000308E-3</v>
      </c>
      <c r="R162" s="30">
        <f t="shared" si="38"/>
        <v>2.2604933378137293E-2</v>
      </c>
      <c r="S162" s="30">
        <f t="shared" si="43"/>
        <v>2.5870636995998897E-2</v>
      </c>
      <c r="T162" s="30">
        <f t="shared" si="44"/>
        <v>2.7920414258948201E-2</v>
      </c>
      <c r="U162" s="30">
        <f t="shared" si="45"/>
        <v>2.7455679344471573E-2</v>
      </c>
      <c r="V162" s="30">
        <f t="shared" si="46"/>
        <v>2.7698736290612258E-2</v>
      </c>
    </row>
    <row r="163" spans="1:22" s="29" customFormat="1" ht="20" customHeight="1" x14ac:dyDescent="0.35">
      <c r="A163" s="131"/>
      <c r="B163" s="28">
        <v>44942</v>
      </c>
      <c r="C163" s="30">
        <v>2.2821918E-2</v>
      </c>
      <c r="D163" s="30">
        <v>2.5681371999999997E-2</v>
      </c>
      <c r="E163" s="30">
        <v>2.7040454000000002E-2</v>
      </c>
      <c r="F163" s="30">
        <v>2.6045815999999999E-2</v>
      </c>
      <c r="G163" s="30">
        <v>2.5971167999999999E-2</v>
      </c>
      <c r="H163" s="31">
        <f t="shared" si="32"/>
        <v>0.99431076583766476</v>
      </c>
      <c r="I163" s="31">
        <f t="shared" si="33"/>
        <v>0.98724140386940629</v>
      </c>
      <c r="J163" s="31">
        <f t="shared" si="34"/>
        <v>0.97332186596512693</v>
      </c>
      <c r="K163" s="31">
        <f t="shared" si="35"/>
        <v>0.94924188192552483</v>
      </c>
      <c r="L163" s="31">
        <f t="shared" si="36"/>
        <v>0.87822202628265733</v>
      </c>
      <c r="M163" s="30">
        <f t="shared" si="37"/>
        <v>-1.171725000000054E-4</v>
      </c>
      <c r="N163" s="30">
        <f t="shared" si="39"/>
        <v>-6.985899999998948E-5</v>
      </c>
      <c r="O163" s="30">
        <f t="shared" si="40"/>
        <v>4.9729199999996897E-4</v>
      </c>
      <c r="P163" s="30">
        <f t="shared" si="41"/>
        <v>2.0794319999998452E-3</v>
      </c>
      <c r="Q163" s="30">
        <f t="shared" si="42"/>
        <v>6.7544900000001649E-3</v>
      </c>
      <c r="R163" s="30">
        <f t="shared" si="38"/>
        <v>2.3084330419886223E-2</v>
      </c>
      <c r="S163" s="30">
        <f t="shared" si="43"/>
        <v>2.6013979603196846E-2</v>
      </c>
      <c r="T163" s="30">
        <f t="shared" si="44"/>
        <v>2.7409364741250775E-2</v>
      </c>
      <c r="U163" s="30">
        <f t="shared" si="45"/>
        <v>2.6387972387553082E-2</v>
      </c>
      <c r="V163" s="30">
        <f t="shared" si="46"/>
        <v>2.6311357437802219E-2</v>
      </c>
    </row>
    <row r="164" spans="1:22" s="29" customFormat="1" ht="20" customHeight="1" x14ac:dyDescent="0.35">
      <c r="A164" s="131"/>
      <c r="B164" s="28">
        <v>44949</v>
      </c>
      <c r="C164" s="30">
        <v>2.3255986000000003E-2</v>
      </c>
      <c r="D164" s="30">
        <v>2.6044841999999995E-2</v>
      </c>
      <c r="E164" s="30">
        <v>2.7425393999999995E-2</v>
      </c>
      <c r="F164" s="30">
        <v>2.6595280000000002E-2</v>
      </c>
      <c r="G164" s="30">
        <v>2.6815434000000003E-2</v>
      </c>
      <c r="H164" s="31">
        <f t="shared" si="32"/>
        <v>0.99420287207054825</v>
      </c>
      <c r="I164" s="31">
        <f t="shared" si="33"/>
        <v>0.98706200385499865</v>
      </c>
      <c r="J164" s="31">
        <f t="shared" si="34"/>
        <v>0.97294726754962502</v>
      </c>
      <c r="K164" s="31">
        <f t="shared" si="35"/>
        <v>0.94819930640534145</v>
      </c>
      <c r="L164" s="31">
        <f t="shared" si="36"/>
        <v>0.87452257509216491</v>
      </c>
      <c r="M164" s="30">
        <f t="shared" si="37"/>
        <v>-1.0851699999997224E-4</v>
      </c>
      <c r="N164" s="30">
        <f t="shared" si="39"/>
        <v>-1.8173499999994962E-4</v>
      </c>
      <c r="O164" s="30">
        <f t="shared" si="40"/>
        <v>-3.8493999999995063E-4</v>
      </c>
      <c r="P164" s="30">
        <f t="shared" si="41"/>
        <v>-1.0989279999999348E-3</v>
      </c>
      <c r="Q164" s="30">
        <f t="shared" si="42"/>
        <v>-4.2213300000000604E-3</v>
      </c>
      <c r="R164" s="30">
        <f t="shared" si="38"/>
        <v>2.3528514985201587E-2</v>
      </c>
      <c r="S164" s="30">
        <f t="shared" si="43"/>
        <v>2.6386972686154753E-2</v>
      </c>
      <c r="T164" s="30">
        <f t="shared" si="44"/>
        <v>2.7804931832027702E-2</v>
      </c>
      <c r="U164" s="30">
        <f t="shared" si="45"/>
        <v>2.6952090595543599E-2</v>
      </c>
      <c r="V164" s="30">
        <f t="shared" si="46"/>
        <v>2.7178203094968989E-2</v>
      </c>
    </row>
    <row r="165" spans="1:22" s="29" customFormat="1" ht="20" customHeight="1" x14ac:dyDescent="0.35">
      <c r="A165" s="131"/>
      <c r="B165" s="28">
        <v>44956</v>
      </c>
      <c r="C165" s="30">
        <v>2.3916125999999996E-2</v>
      </c>
      <c r="D165" s="30">
        <v>2.6604760000000002E-2</v>
      </c>
      <c r="E165" s="30">
        <v>2.7831079999999998E-2</v>
      </c>
      <c r="F165" s="30">
        <v>2.6965186000000002E-2</v>
      </c>
      <c r="G165" s="30">
        <v>2.7257880000000005E-2</v>
      </c>
      <c r="H165" s="31">
        <f t="shared" si="32"/>
        <v>0.99403880733813998</v>
      </c>
      <c r="I165" s="31">
        <f t="shared" si="33"/>
        <v>0.98678570564135182</v>
      </c>
      <c r="J165" s="31">
        <f t="shared" si="34"/>
        <v>0.97255263651799662</v>
      </c>
      <c r="K165" s="31">
        <f t="shared" si="35"/>
        <v>0.94749807660116614</v>
      </c>
      <c r="L165" s="31">
        <f t="shared" si="36"/>
        <v>0.87259006837866648</v>
      </c>
      <c r="M165" s="30">
        <f t="shared" si="37"/>
        <v>-1.6503500000001963E-4</v>
      </c>
      <c r="N165" s="30">
        <f t="shared" si="39"/>
        <v>-2.7995900000001283E-4</v>
      </c>
      <c r="O165" s="30">
        <f t="shared" si="40"/>
        <v>-4.0568600000002563E-4</v>
      </c>
      <c r="P165" s="30">
        <f t="shared" si="41"/>
        <v>-7.3981200000009255E-4</v>
      </c>
      <c r="Q165" s="30">
        <f t="shared" si="42"/>
        <v>-2.2122300000000823E-3</v>
      </c>
      <c r="R165" s="30">
        <f t="shared" si="38"/>
        <v>2.4204410167261381E-2</v>
      </c>
      <c r="S165" s="30">
        <f t="shared" si="43"/>
        <v>2.6961826147508861E-2</v>
      </c>
      <c r="T165" s="30">
        <f t="shared" si="44"/>
        <v>2.8221982493690456E-2</v>
      </c>
      <c r="U165" s="30">
        <f t="shared" si="45"/>
        <v>2.733203660338912E-2</v>
      </c>
      <c r="V165" s="30">
        <f t="shared" si="46"/>
        <v>2.763277453645796E-2</v>
      </c>
    </row>
    <row r="166" spans="1:22" s="29" customFormat="1" ht="20" customHeight="1" x14ac:dyDescent="0.35">
      <c r="A166" s="131"/>
      <c r="B166" s="28">
        <v>44963</v>
      </c>
      <c r="C166" s="30">
        <v>2.4423236000000001E-2</v>
      </c>
      <c r="D166" s="30">
        <v>2.7099683999999999E-2</v>
      </c>
      <c r="E166" s="30">
        <v>2.8404331999999997E-2</v>
      </c>
      <c r="F166" s="30">
        <v>2.7614168000000001E-2</v>
      </c>
      <c r="G166" s="30">
        <v>2.793785E-2</v>
      </c>
      <c r="H166" s="31">
        <f t="shared" si="32"/>
        <v>0.99391279357126661</v>
      </c>
      <c r="I166" s="31">
        <f t="shared" si="33"/>
        <v>0.9865415438886862</v>
      </c>
      <c r="J166" s="31">
        <f t="shared" si="34"/>
        <v>0.97199527854255763</v>
      </c>
      <c r="K166" s="31">
        <f t="shared" si="35"/>
        <v>0.94626905599246669</v>
      </c>
      <c r="L166" s="31">
        <f t="shared" si="36"/>
        <v>0.86962843044983773</v>
      </c>
      <c r="M166" s="30">
        <f t="shared" si="37"/>
        <v>-1.2677749999996508E-4</v>
      </c>
      <c r="N166" s="30">
        <f t="shared" si="39"/>
        <v>-2.4746200000000753E-4</v>
      </c>
      <c r="O166" s="30">
        <f t="shared" si="40"/>
        <v>-5.7325200000000423E-4</v>
      </c>
      <c r="P166" s="30">
        <f t="shared" si="41"/>
        <v>-1.2979639999998983E-3</v>
      </c>
      <c r="Q166" s="30">
        <f t="shared" si="42"/>
        <v>-3.3998499999999656E-3</v>
      </c>
      <c r="R166" s="30">
        <f t="shared" si="38"/>
        <v>2.4723926180450828E-2</v>
      </c>
      <c r="S166" s="30">
        <f t="shared" si="43"/>
        <v>2.7470220000135104E-2</v>
      </c>
      <c r="T166" s="30">
        <f t="shared" si="44"/>
        <v>2.8811581779937923E-2</v>
      </c>
      <c r="U166" s="30">
        <f t="shared" si="45"/>
        <v>2.79989729946164E-2</v>
      </c>
      <c r="V166" s="30">
        <f t="shared" si="46"/>
        <v>2.8331771615749179E-2</v>
      </c>
    </row>
    <row r="167" spans="1:22" s="29" customFormat="1" ht="20" customHeight="1" x14ac:dyDescent="0.35">
      <c r="A167" s="131"/>
      <c r="B167" s="28">
        <v>44970</v>
      </c>
      <c r="C167" s="30">
        <v>2.6012510000000003E-2</v>
      </c>
      <c r="D167" s="30">
        <v>2.8591117999999999E-2</v>
      </c>
      <c r="E167" s="30">
        <v>3.0060107999999999E-2</v>
      </c>
      <c r="F167" s="30">
        <v>2.9475493999999998E-2</v>
      </c>
      <c r="G167" s="30">
        <v>2.9570151999999999E-2</v>
      </c>
      <c r="H167" s="31">
        <f t="shared" si="32"/>
        <v>0.99351797207113113</v>
      </c>
      <c r="I167" s="31">
        <f t="shared" si="33"/>
        <v>0.98580613732486999</v>
      </c>
      <c r="J167" s="31">
        <f t="shared" si="34"/>
        <v>0.97038720376143861</v>
      </c>
      <c r="K167" s="31">
        <f t="shared" si="35"/>
        <v>0.94275297423356208</v>
      </c>
      <c r="L167" s="31">
        <f t="shared" si="36"/>
        <v>0.86255983376639911</v>
      </c>
      <c r="M167" s="30">
        <f t="shared" si="37"/>
        <v>-3.9731849999993145E-4</v>
      </c>
      <c r="N167" s="30">
        <f t="shared" si="39"/>
        <v>-7.4571699999998332E-4</v>
      </c>
      <c r="O167" s="30">
        <f t="shared" si="40"/>
        <v>-1.6557760000000651E-3</v>
      </c>
      <c r="P167" s="30">
        <f t="shared" si="41"/>
        <v>-3.7226519999999739E-3</v>
      </c>
      <c r="Q167" s="30">
        <f t="shared" si="42"/>
        <v>-8.1615099999999847E-3</v>
      </c>
      <c r="R167" s="30">
        <f t="shared" si="38"/>
        <v>2.6353788079019003E-2</v>
      </c>
      <c r="S167" s="30">
        <f t="shared" si="43"/>
        <v>2.9003767328278363E-2</v>
      </c>
      <c r="T167" s="30">
        <f t="shared" si="44"/>
        <v>3.0516474376182545E-2</v>
      </c>
      <c r="U167" s="30">
        <f t="shared" si="45"/>
        <v>2.9914196085345512E-2</v>
      </c>
      <c r="V167" s="30">
        <f t="shared" si="46"/>
        <v>3.0011690317550244E-2</v>
      </c>
    </row>
    <row r="168" spans="1:22" s="29" customFormat="1" ht="20" customHeight="1" x14ac:dyDescent="0.35">
      <c r="A168" s="131"/>
      <c r="B168" s="28">
        <v>44977</v>
      </c>
      <c r="C168" s="30">
        <v>2.7003074000000005E-2</v>
      </c>
      <c r="D168" s="30">
        <v>2.9519566000000001E-2</v>
      </c>
      <c r="E168" s="30">
        <v>3.1062734000000002E-2</v>
      </c>
      <c r="F168" s="30">
        <v>3.0632658E-2</v>
      </c>
      <c r="G168" s="30">
        <v>3.0749242E-2</v>
      </c>
      <c r="H168" s="31">
        <f t="shared" si="32"/>
        <v>0.99327196674876861</v>
      </c>
      <c r="I168" s="31">
        <f t="shared" si="33"/>
        <v>0.98534860866268592</v>
      </c>
      <c r="J168" s="31">
        <f t="shared" si="34"/>
        <v>0.96941475590309678</v>
      </c>
      <c r="K168" s="31">
        <f t="shared" si="35"/>
        <v>0.94057365742788457</v>
      </c>
      <c r="L168" s="31">
        <f t="shared" si="36"/>
        <v>0.8574896156881785</v>
      </c>
      <c r="M168" s="30">
        <f t="shared" si="37"/>
        <v>-2.4764100000006098E-4</v>
      </c>
      <c r="N168" s="30">
        <f t="shared" si="39"/>
        <v>-4.6422399999999746E-4</v>
      </c>
      <c r="O168" s="30">
        <f t="shared" si="40"/>
        <v>-1.0026259999999674E-3</v>
      </c>
      <c r="P168" s="30">
        <f t="shared" si="41"/>
        <v>-2.3143279999999736E-3</v>
      </c>
      <c r="Q168" s="30">
        <f t="shared" si="42"/>
        <v>-5.8954499999999644E-3</v>
      </c>
      <c r="R168" s="30">
        <f t="shared" si="38"/>
        <v>2.7370960896969221E-2</v>
      </c>
      <c r="S168" s="30">
        <f t="shared" si="43"/>
        <v>2.9959587464032378E-2</v>
      </c>
      <c r="T168" s="30">
        <f t="shared" si="44"/>
        <v>3.1550215127899905E-2</v>
      </c>
      <c r="U168" s="30">
        <f t="shared" si="45"/>
        <v>3.1106665524434973E-2</v>
      </c>
      <c r="V168" s="30">
        <f t="shared" si="46"/>
        <v>3.1226883071513445E-2</v>
      </c>
    </row>
    <row r="169" spans="1:22" s="29" customFormat="1" ht="20" customHeight="1" x14ac:dyDescent="0.35">
      <c r="A169" s="131"/>
      <c r="B169" s="28">
        <v>44984</v>
      </c>
      <c r="C169" s="30">
        <v>2.7905099999999999E-2</v>
      </c>
      <c r="D169" s="30">
        <v>3.0569650000000004E-2</v>
      </c>
      <c r="E169" s="30">
        <v>3.2654692000000006E-2</v>
      </c>
      <c r="F169" s="30">
        <v>3.2736398E-2</v>
      </c>
      <c r="G169" s="30">
        <v>3.2621568000000004E-2</v>
      </c>
      <c r="H169" s="31">
        <f t="shared" si="32"/>
        <v>0.9930480027176205</v>
      </c>
      <c r="I169" s="31">
        <f t="shared" si="33"/>
        <v>0.98483139504981299</v>
      </c>
      <c r="J169" s="31">
        <f t="shared" si="34"/>
        <v>0.96787271608410175</v>
      </c>
      <c r="K169" s="31">
        <f t="shared" si="35"/>
        <v>0.93662452634666771</v>
      </c>
      <c r="L169" s="31">
        <f t="shared" si="36"/>
        <v>0.84949957344079985</v>
      </c>
      <c r="M169" s="30">
        <f t="shared" si="37"/>
        <v>-2.255064999999801E-4</v>
      </c>
      <c r="N169" s="30">
        <f t="shared" si="39"/>
        <v>-5.2504199999992528E-4</v>
      </c>
      <c r="O169" s="30">
        <f t="shared" si="40"/>
        <v>-1.5919579999999257E-3</v>
      </c>
      <c r="P169" s="30">
        <f t="shared" si="41"/>
        <v>-4.207480000000075E-3</v>
      </c>
      <c r="Q169" s="30">
        <f t="shared" si="42"/>
        <v>-9.3616299999999125E-3</v>
      </c>
      <c r="R169" s="30">
        <f t="shared" si="38"/>
        <v>2.829809430169794E-2</v>
      </c>
      <c r="S169" s="30">
        <f t="shared" si="43"/>
        <v>3.1041699602361472E-2</v>
      </c>
      <c r="T169" s="30">
        <f t="shared" si="44"/>
        <v>3.3193707583659915E-2</v>
      </c>
      <c r="U169" s="30">
        <f t="shared" si="45"/>
        <v>3.3278129157559233E-2</v>
      </c>
      <c r="V169" s="30">
        <f t="shared" si="46"/>
        <v>3.3159484642093284E-2</v>
      </c>
    </row>
    <row r="170" spans="1:22" s="29" customFormat="1" ht="20" customHeight="1" x14ac:dyDescent="0.35">
      <c r="A170" s="131"/>
      <c r="B170" s="28">
        <v>44991</v>
      </c>
      <c r="C170" s="30">
        <v>2.8302345999999999E-2</v>
      </c>
      <c r="D170" s="30">
        <v>3.1303994000000002E-2</v>
      </c>
      <c r="E170" s="30">
        <v>3.3550714000000002E-2</v>
      </c>
      <c r="F170" s="30">
        <v>3.3334342000000003E-2</v>
      </c>
      <c r="G170" s="30">
        <v>3.2412365999999998E-2</v>
      </c>
      <c r="H170" s="31">
        <f t="shared" si="32"/>
        <v>0.99294938652784059</v>
      </c>
      <c r="I170" s="31">
        <f t="shared" si="33"/>
        <v>0.98446985891386452</v>
      </c>
      <c r="J170" s="31">
        <f t="shared" si="34"/>
        <v>0.96700586925220267</v>
      </c>
      <c r="K170" s="31">
        <f t="shared" si="35"/>
        <v>0.93550509780409685</v>
      </c>
      <c r="L170" s="31">
        <f t="shared" si="36"/>
        <v>0.85038862338611942</v>
      </c>
      <c r="M170" s="30">
        <f t="shared" si="37"/>
        <v>-9.9311499999986386E-5</v>
      </c>
      <c r="N170" s="30">
        <f t="shared" si="39"/>
        <v>-3.6717199999999612E-4</v>
      </c>
      <c r="O170" s="30">
        <f t="shared" si="40"/>
        <v>-8.9602200000005834E-4</v>
      </c>
      <c r="P170" s="30">
        <f t="shared" si="41"/>
        <v>-1.1958879999999855E-3</v>
      </c>
      <c r="Q170" s="30">
        <f t="shared" si="42"/>
        <v>1.0460099999998747E-3</v>
      </c>
      <c r="R170" s="30">
        <f t="shared" si="38"/>
        <v>2.8706662752185252E-2</v>
      </c>
      <c r="S170" s="30">
        <f t="shared" si="43"/>
        <v>3.1799116956621853E-2</v>
      </c>
      <c r="T170" s="30">
        <f t="shared" si="44"/>
        <v>3.4119886752406181E-2</v>
      </c>
      <c r="U170" s="30">
        <f t="shared" si="45"/>
        <v>3.3896156369637831E-2</v>
      </c>
      <c r="V170" s="30">
        <f t="shared" si="46"/>
        <v>3.2943368218369518E-2</v>
      </c>
    </row>
    <row r="171" spans="1:22" s="29" customFormat="1" ht="20" customHeight="1" x14ac:dyDescent="0.35">
      <c r="A171" s="131"/>
      <c r="B171" s="28">
        <v>44998</v>
      </c>
      <c r="C171" s="30">
        <v>2.7088795999999998E-2</v>
      </c>
      <c r="D171" s="30">
        <v>2.8518221999999999E-2</v>
      </c>
      <c r="E171" s="30">
        <v>2.85621E-2</v>
      </c>
      <c r="F171" s="30">
        <v>2.7738479999999996E-2</v>
      </c>
      <c r="G171" s="30">
        <v>2.8390426E-2</v>
      </c>
      <c r="H171" s="31">
        <f t="shared" si="32"/>
        <v>0.99325068066197186</v>
      </c>
      <c r="I171" s="31">
        <f t="shared" si="33"/>
        <v>0.9858420686417716</v>
      </c>
      <c r="J171" s="31">
        <f t="shared" si="34"/>
        <v>0.97184194088765818</v>
      </c>
      <c r="K171" s="31">
        <f t="shared" si="35"/>
        <v>0.94603382003855319</v>
      </c>
      <c r="L171" s="31">
        <f t="shared" si="36"/>
        <v>0.86766279050957096</v>
      </c>
      <c r="M171" s="30">
        <f t="shared" si="37"/>
        <v>3.0338749999998652E-4</v>
      </c>
      <c r="N171" s="30">
        <f t="shared" si="39"/>
        <v>1.3928859999999812E-3</v>
      </c>
      <c r="O171" s="30">
        <f t="shared" si="40"/>
        <v>4.9886140000000587E-3</v>
      </c>
      <c r="P171" s="30">
        <f t="shared" si="41"/>
        <v>1.1191724000000016E-2</v>
      </c>
      <c r="Q171" s="30">
        <f t="shared" si="42"/>
        <v>2.0109699999999977E-2</v>
      </c>
      <c r="R171" s="30">
        <f t="shared" si="38"/>
        <v>2.7459032965282182E-2</v>
      </c>
      <c r="S171" s="30">
        <f t="shared" si="43"/>
        <v>2.8928759803562576E-2</v>
      </c>
      <c r="T171" s="30">
        <f t="shared" si="44"/>
        <v>2.8973908130187187E-2</v>
      </c>
      <c r="U171" s="30">
        <f t="shared" si="45"/>
        <v>2.8126773546353734E-2</v>
      </c>
      <c r="V171" s="30">
        <f t="shared" si="46"/>
        <v>2.8797275225555419E-2</v>
      </c>
    </row>
    <row r="172" spans="1:22" s="29" customFormat="1" ht="20" customHeight="1" x14ac:dyDescent="0.35">
      <c r="A172" s="131"/>
      <c r="B172" s="28">
        <v>45005</v>
      </c>
      <c r="C172" s="30">
        <v>2.776969E-2</v>
      </c>
      <c r="D172" s="30">
        <v>2.8511895999999995E-2</v>
      </c>
      <c r="E172" s="30">
        <v>2.8008658000000006E-2</v>
      </c>
      <c r="F172" s="30">
        <v>2.7282546000000001E-2</v>
      </c>
      <c r="G172" s="30">
        <v>2.8084394000000002E-2</v>
      </c>
      <c r="H172" s="31">
        <f t="shared" si="32"/>
        <v>0.99308162044415138</v>
      </c>
      <c r="I172" s="31">
        <f t="shared" si="33"/>
        <v>0.9858451868651662</v>
      </c>
      <c r="J172" s="31">
        <f t="shared" si="34"/>
        <v>0.97237994789921256</v>
      </c>
      <c r="K172" s="31">
        <f t="shared" si="35"/>
        <v>0.94689687144063961</v>
      </c>
      <c r="L172" s="31">
        <f t="shared" si="36"/>
        <v>0.86899146969171948</v>
      </c>
      <c r="M172" s="30">
        <f t="shared" si="37"/>
        <v>-1.7022350000001342E-4</v>
      </c>
      <c r="N172" s="30">
        <f t="shared" si="39"/>
        <v>3.1630000000703343E-6</v>
      </c>
      <c r="O172" s="30">
        <f t="shared" si="40"/>
        <v>5.534419999999714E-4</v>
      </c>
      <c r="P172" s="30">
        <f t="shared" si="41"/>
        <v>9.1186800000005218E-4</v>
      </c>
      <c r="Q172" s="30">
        <f t="shared" si="42"/>
        <v>1.5301600000000176E-3</v>
      </c>
      <c r="R172" s="30">
        <f t="shared" si="38"/>
        <v>2.8158861883692099E-2</v>
      </c>
      <c r="S172" s="30">
        <f t="shared" si="43"/>
        <v>2.8922250820816009E-2</v>
      </c>
      <c r="T172" s="30">
        <f t="shared" si="44"/>
        <v>2.8404588309805634E-2</v>
      </c>
      <c r="U172" s="30">
        <f t="shared" si="45"/>
        <v>2.765812243908905E-2</v>
      </c>
      <c r="V172" s="30">
        <f t="shared" si="46"/>
        <v>2.8482478509214815E-2</v>
      </c>
    </row>
    <row r="173" spans="1:22" s="29" customFormat="1" ht="20" customHeight="1" x14ac:dyDescent="0.35">
      <c r="A173" s="131"/>
      <c r="B173" s="28">
        <v>45012</v>
      </c>
      <c r="C173" s="30">
        <v>2.8814599999999996E-2</v>
      </c>
      <c r="D173" s="30">
        <v>2.8570238000000005E-2</v>
      </c>
      <c r="E173" s="30">
        <v>2.8190534000000003E-2</v>
      </c>
      <c r="F173" s="30">
        <v>2.7797331999999998E-2</v>
      </c>
      <c r="G173" s="30">
        <v>2.8446191999999999E-2</v>
      </c>
      <c r="H173" s="31">
        <f t="shared" si="32"/>
        <v>0.99282223409604542</v>
      </c>
      <c r="I173" s="31">
        <f t="shared" si="33"/>
        <v>0.98581642919466717</v>
      </c>
      <c r="J173" s="31">
        <f t="shared" si="34"/>
        <v>0.97220311140545301</v>
      </c>
      <c r="K173" s="31">
        <f t="shared" si="35"/>
        <v>0.9459224746268281</v>
      </c>
      <c r="L173" s="31">
        <f t="shared" si="36"/>
        <v>0.86742089381928744</v>
      </c>
      <c r="M173" s="30">
        <f t="shared" si="37"/>
        <v>-2.612275000000682E-4</v>
      </c>
      <c r="N173" s="30">
        <f t="shared" si="39"/>
        <v>-2.9171000000040416E-5</v>
      </c>
      <c r="O173" s="30">
        <f t="shared" si="40"/>
        <v>-1.8187599999992997E-4</v>
      </c>
      <c r="P173" s="30">
        <f t="shared" si="41"/>
        <v>-1.0295720000000899E-3</v>
      </c>
      <c r="Q173" s="30">
        <f t="shared" si="42"/>
        <v>-1.808990000000011E-3</v>
      </c>
      <c r="R173" s="30">
        <f t="shared" si="38"/>
        <v>2.9233756846509973E-2</v>
      </c>
      <c r="S173" s="30">
        <f t="shared" si="43"/>
        <v>2.8982281953924716E-2</v>
      </c>
      <c r="T173" s="30">
        <f t="shared" si="44"/>
        <v>2.8591647432975931E-2</v>
      </c>
      <c r="U173" s="30">
        <f t="shared" si="45"/>
        <v>2.8187282643753697E-2</v>
      </c>
      <c r="V173" s="30">
        <f t="shared" si="46"/>
        <v>2.8854648734136124E-2</v>
      </c>
    </row>
    <row r="174" spans="1:22" s="29" customFormat="1" ht="20" customHeight="1" x14ac:dyDescent="0.35">
      <c r="A174" s="131"/>
      <c r="B174" s="28">
        <v>45019</v>
      </c>
      <c r="C174" s="30">
        <v>2.945859E-2</v>
      </c>
      <c r="D174" s="30">
        <v>2.9075142499999998E-2</v>
      </c>
      <c r="E174" s="30">
        <v>2.8454672499999997E-2</v>
      </c>
      <c r="F174" s="30">
        <v>2.7704565E-2</v>
      </c>
      <c r="G174" s="30">
        <v>2.79026525E-2</v>
      </c>
      <c r="H174" s="31">
        <f t="shared" si="32"/>
        <v>0.99266240506479408</v>
      </c>
      <c r="I174" s="31">
        <f t="shared" si="33"/>
        <v>0.98556758903048125</v>
      </c>
      <c r="J174" s="31">
        <f t="shared" si="34"/>
        <v>0.97194634904581612</v>
      </c>
      <c r="K174" s="31">
        <f t="shared" si="35"/>
        <v>0.94609799168892339</v>
      </c>
      <c r="L174" s="31">
        <f t="shared" si="36"/>
        <v>0.86978148765092356</v>
      </c>
      <c r="M174" s="30">
        <f t="shared" si="37"/>
        <v>-1.609974999998916E-4</v>
      </c>
      <c r="N174" s="30">
        <f t="shared" si="39"/>
        <v>-2.5245224999998725E-4</v>
      </c>
      <c r="O174" s="30">
        <f t="shared" si="40"/>
        <v>-2.6413850000005397E-4</v>
      </c>
      <c r="P174" s="30">
        <f t="shared" si="41"/>
        <v>1.8553400000001881E-4</v>
      </c>
      <c r="Q174" s="30">
        <f t="shared" si="42"/>
        <v>2.7176975000000022E-3</v>
      </c>
      <c r="R174" s="30">
        <f t="shared" si="38"/>
        <v>2.9896786562920497E-2</v>
      </c>
      <c r="S174" s="30">
        <f t="shared" si="43"/>
        <v>2.9501950919063047E-2</v>
      </c>
      <c r="T174" s="30">
        <f t="shared" si="44"/>
        <v>2.8863373972981998E-2</v>
      </c>
      <c r="U174" s="30">
        <f t="shared" si="45"/>
        <v>2.8091905218112112E-2</v>
      </c>
      <c r="V174" s="30">
        <f t="shared" si="46"/>
        <v>2.8295577545191852E-2</v>
      </c>
    </row>
    <row r="175" spans="1:22" s="29" customFormat="1" ht="20" customHeight="1" x14ac:dyDescent="0.35">
      <c r="A175" s="131"/>
      <c r="B175" s="28">
        <v>45026</v>
      </c>
      <c r="C175" s="30">
        <v>3.0321137499999998E-2</v>
      </c>
      <c r="D175" s="30">
        <v>3.0022000000000004E-2</v>
      </c>
      <c r="E175" s="30">
        <v>2.9536497500000002E-2</v>
      </c>
      <c r="F175" s="30">
        <v>2.8947267499999998E-2</v>
      </c>
      <c r="G175" s="30">
        <v>2.9136342499999995E-2</v>
      </c>
      <c r="H175" s="31">
        <f t="shared" si="32"/>
        <v>0.99244837352321158</v>
      </c>
      <c r="I175" s="31">
        <f t="shared" si="33"/>
        <v>0.98510110343132606</v>
      </c>
      <c r="J175" s="31">
        <f t="shared" si="34"/>
        <v>0.97089544173815245</v>
      </c>
      <c r="K175" s="31">
        <f t="shared" si="35"/>
        <v>0.94374947472673554</v>
      </c>
      <c r="L175" s="31">
        <f t="shared" si="36"/>
        <v>0.86443279755682279</v>
      </c>
      <c r="M175" s="30">
        <f t="shared" si="37"/>
        <v>-2.1563687500011718E-4</v>
      </c>
      <c r="N175" s="30">
        <f t="shared" si="39"/>
        <v>-4.734287499999401E-4</v>
      </c>
      <c r="O175" s="30">
        <f t="shared" si="40"/>
        <v>-1.081824999999915E-3</v>
      </c>
      <c r="P175" s="30">
        <f t="shared" si="41"/>
        <v>-2.4854050000000334E-3</v>
      </c>
      <c r="Q175" s="30">
        <f t="shared" si="42"/>
        <v>-6.1684499999998992E-3</v>
      </c>
      <c r="R175" s="30">
        <f t="shared" si="38"/>
        <v>3.0785504687127041E-2</v>
      </c>
      <c r="S175" s="30">
        <f t="shared" si="43"/>
        <v>3.0477204202635555E-2</v>
      </c>
      <c r="T175" s="30">
        <f t="shared" si="44"/>
        <v>2.9977026372420612E-2</v>
      </c>
      <c r="U175" s="30">
        <f t="shared" si="45"/>
        <v>2.9370311773946556E-2</v>
      </c>
      <c r="V175" s="30">
        <f t="shared" si="46"/>
        <v>2.9564958366467442E-2</v>
      </c>
    </row>
    <row r="176" spans="1:22" s="29" customFormat="1" ht="20" customHeight="1" x14ac:dyDescent="0.35">
      <c r="A176" s="131"/>
      <c r="B176" s="28">
        <v>45033</v>
      </c>
      <c r="C176" s="30">
        <v>3.1589596000000005E-2</v>
      </c>
      <c r="D176" s="30">
        <v>3.1300424E-2</v>
      </c>
      <c r="E176" s="30">
        <v>3.0829069999999997E-2</v>
      </c>
      <c r="F176" s="30">
        <v>3.0250232000000005E-2</v>
      </c>
      <c r="G176" s="30">
        <v>3.0398992000000003E-2</v>
      </c>
      <c r="H176" s="31">
        <f t="shared" si="32"/>
        <v>0.99213370352527608</v>
      </c>
      <c r="I176" s="31">
        <f t="shared" si="33"/>
        <v>0.98447161619413104</v>
      </c>
      <c r="J176" s="31">
        <f t="shared" si="34"/>
        <v>0.96964129969915414</v>
      </c>
      <c r="K176" s="31">
        <f t="shared" si="35"/>
        <v>0.94129333225819811</v>
      </c>
      <c r="L176" s="31">
        <f t="shared" si="36"/>
        <v>0.85899261005296823</v>
      </c>
      <c r="M176" s="30">
        <f t="shared" si="37"/>
        <v>-3.1711462500005948E-4</v>
      </c>
      <c r="N176" s="30">
        <f t="shared" si="39"/>
        <v>-6.3921200000006094E-4</v>
      </c>
      <c r="O176" s="30">
        <f t="shared" si="40"/>
        <v>-1.2925725000001104E-3</v>
      </c>
      <c r="P176" s="30">
        <f t="shared" si="41"/>
        <v>-2.6059290000000623E-3</v>
      </c>
      <c r="Q176" s="30">
        <f t="shared" si="42"/>
        <v>-6.3132475000001855E-3</v>
      </c>
      <c r="R176" s="30">
        <f t="shared" si="38"/>
        <v>3.2093842933183625E-2</v>
      </c>
      <c r="S176" s="30">
        <f t="shared" si="43"/>
        <v>3.1795433440349408E-2</v>
      </c>
      <c r="T176" s="30">
        <f t="shared" si="44"/>
        <v>3.1309207136974271E-2</v>
      </c>
      <c r="U176" s="30">
        <f t="shared" si="45"/>
        <v>3.0712418916646556E-2</v>
      </c>
      <c r="V176" s="30">
        <f t="shared" si="46"/>
        <v>3.0865759101244672E-2</v>
      </c>
    </row>
    <row r="177" spans="1:22" s="29" customFormat="1" ht="20" customHeight="1" x14ac:dyDescent="0.35">
      <c r="A177" s="131"/>
      <c r="B177" s="28">
        <v>45040</v>
      </c>
      <c r="C177" s="30">
        <v>3.1140952E-2</v>
      </c>
      <c r="D177" s="30">
        <v>3.0821318E-2</v>
      </c>
      <c r="E177" s="30">
        <v>3.0296712E-2</v>
      </c>
      <c r="F177" s="30">
        <v>2.9638117999999998E-2</v>
      </c>
      <c r="G177" s="30">
        <v>2.9697657999999998E-2</v>
      </c>
      <c r="H177" s="31">
        <f t="shared" si="32"/>
        <v>0.99224498847439613</v>
      </c>
      <c r="I177" s="31">
        <f t="shared" si="33"/>
        <v>0.9847074775727277</v>
      </c>
      <c r="J177" s="31">
        <f t="shared" si="34"/>
        <v>0.97015763342718053</v>
      </c>
      <c r="K177" s="31">
        <f t="shared" si="35"/>
        <v>0.94244639557394916</v>
      </c>
      <c r="L177" s="31">
        <f t="shared" si="36"/>
        <v>0.86201010124968336</v>
      </c>
      <c r="M177" s="30">
        <f t="shared" si="37"/>
        <v>1.1216100000005212E-4</v>
      </c>
      <c r="N177" s="30">
        <f t="shared" si="39"/>
        <v>2.3955300000009846E-4</v>
      </c>
      <c r="O177" s="30">
        <f t="shared" si="40"/>
        <v>5.3235800000008113E-4</v>
      </c>
      <c r="P177" s="30">
        <f t="shared" si="41"/>
        <v>1.2242280000001222E-3</v>
      </c>
      <c r="Q177" s="30">
        <f t="shared" si="42"/>
        <v>3.506670000000029E-3</v>
      </c>
      <c r="R177" s="30">
        <f t="shared" si="38"/>
        <v>3.1630904078249644E-2</v>
      </c>
      <c r="S177" s="30">
        <f t="shared" si="43"/>
        <v>3.1301212458987981E-2</v>
      </c>
      <c r="T177" s="30">
        <f t="shared" si="44"/>
        <v>3.076032754326552E-2</v>
      </c>
      <c r="U177" s="30">
        <f t="shared" si="45"/>
        <v>3.0081698471154494E-2</v>
      </c>
      <c r="V177" s="30">
        <f t="shared" si="46"/>
        <v>3.0143031361343553E-2</v>
      </c>
    </row>
    <row r="178" spans="1:22" s="29" customFormat="1" ht="20" customHeight="1" x14ac:dyDescent="0.35">
      <c r="A178" s="131"/>
      <c r="B178" s="28">
        <v>45047</v>
      </c>
      <c r="C178" s="30">
        <v>3.0996727500000001E-2</v>
      </c>
      <c r="D178" s="30">
        <v>3.0464694999999996E-2</v>
      </c>
      <c r="E178" s="30">
        <v>2.9583369999999998E-2</v>
      </c>
      <c r="F178" s="30">
        <v>2.8437590000000002E-2</v>
      </c>
      <c r="G178" s="30">
        <v>2.8146152499999997E-2</v>
      </c>
      <c r="H178" s="31">
        <f t="shared" si="32"/>
        <v>0.99228076562872014</v>
      </c>
      <c r="I178" s="31">
        <f t="shared" si="33"/>
        <v>0.98488307789542817</v>
      </c>
      <c r="J178" s="31">
        <f t="shared" si="34"/>
        <v>0.97084993450808676</v>
      </c>
      <c r="K178" s="31">
        <f t="shared" si="35"/>
        <v>0.94471198095697095</v>
      </c>
      <c r="L178" s="31">
        <f t="shared" si="36"/>
        <v>0.86872317306943891</v>
      </c>
      <c r="M178" s="30">
        <f t="shared" si="37"/>
        <v>3.6056125000048142E-5</v>
      </c>
      <c r="N178" s="30">
        <f t="shared" si="39"/>
        <v>1.7831150000013161E-4</v>
      </c>
      <c r="O178" s="30">
        <f t="shared" si="40"/>
        <v>7.1334200000013103E-4</v>
      </c>
      <c r="P178" s="30">
        <f t="shared" si="41"/>
        <v>2.4010559999998911E-3</v>
      </c>
      <c r="Q178" s="30">
        <f t="shared" si="42"/>
        <v>7.7575275000000493E-3</v>
      </c>
      <c r="R178" s="30">
        <f t="shared" si="38"/>
        <v>3.1482128355734496E-2</v>
      </c>
      <c r="S178" s="30">
        <f t="shared" si="43"/>
        <v>3.0933492299327625E-2</v>
      </c>
      <c r="T178" s="30">
        <f t="shared" si="44"/>
        <v>3.0025305102052702E-2</v>
      </c>
      <c r="U178" s="30">
        <f t="shared" si="45"/>
        <v>2.8845798564512526E-2</v>
      </c>
      <c r="V178" s="30">
        <f t="shared" si="46"/>
        <v>2.854599800577784E-2</v>
      </c>
    </row>
    <row r="179" spans="1:22" s="29" customFormat="1" ht="20" customHeight="1" x14ac:dyDescent="0.35">
      <c r="A179" s="131"/>
      <c r="B179" s="28">
        <v>45054</v>
      </c>
      <c r="C179" s="30">
        <v>3.1089094000000005E-2</v>
      </c>
      <c r="D179" s="30">
        <v>3.048876E-2</v>
      </c>
      <c r="E179" s="30">
        <v>2.9496137999999998E-2</v>
      </c>
      <c r="F179" s="30">
        <v>2.8211238E-2</v>
      </c>
      <c r="G179" s="30">
        <v>2.7901645999999999E-2</v>
      </c>
      <c r="H179" s="31">
        <f t="shared" si="32"/>
        <v>0.99225785251793697</v>
      </c>
      <c r="I179" s="31">
        <f t="shared" si="33"/>
        <v>0.98487122736108934</v>
      </c>
      <c r="J179" s="31">
        <f t="shared" si="34"/>
        <v>0.97093462738348446</v>
      </c>
      <c r="K179" s="31">
        <f t="shared" si="35"/>
        <v>0.94513975266927508</v>
      </c>
      <c r="L179" s="31">
        <f t="shared" si="36"/>
        <v>0.86978586483727427</v>
      </c>
      <c r="M179" s="30">
        <f t="shared" si="37"/>
        <v>-2.3091625000034989E-5</v>
      </c>
      <c r="N179" s="30">
        <f t="shared" si="39"/>
        <v>-1.2032499999958343E-5</v>
      </c>
      <c r="O179" s="30">
        <f t="shared" si="40"/>
        <v>8.7231999999849792E-5</v>
      </c>
      <c r="P179" s="30">
        <f t="shared" si="41"/>
        <v>4.5270400000012269E-4</v>
      </c>
      <c r="Q179" s="30">
        <f t="shared" si="42"/>
        <v>1.2225325000000406E-3</v>
      </c>
      <c r="R179" s="30">
        <f t="shared" si="38"/>
        <v>3.1577407149959935E-2</v>
      </c>
      <c r="S179" s="30">
        <f t="shared" si="43"/>
        <v>3.0958302012341621E-2</v>
      </c>
      <c r="T179" s="30">
        <f t="shared" si="44"/>
        <v>2.9935457853472736E-2</v>
      </c>
      <c r="U179" s="30">
        <f t="shared" si="45"/>
        <v>2.8612943614901853E-2</v>
      </c>
      <c r="V179" s="30">
        <f t="shared" si="46"/>
        <v>2.8294542566213998E-2</v>
      </c>
    </row>
    <row r="180" spans="1:22" s="29" customFormat="1" ht="20" customHeight="1" x14ac:dyDescent="0.35">
      <c r="A180" s="131"/>
      <c r="B180" s="28">
        <v>45061</v>
      </c>
      <c r="C180" s="30">
        <v>3.1606139999999998E-2</v>
      </c>
      <c r="D180" s="30">
        <v>3.1069791999999999E-2</v>
      </c>
      <c r="E180" s="30">
        <v>3.0184923999999998E-2</v>
      </c>
      <c r="F180" s="30">
        <v>2.9049217999999998E-2</v>
      </c>
      <c r="G180" s="30">
        <v>2.8872687999999997E-2</v>
      </c>
      <c r="H180" s="31">
        <f t="shared" si="32"/>
        <v>0.99212960006876427</v>
      </c>
      <c r="I180" s="31">
        <f t="shared" si="33"/>
        <v>0.98458514806891917</v>
      </c>
      <c r="J180" s="31">
        <f t="shared" si="34"/>
        <v>0.97026609147074705</v>
      </c>
      <c r="K180" s="31">
        <f t="shared" si="35"/>
        <v>0.94355706288223962</v>
      </c>
      <c r="L180" s="31">
        <f t="shared" si="36"/>
        <v>0.8655731069960878</v>
      </c>
      <c r="M180" s="30">
        <f t="shared" si="37"/>
        <v>-1.2926149999998627E-4</v>
      </c>
      <c r="N180" s="30">
        <f t="shared" si="39"/>
        <v>-2.9051600000009551E-4</v>
      </c>
      <c r="O180" s="30">
        <f t="shared" si="40"/>
        <v>-6.8878599999996112E-4</v>
      </c>
      <c r="P180" s="30">
        <f t="shared" si="41"/>
        <v>-1.6759600000000262E-3</v>
      </c>
      <c r="Q180" s="30">
        <f t="shared" si="42"/>
        <v>-4.8552099999999605E-3</v>
      </c>
      <c r="R180" s="30">
        <f t="shared" si="38"/>
        <v>3.2110918034966129E-2</v>
      </c>
      <c r="S180" s="30">
        <f t="shared" si="43"/>
        <v>3.1557495835011773E-2</v>
      </c>
      <c r="T180" s="30">
        <f t="shared" si="44"/>
        <v>3.064510734800785E-2</v>
      </c>
      <c r="U180" s="30">
        <f t="shared" si="45"/>
        <v>2.9475261941687148E-2</v>
      </c>
      <c r="V180" s="30">
        <f t="shared" si="46"/>
        <v>2.9293544713439701E-2</v>
      </c>
    </row>
    <row r="181" spans="1:22" s="29" customFormat="1" ht="20" customHeight="1" x14ac:dyDescent="0.35">
      <c r="A181" s="131"/>
      <c r="B181" s="28">
        <v>45068</v>
      </c>
      <c r="C181" s="30">
        <v>3.2162063999999997E-2</v>
      </c>
      <c r="D181" s="30">
        <v>3.1729602000000003E-2</v>
      </c>
      <c r="E181" s="30">
        <v>3.1018102000000002E-2</v>
      </c>
      <c r="F181" s="30">
        <v>3.0115222000000004E-2</v>
      </c>
      <c r="G181" s="30">
        <v>3.0084217999999999E-2</v>
      </c>
      <c r="H181" s="31">
        <f t="shared" si="32"/>
        <v>0.99199172248622125</v>
      </c>
      <c r="I181" s="31">
        <f t="shared" si="33"/>
        <v>0.98426038207955291</v>
      </c>
      <c r="J181" s="31">
        <f t="shared" si="34"/>
        <v>0.96945802378804125</v>
      </c>
      <c r="K181" s="31">
        <f t="shared" si="35"/>
        <v>0.9415475346020884</v>
      </c>
      <c r="L181" s="31">
        <f t="shared" si="36"/>
        <v>0.86034561720154201</v>
      </c>
      <c r="M181" s="30">
        <f t="shared" si="37"/>
        <v>-1.3898099999999969E-4</v>
      </c>
      <c r="N181" s="30">
        <f t="shared" si="39"/>
        <v>-3.2990500000004951E-4</v>
      </c>
      <c r="O181" s="30">
        <f t="shared" si="40"/>
        <v>-8.3317800000000126E-4</v>
      </c>
      <c r="P181" s="30">
        <f t="shared" si="41"/>
        <v>-2.132008000000022E-3</v>
      </c>
      <c r="Q181" s="30">
        <f t="shared" si="42"/>
        <v>-6.0576500000001044E-3</v>
      </c>
      <c r="R181" s="30">
        <f t="shared" si="38"/>
        <v>3.2684852782232765E-2</v>
      </c>
      <c r="S181" s="30">
        <f t="shared" si="43"/>
        <v>3.2238352379616142E-2</v>
      </c>
      <c r="T181" s="30">
        <f t="shared" si="44"/>
        <v>3.1504176006114992E-2</v>
      </c>
      <c r="U181" s="30">
        <f t="shared" si="45"/>
        <v>3.0573271826304316E-2</v>
      </c>
      <c r="V181" s="30">
        <f t="shared" si="46"/>
        <v>3.05413204278977E-2</v>
      </c>
    </row>
    <row r="182" spans="1:22" s="29" customFormat="1" ht="20" customHeight="1" x14ac:dyDescent="0.35">
      <c r="A182" s="131"/>
      <c r="B182" s="28">
        <v>45075</v>
      </c>
      <c r="C182" s="30">
        <v>3.2525196000000006E-2</v>
      </c>
      <c r="D182" s="30">
        <v>3.1912219999999998E-2</v>
      </c>
      <c r="E182" s="30">
        <v>3.0881354E-2</v>
      </c>
      <c r="F182" s="30">
        <v>2.9480986000000001E-2</v>
      </c>
      <c r="G182" s="30">
        <v>2.8698901999999998E-2</v>
      </c>
      <c r="H182" s="31">
        <f t="shared" si="32"/>
        <v>0.99190167058933132</v>
      </c>
      <c r="I182" s="31">
        <f t="shared" si="33"/>
        <v>0.98417051435125424</v>
      </c>
      <c r="J182" s="31">
        <f t="shared" si="34"/>
        <v>0.96959060429873145</v>
      </c>
      <c r="K182" s="31">
        <f t="shared" si="35"/>
        <v>0.9427426190917636</v>
      </c>
      <c r="L182" s="31">
        <f t="shared" si="36"/>
        <v>0.86632555630149322</v>
      </c>
      <c r="M182" s="30">
        <f t="shared" si="37"/>
        <v>-9.0783000000011928E-5</v>
      </c>
      <c r="N182" s="30">
        <f t="shared" si="39"/>
        <v>-9.1309000000001697E-5</v>
      </c>
      <c r="O182" s="30">
        <f t="shared" si="40"/>
        <v>1.3674800000009315E-4</v>
      </c>
      <c r="P182" s="30">
        <f t="shared" si="41"/>
        <v>1.2684720000000545E-3</v>
      </c>
      <c r="Q182" s="30">
        <f t="shared" si="42"/>
        <v>6.9265799999999366E-3</v>
      </c>
      <c r="R182" s="30">
        <f t="shared" si="38"/>
        <v>3.3059921793851865E-2</v>
      </c>
      <c r="S182" s="30">
        <f t="shared" si="43"/>
        <v>3.2426874896329672E-2</v>
      </c>
      <c r="T182" s="30">
        <f t="shared" si="44"/>
        <v>3.1363129517186783E-2</v>
      </c>
      <c r="U182" s="30">
        <f t="shared" si="45"/>
        <v>2.9919852389642676E-2</v>
      </c>
      <c r="V182" s="30">
        <f t="shared" si="46"/>
        <v>2.911468344772028E-2</v>
      </c>
    </row>
    <row r="183" spans="1:22" s="29" customFormat="1" ht="20" customHeight="1" x14ac:dyDescent="0.35">
      <c r="A183" s="131"/>
      <c r="B183" s="28">
        <v>45082</v>
      </c>
      <c r="C183" s="30">
        <v>3.3293594000000003E-2</v>
      </c>
      <c r="D183" s="30">
        <v>3.2691324000000001E-2</v>
      </c>
      <c r="E183" s="30">
        <v>3.1671708E-2</v>
      </c>
      <c r="F183" s="30">
        <v>3.0262118000000001E-2</v>
      </c>
      <c r="G183" s="30">
        <v>2.9327274E-2</v>
      </c>
      <c r="H183" s="31">
        <f t="shared" si="32"/>
        <v>0.9917111450748759</v>
      </c>
      <c r="I183" s="31">
        <f t="shared" si="33"/>
        <v>0.98378720342366421</v>
      </c>
      <c r="J183" s="31">
        <f t="shared" si="34"/>
        <v>0.96882458723846032</v>
      </c>
      <c r="K183" s="31">
        <f t="shared" si="35"/>
        <v>0.94127095609906775</v>
      </c>
      <c r="L183" s="31">
        <f t="shared" si="36"/>
        <v>0.8636079540875361</v>
      </c>
      <c r="M183" s="30">
        <f t="shared" si="37"/>
        <v>-1.9209949999992519E-4</v>
      </c>
      <c r="N183" s="30">
        <f t="shared" si="39"/>
        <v>-3.8955199999999885E-4</v>
      </c>
      <c r="O183" s="30">
        <f t="shared" si="40"/>
        <v>-7.9035400000005524E-4</v>
      </c>
      <c r="P183" s="30">
        <f t="shared" si="41"/>
        <v>-1.5622640000000549E-3</v>
      </c>
      <c r="Q183" s="30">
        <f t="shared" si="42"/>
        <v>-3.1418599999999833E-3</v>
      </c>
      <c r="R183" s="30">
        <f t="shared" si="38"/>
        <v>3.3854028027386907E-2</v>
      </c>
      <c r="S183" s="30">
        <f t="shared" si="43"/>
        <v>3.3231556228787484E-2</v>
      </c>
      <c r="T183" s="30">
        <f t="shared" si="44"/>
        <v>3.21785937022947E-2</v>
      </c>
      <c r="U183" s="30">
        <f t="shared" si="45"/>
        <v>3.0724670037266089E-2</v>
      </c>
      <c r="V183" s="30">
        <f t="shared" si="46"/>
        <v>2.9761553515821992E-2</v>
      </c>
    </row>
    <row r="184" spans="1:22" s="29" customFormat="1" ht="20" customHeight="1" x14ac:dyDescent="0.35">
      <c r="A184" s="131"/>
      <c r="B184" s="28">
        <v>45089</v>
      </c>
      <c r="C184" s="30">
        <v>3.3014087999999997E-2</v>
      </c>
      <c r="D184" s="30">
        <v>3.4215698000000003E-2</v>
      </c>
      <c r="E184" s="30">
        <v>3.3912491999999995E-2</v>
      </c>
      <c r="F184" s="30">
        <v>3.1289974000000005E-2</v>
      </c>
      <c r="G184" s="30">
        <v>2.9542922000000003E-2</v>
      </c>
      <c r="H184" s="31">
        <f t="shared" si="32"/>
        <v>0.99178044479988758</v>
      </c>
      <c r="I184" s="31">
        <f t="shared" si="33"/>
        <v>0.983037659289132</v>
      </c>
      <c r="J184" s="31">
        <f t="shared" si="34"/>
        <v>0.96665609107767558</v>
      </c>
      <c r="K184" s="31">
        <f t="shared" si="35"/>
        <v>0.93933796162006511</v>
      </c>
      <c r="L184" s="31">
        <f t="shared" si="36"/>
        <v>0.86267727928268856</v>
      </c>
      <c r="M184" s="30">
        <f t="shared" si="37"/>
        <v>6.9876500000029369E-5</v>
      </c>
      <c r="N184" s="30">
        <f t="shared" si="39"/>
        <v>-7.6218699999995945E-4</v>
      </c>
      <c r="O184" s="30">
        <f t="shared" si="40"/>
        <v>-2.2407840000000291E-3</v>
      </c>
      <c r="P184" s="30">
        <f t="shared" si="41"/>
        <v>-2.0557119999998941E-3</v>
      </c>
      <c r="Q184" s="30">
        <f t="shared" si="42"/>
        <v>-1.0782399999999252E-3</v>
      </c>
      <c r="R184" s="30">
        <f t="shared" si="38"/>
        <v>3.3565100003868142E-2</v>
      </c>
      <c r="S184" s="30">
        <f t="shared" si="43"/>
        <v>3.4807788627699399E-2</v>
      </c>
      <c r="T184" s="30">
        <f t="shared" si="44"/>
        <v>3.4494076259480311E-2</v>
      </c>
      <c r="U184" s="30">
        <f t="shared" si="45"/>
        <v>3.1784651234407102E-2</v>
      </c>
      <c r="V184" s="30">
        <f t="shared" si="46"/>
        <v>2.9983643481082289E-2</v>
      </c>
    </row>
    <row r="185" spans="1:22" s="29" customFormat="1" ht="20" customHeight="1" x14ac:dyDescent="0.35">
      <c r="A185" s="131"/>
      <c r="B185" s="28">
        <v>45096</v>
      </c>
      <c r="C185" s="30">
        <v>3.3608150000000003E-2</v>
      </c>
      <c r="D185" s="30">
        <v>3.4972788000000005E-2</v>
      </c>
      <c r="E185" s="30">
        <v>3.5058981999999995E-2</v>
      </c>
      <c r="F185" s="30">
        <v>3.2655256000000001E-2</v>
      </c>
      <c r="G185" s="30">
        <v>3.0212254000000001E-2</v>
      </c>
      <c r="H185" s="31">
        <f t="shared" si="32"/>
        <v>0.99163316096847454</v>
      </c>
      <c r="I185" s="31">
        <f t="shared" si="33"/>
        <v>0.98266560572234796</v>
      </c>
      <c r="J185" s="31">
        <f t="shared" si="34"/>
        <v>0.96554846459848265</v>
      </c>
      <c r="K185" s="31">
        <f t="shared" si="35"/>
        <v>0.93677653785548554</v>
      </c>
      <c r="L185" s="31">
        <f t="shared" si="36"/>
        <v>0.85979501740461539</v>
      </c>
      <c r="M185" s="30">
        <f t="shared" si="37"/>
        <v>-1.4851550000004161E-4</v>
      </c>
      <c r="N185" s="30">
        <f t="shared" si="39"/>
        <v>-3.7854499999994356E-4</v>
      </c>
      <c r="O185" s="30">
        <f t="shared" si="40"/>
        <v>-1.146489999999997E-3</v>
      </c>
      <c r="P185" s="30">
        <f t="shared" si="41"/>
        <v>-2.7305640000000707E-3</v>
      </c>
      <c r="Q185" s="30">
        <f t="shared" si="42"/>
        <v>-3.3466599999999328E-3</v>
      </c>
      <c r="R185" s="30">
        <f t="shared" si="38"/>
        <v>3.4179284167980439E-2</v>
      </c>
      <c r="S185" s="30">
        <f t="shared" si="43"/>
        <v>3.5591527899538455E-2</v>
      </c>
      <c r="T185" s="30">
        <f t="shared" si="44"/>
        <v>3.5680793522719467E-2</v>
      </c>
      <c r="U185" s="30">
        <f t="shared" si="45"/>
        <v>3.3194290305075258E-2</v>
      </c>
      <c r="V185" s="30">
        <f t="shared" si="46"/>
        <v>3.0673275263704447E-2</v>
      </c>
    </row>
    <row r="186" spans="1:22" s="29" customFormat="1" ht="20" customHeight="1" x14ac:dyDescent="0.35">
      <c r="A186" s="131"/>
      <c r="B186" s="28">
        <v>45103</v>
      </c>
      <c r="C186" s="30">
        <v>3.4020151999999998E-2</v>
      </c>
      <c r="D186" s="30">
        <v>3.5439030000000003E-2</v>
      </c>
      <c r="E186" s="30">
        <v>3.5498398E-2</v>
      </c>
      <c r="F186" s="30">
        <v>3.2868712000000001E-2</v>
      </c>
      <c r="G186" s="30">
        <v>2.9895668E-2</v>
      </c>
      <c r="H186" s="31">
        <f t="shared" si="32"/>
        <v>0.99153102751706679</v>
      </c>
      <c r="I186" s="31">
        <f t="shared" si="33"/>
        <v>0.98243655243327954</v>
      </c>
      <c r="J186" s="31">
        <f t="shared" si="34"/>
        <v>0.96512428035785913</v>
      </c>
      <c r="K186" s="31">
        <f t="shared" si="35"/>
        <v>0.93637670206357804</v>
      </c>
      <c r="L186" s="31">
        <f t="shared" si="36"/>
        <v>0.861157090480274</v>
      </c>
      <c r="M186" s="30">
        <f t="shared" si="37"/>
        <v>-1.0300049999999843E-4</v>
      </c>
      <c r="N186" s="30">
        <f t="shared" si="39"/>
        <v>-2.3312100000010295E-4</v>
      </c>
      <c r="O186" s="30">
        <f t="shared" si="40"/>
        <v>-4.3941599999999369E-4</v>
      </c>
      <c r="P186" s="30">
        <f t="shared" si="41"/>
        <v>-4.2691199999993326E-4</v>
      </c>
      <c r="Q186" s="30">
        <f t="shared" si="42"/>
        <v>1.5829299999999668E-3</v>
      </c>
      <c r="R186" s="30">
        <f t="shared" si="38"/>
        <v>3.4605455887187997E-2</v>
      </c>
      <c r="S186" s="30">
        <f t="shared" si="43"/>
        <v>3.6074476741457806E-2</v>
      </c>
      <c r="T186" s="30">
        <f t="shared" si="44"/>
        <v>3.6135988236882133E-2</v>
      </c>
      <c r="U186" s="30">
        <f t="shared" si="45"/>
        <v>3.3414855365136775E-2</v>
      </c>
      <c r="V186" s="30">
        <f t="shared" si="46"/>
        <v>3.0347030179219914E-2</v>
      </c>
    </row>
    <row r="187" spans="1:22" s="29" customFormat="1" ht="20" customHeight="1" x14ac:dyDescent="0.35">
      <c r="A187" s="131"/>
      <c r="B187" s="28">
        <v>45110</v>
      </c>
      <c r="C187" s="30">
        <v>3.4715994E-2</v>
      </c>
      <c r="D187" s="30">
        <v>3.5990710000000002E-2</v>
      </c>
      <c r="E187" s="30">
        <v>3.6196283999999995E-2</v>
      </c>
      <c r="F187" s="30">
        <v>3.4037338E-2</v>
      </c>
      <c r="G187" s="30">
        <v>3.1380150000000002E-2</v>
      </c>
      <c r="H187" s="31">
        <f t="shared" si="32"/>
        <v>0.99135855528586714</v>
      </c>
      <c r="I187" s="31">
        <f t="shared" si="33"/>
        <v>0.98216559450689156</v>
      </c>
      <c r="J187" s="31">
        <f t="shared" si="34"/>
        <v>0.96445096860908663</v>
      </c>
      <c r="K187" s="31">
        <f t="shared" si="35"/>
        <v>0.9341907093469779</v>
      </c>
      <c r="L187" s="31">
        <f t="shared" si="36"/>
        <v>0.85478889240531986</v>
      </c>
      <c r="M187" s="30">
        <f t="shared" si="37"/>
        <v>-1.7396049999998507E-4</v>
      </c>
      <c r="N187" s="30">
        <f t="shared" si="39"/>
        <v>-2.7584000000008583E-4</v>
      </c>
      <c r="O187" s="30">
        <f t="shared" si="40"/>
        <v>-6.9788599999998124E-4</v>
      </c>
      <c r="P187" s="30">
        <f t="shared" si="41"/>
        <v>-2.3372520000000539E-3</v>
      </c>
      <c r="Q187" s="30">
        <f t="shared" si="42"/>
        <v>-7.4224100000001231E-3</v>
      </c>
      <c r="R187" s="30">
        <f t="shared" si="38"/>
        <v>3.5325628350888483E-2</v>
      </c>
      <c r="S187" s="30">
        <f t="shared" si="43"/>
        <v>3.6646216002843568E-2</v>
      </c>
      <c r="T187" s="30">
        <f t="shared" si="44"/>
        <v>3.6859345418234657E-2</v>
      </c>
      <c r="U187" s="30">
        <f t="shared" si="45"/>
        <v>3.4623236769343757E-2</v>
      </c>
      <c r="V187" s="30">
        <f t="shared" si="46"/>
        <v>3.1877697642330283E-2</v>
      </c>
    </row>
    <row r="188" spans="1:22" s="29" customFormat="1" ht="20" customHeight="1" x14ac:dyDescent="0.35">
      <c r="A188" s="131"/>
      <c r="B188" s="28">
        <v>45117</v>
      </c>
      <c r="C188" s="30">
        <v>3.5305796E-2</v>
      </c>
      <c r="D188" s="30">
        <v>3.6346463999999995E-2</v>
      </c>
      <c r="E188" s="30">
        <v>3.6188574000000001E-2</v>
      </c>
      <c r="F188" s="30">
        <v>3.3822907999999999E-2</v>
      </c>
      <c r="G188" s="30">
        <v>3.1595322000000002E-2</v>
      </c>
      <c r="H188" s="31">
        <f t="shared" si="32"/>
        <v>0.99121238974756665</v>
      </c>
      <c r="I188" s="31">
        <f t="shared" si="33"/>
        <v>0.98199090537448752</v>
      </c>
      <c r="J188" s="31">
        <f t="shared" si="34"/>
        <v>0.96445840455472009</v>
      </c>
      <c r="K188" s="31">
        <f t="shared" si="35"/>
        <v>0.93459143229546859</v>
      </c>
      <c r="L188" s="31">
        <f t="shared" si="36"/>
        <v>0.85386975374845098</v>
      </c>
      <c r="M188" s="30">
        <f t="shared" si="37"/>
        <v>-1.4745050000000365E-4</v>
      </c>
      <c r="N188" s="30">
        <f t="shared" si="39"/>
        <v>-1.7787699999989611E-4</v>
      </c>
      <c r="O188" s="30">
        <f t="shared" si="40"/>
        <v>7.7099999998703623E-6</v>
      </c>
      <c r="P188" s="30">
        <f t="shared" si="41"/>
        <v>4.2886000000011767E-4</v>
      </c>
      <c r="Q188" s="30">
        <f t="shared" si="42"/>
        <v>-1.075860000000074E-3</v>
      </c>
      <c r="R188" s="30">
        <f t="shared" si="38"/>
        <v>3.5936445590048827E-2</v>
      </c>
      <c r="S188" s="30">
        <f t="shared" si="43"/>
        <v>3.7015072647994529E-2</v>
      </c>
      <c r="T188" s="30">
        <f t="shared" si="44"/>
        <v>3.6851351263499144E-2</v>
      </c>
      <c r="U188" s="30">
        <f t="shared" si="45"/>
        <v>3.4401406293087744E-2</v>
      </c>
      <c r="V188" s="30">
        <f t="shared" si="46"/>
        <v>3.2099752719447983E-2</v>
      </c>
    </row>
    <row r="189" spans="1:22" s="29" customFormat="1" ht="20" customHeight="1" x14ac:dyDescent="0.35">
      <c r="A189" s="131"/>
      <c r="B189" s="28">
        <v>45124</v>
      </c>
      <c r="C189" s="30">
        <v>3.5195847999999995E-2</v>
      </c>
      <c r="D189" s="30">
        <v>3.6327595999999997E-2</v>
      </c>
      <c r="E189" s="30">
        <v>3.5821542000000005E-2</v>
      </c>
      <c r="F189" s="30">
        <v>3.2764281999999992E-2</v>
      </c>
      <c r="G189" s="30">
        <v>3.0136218000000003E-2</v>
      </c>
      <c r="H189" s="31">
        <f t="shared" si="32"/>
        <v>0.99123963557697503</v>
      </c>
      <c r="I189" s="31">
        <f t="shared" si="33"/>
        <v>0.98200016952038771</v>
      </c>
      <c r="J189" s="31">
        <f t="shared" si="34"/>
        <v>0.96481245662210524</v>
      </c>
      <c r="K189" s="31">
        <f t="shared" si="35"/>
        <v>0.9365722941265392</v>
      </c>
      <c r="L189" s="31">
        <f t="shared" si="36"/>
        <v>0.86012195641823141</v>
      </c>
      <c r="M189" s="30">
        <f t="shared" si="37"/>
        <v>2.7486999999983632E-5</v>
      </c>
      <c r="N189" s="30">
        <f t="shared" si="39"/>
        <v>9.4339999999492541E-6</v>
      </c>
      <c r="O189" s="30">
        <f t="shared" si="40"/>
        <v>3.6703200000007816E-4</v>
      </c>
      <c r="P189" s="30">
        <f t="shared" si="41"/>
        <v>2.1172520000000816E-3</v>
      </c>
      <c r="Q189" s="30">
        <f t="shared" si="42"/>
        <v>7.2955199999999564E-3</v>
      </c>
      <c r="R189" s="30">
        <f t="shared" si="38"/>
        <v>3.5822552710990996E-2</v>
      </c>
      <c r="S189" s="30">
        <f t="shared" si="43"/>
        <v>3.6995506432192071E-2</v>
      </c>
      <c r="T189" s="30">
        <f t="shared" si="44"/>
        <v>3.6470863468211823E-2</v>
      </c>
      <c r="U189" s="30">
        <f t="shared" si="45"/>
        <v>3.3306941486612285E-2</v>
      </c>
      <c r="V189" s="30">
        <f t="shared" si="46"/>
        <v>3.0594909969875905E-2</v>
      </c>
    </row>
    <row r="190" spans="1:22" s="29" customFormat="1" ht="20" customHeight="1" x14ac:dyDescent="0.35">
      <c r="A190" s="131"/>
      <c r="B190" s="28">
        <v>45131</v>
      </c>
      <c r="C190" s="30">
        <v>3.5441869999999993E-2</v>
      </c>
      <c r="D190" s="30">
        <v>3.6303220000000004E-2</v>
      </c>
      <c r="E190" s="30">
        <v>3.5577030000000003E-2</v>
      </c>
      <c r="F190" s="30">
        <v>3.2528306E-2</v>
      </c>
      <c r="G190" s="30">
        <v>3.0112937999999999E-2</v>
      </c>
      <c r="H190" s="31">
        <f t="shared" si="32"/>
        <v>0.99117867076242394</v>
      </c>
      <c r="I190" s="31">
        <f t="shared" si="33"/>
        <v>0.98201213821139088</v>
      </c>
      <c r="J190" s="31">
        <f t="shared" si="34"/>
        <v>0.96504839368904538</v>
      </c>
      <c r="K190" s="31">
        <f t="shared" si="35"/>
        <v>0.93701441561575083</v>
      </c>
      <c r="L190" s="31">
        <f t="shared" si="36"/>
        <v>0.86022208044106363</v>
      </c>
      <c r="M190" s="30">
        <f t="shared" si="37"/>
        <v>-6.1505500000084374E-5</v>
      </c>
      <c r="N190" s="30">
        <f t="shared" si="39"/>
        <v>1.2188000000081687E-5</v>
      </c>
      <c r="O190" s="30">
        <f t="shared" si="40"/>
        <v>2.4451199999987332E-4</v>
      </c>
      <c r="P190" s="30">
        <f t="shared" si="41"/>
        <v>4.7195200000001278E-4</v>
      </c>
      <c r="Q190" s="30">
        <f t="shared" si="42"/>
        <v>1.1640000000014783E-4</v>
      </c>
      <c r="R190" s="30">
        <f t="shared" si="38"/>
        <v>3.6077419197150018E-2</v>
      </c>
      <c r="S190" s="30">
        <f t="shared" si="43"/>
        <v>3.6970228937810656E-2</v>
      </c>
      <c r="T190" s="30">
        <f t="shared" si="44"/>
        <v>3.6217464885202943E-2</v>
      </c>
      <c r="U190" s="30">
        <f t="shared" si="45"/>
        <v>3.3063134615204604E-2</v>
      </c>
      <c r="V190" s="30">
        <f t="shared" si="46"/>
        <v>3.0570917999639402E-2</v>
      </c>
    </row>
    <row r="191" spans="1:22" s="29" customFormat="1" ht="20" customHeight="1" x14ac:dyDescent="0.35">
      <c r="A191" s="131"/>
      <c r="B191" s="28">
        <v>45138</v>
      </c>
      <c r="C191" s="30">
        <v>3.5526004E-2</v>
      </c>
      <c r="D191" s="30">
        <v>3.6133683999999999E-2</v>
      </c>
      <c r="E191" s="30">
        <v>3.5210749999999999E-2</v>
      </c>
      <c r="F191" s="30">
        <v>3.2293983999999998E-2</v>
      </c>
      <c r="G191" s="30">
        <v>3.0561554000000001E-2</v>
      </c>
      <c r="H191" s="31">
        <f t="shared" si="32"/>
        <v>0.99115782302510369</v>
      </c>
      <c r="I191" s="31">
        <f t="shared" si="33"/>
        <v>0.98209538494460247</v>
      </c>
      <c r="J191" s="31">
        <f t="shared" si="34"/>
        <v>0.96540193635853766</v>
      </c>
      <c r="K191" s="31">
        <f t="shared" si="35"/>
        <v>0.93745364471254422</v>
      </c>
      <c r="L191" s="31">
        <f t="shared" si="36"/>
        <v>0.85829469594379837</v>
      </c>
      <c r="M191" s="30">
        <f t="shared" si="37"/>
        <v>-2.1033499999943453E-5</v>
      </c>
      <c r="N191" s="30">
        <f t="shared" si="39"/>
        <v>8.4767999999995554E-5</v>
      </c>
      <c r="O191" s="30">
        <f t="shared" si="40"/>
        <v>3.6628000000004968E-4</v>
      </c>
      <c r="P191" s="30">
        <f t="shared" si="41"/>
        <v>4.6864400000007957E-4</v>
      </c>
      <c r="Q191" s="30">
        <f t="shared" si="42"/>
        <v>-2.2430800000000197E-3</v>
      </c>
      <c r="R191" s="30">
        <f t="shared" si="38"/>
        <v>3.6164592201792134E-2</v>
      </c>
      <c r="S191" s="30">
        <f t="shared" si="43"/>
        <v>3.6794440054770616E-2</v>
      </c>
      <c r="T191" s="30">
        <f t="shared" si="44"/>
        <v>3.5837988653684594E-2</v>
      </c>
      <c r="U191" s="30">
        <f t="shared" si="45"/>
        <v>3.2821093554255443E-2</v>
      </c>
      <c r="V191" s="30">
        <f t="shared" si="46"/>
        <v>3.1033352322551222E-2</v>
      </c>
    </row>
    <row r="192" spans="1:22" s="29" customFormat="1" ht="20" customHeight="1" x14ac:dyDescent="0.35">
      <c r="A192" s="131"/>
      <c r="B192" s="28">
        <v>45145</v>
      </c>
      <c r="C192" s="30">
        <v>3.5294397999999998E-2</v>
      </c>
      <c r="D192" s="30">
        <v>3.5916692E-2</v>
      </c>
      <c r="E192" s="30">
        <v>3.4935562000000003E-2</v>
      </c>
      <c r="F192" s="30">
        <v>3.1954162000000001E-2</v>
      </c>
      <c r="G192" s="30">
        <v>3.0366839999999996E-2</v>
      </c>
      <c r="H192" s="31">
        <f t="shared" si="32"/>
        <v>0.99121521421129544</v>
      </c>
      <c r="I192" s="31">
        <f t="shared" si="33"/>
        <v>0.98220194414600648</v>
      </c>
      <c r="J192" s="31">
        <f t="shared" si="34"/>
        <v>0.96566763994414273</v>
      </c>
      <c r="K192" s="31">
        <f t="shared" si="35"/>
        <v>0.93809099601891321</v>
      </c>
      <c r="L192" s="31">
        <f t="shared" si="36"/>
        <v>0.85913071280536224</v>
      </c>
      <c r="M192" s="30">
        <f t="shared" si="37"/>
        <v>5.7901499999942904E-5</v>
      </c>
      <c r="N192" s="30">
        <f t="shared" si="39"/>
        <v>1.0849600000007263E-4</v>
      </c>
      <c r="O192" s="30">
        <f t="shared" si="40"/>
        <v>2.7518800000007182E-4</v>
      </c>
      <c r="P192" s="30">
        <f t="shared" si="41"/>
        <v>6.7964399999986098E-4</v>
      </c>
      <c r="Q192" s="30">
        <f t="shared" si="42"/>
        <v>9.7356999999988582E-4</v>
      </c>
      <c r="R192" s="30">
        <f t="shared" si="38"/>
        <v>3.5924638053733471E-2</v>
      </c>
      <c r="S192" s="30">
        <f t="shared" si="43"/>
        <v>3.6569488362875768E-2</v>
      </c>
      <c r="T192" s="30">
        <f t="shared" si="44"/>
        <v>3.5552977686860388E-2</v>
      </c>
      <c r="U192" s="30">
        <f t="shared" si="45"/>
        <v>3.2470177852416349E-2</v>
      </c>
      <c r="V192" s="30">
        <f t="shared" si="46"/>
        <v>3.0832615238181704E-2</v>
      </c>
    </row>
    <row r="193" spans="1:22" s="29" customFormat="1" ht="20" customHeight="1" x14ac:dyDescent="0.35">
      <c r="A193" s="131"/>
      <c r="B193" s="28">
        <v>45152</v>
      </c>
      <c r="C193" s="30">
        <v>3.5709376000000008E-2</v>
      </c>
      <c r="D193" s="30">
        <v>3.6347655999999999E-2</v>
      </c>
      <c r="E193" s="30">
        <v>3.5604615999999999E-2</v>
      </c>
      <c r="F193" s="30">
        <v>3.2971767999999999E-2</v>
      </c>
      <c r="G193" s="30">
        <v>3.1619669999999996E-2</v>
      </c>
      <c r="H193" s="31">
        <f t="shared" si="32"/>
        <v>0.99111238641850585</v>
      </c>
      <c r="I193" s="31">
        <f t="shared" si="33"/>
        <v>0.98199032010808229</v>
      </c>
      <c r="J193" s="31">
        <f t="shared" si="34"/>
        <v>0.96502177223124852</v>
      </c>
      <c r="K193" s="31">
        <f t="shared" si="35"/>
        <v>0.9361837234770467</v>
      </c>
      <c r="L193" s="31">
        <f t="shared" si="36"/>
        <v>0.85376580997181584</v>
      </c>
      <c r="M193" s="30">
        <f t="shared" si="37"/>
        <v>-1.0374450000006697E-4</v>
      </c>
      <c r="N193" s="30">
        <f t="shared" si="39"/>
        <v>-2.1548200000008708E-4</v>
      </c>
      <c r="O193" s="30">
        <f t="shared" si="40"/>
        <v>-6.6905400000001863E-4</v>
      </c>
      <c r="P193" s="30">
        <f t="shared" si="41"/>
        <v>-2.0352119999999074E-3</v>
      </c>
      <c r="Q193" s="30">
        <f t="shared" si="42"/>
        <v>-6.2641499999999935E-3</v>
      </c>
      <c r="R193" s="30">
        <f t="shared" si="38"/>
        <v>3.635461319712574E-2</v>
      </c>
      <c r="S193" s="30">
        <f t="shared" si="43"/>
        <v>3.7016308770697837E-2</v>
      </c>
      <c r="T193" s="30">
        <f t="shared" si="44"/>
        <v>3.6246050374467265E-2</v>
      </c>
      <c r="U193" s="30">
        <f t="shared" si="45"/>
        <v>3.3521360454371374E-2</v>
      </c>
      <c r="V193" s="30">
        <f t="shared" si="46"/>
        <v>3.2124882590157E-2</v>
      </c>
    </row>
    <row r="194" spans="1:22" s="29" customFormat="1" ht="20" customHeight="1" x14ac:dyDescent="0.35">
      <c r="A194" s="131"/>
      <c r="B194" s="28">
        <v>45159</v>
      </c>
      <c r="C194" s="30">
        <v>3.5736101999999999E-2</v>
      </c>
      <c r="D194" s="30">
        <v>3.6264414000000002E-2</v>
      </c>
      <c r="E194" s="30">
        <v>3.5281059999999996E-2</v>
      </c>
      <c r="F194" s="30">
        <v>3.2414792000000005E-2</v>
      </c>
      <c r="G194" s="30">
        <v>3.1004078000000001E-2</v>
      </c>
      <c r="H194" s="31">
        <f t="shared" si="32"/>
        <v>0.99110576432321884</v>
      </c>
      <c r="I194" s="31">
        <f t="shared" si="33"/>
        <v>0.98203119237776204</v>
      </c>
      <c r="J194" s="31">
        <f t="shared" si="34"/>
        <v>0.96533406133456678</v>
      </c>
      <c r="K194" s="31">
        <f t="shared" si="35"/>
        <v>0.93722716827399066</v>
      </c>
      <c r="L194" s="31">
        <f t="shared" si="36"/>
        <v>0.8563977153561716</v>
      </c>
      <c r="M194" s="30">
        <f t="shared" si="37"/>
        <v>-6.6814999999652017E-6</v>
      </c>
      <c r="N194" s="30">
        <f t="shared" si="39"/>
        <v>4.1621000000015592E-5</v>
      </c>
      <c r="O194" s="30">
        <f t="shared" si="40"/>
        <v>3.2355600000008187E-4</v>
      </c>
      <c r="P194" s="30">
        <f t="shared" si="41"/>
        <v>1.1139519999999233E-3</v>
      </c>
      <c r="Q194" s="30">
        <f t="shared" si="42"/>
        <v>3.0779599999998042E-3</v>
      </c>
      <c r="R194" s="30">
        <f t="shared" si="38"/>
        <v>3.63823111806445E-2</v>
      </c>
      <c r="S194" s="30">
        <f t="shared" si="43"/>
        <v>3.6929989051886158E-2</v>
      </c>
      <c r="T194" s="30">
        <f t="shared" si="44"/>
        <v>3.5910820983057201E-2</v>
      </c>
      <c r="U194" s="30">
        <f t="shared" si="45"/>
        <v>3.2945874142020326E-2</v>
      </c>
      <c r="V194" s="30">
        <f t="shared" si="46"/>
        <v>3.148971029298453E-2</v>
      </c>
    </row>
    <row r="195" spans="1:22" s="29" customFormat="1" ht="20" customHeight="1" x14ac:dyDescent="0.35">
      <c r="A195" s="131"/>
      <c r="B195" s="28">
        <v>45166</v>
      </c>
      <c r="C195" s="30">
        <v>3.5810865999999997E-2</v>
      </c>
      <c r="D195" s="30">
        <v>3.6420070000000006E-2</v>
      </c>
      <c r="E195" s="30">
        <v>3.5405923999999998E-2</v>
      </c>
      <c r="F195" s="30">
        <v>3.2338630000000007E-2</v>
      </c>
      <c r="G195" s="30">
        <v>3.0595298E-2</v>
      </c>
      <c r="H195" s="31">
        <f t="shared" si="32"/>
        <v>0.99108723973849988</v>
      </c>
      <c r="I195" s="31">
        <f t="shared" si="33"/>
        <v>0.98195476582822294</v>
      </c>
      <c r="J195" s="31">
        <f t="shared" si="34"/>
        <v>0.96521353338728966</v>
      </c>
      <c r="K195" s="31">
        <f t="shared" si="35"/>
        <v>0.93736994133877694</v>
      </c>
      <c r="L195" s="31">
        <f t="shared" si="36"/>
        <v>0.85814989667830821</v>
      </c>
      <c r="M195" s="30">
        <f t="shared" si="37"/>
        <v>-1.8691000000004501E-5</v>
      </c>
      <c r="N195" s="30">
        <f t="shared" si="39"/>
        <v>-7.7828000000013215E-5</v>
      </c>
      <c r="O195" s="30">
        <f t="shared" si="40"/>
        <v>-1.2486400000008102E-4</v>
      </c>
      <c r="P195" s="30">
        <f t="shared" si="41"/>
        <v>1.5232399999997906E-4</v>
      </c>
      <c r="Q195" s="30">
        <f t="shared" si="42"/>
        <v>2.0438999999999349E-3</v>
      </c>
      <c r="R195" s="30">
        <f t="shared" si="38"/>
        <v>3.6459798164339974E-2</v>
      </c>
      <c r="S195" s="30">
        <f t="shared" si="43"/>
        <v>3.7091405988693538E-2</v>
      </c>
      <c r="T195" s="30">
        <f t="shared" si="44"/>
        <v>3.6040177027597098E-2</v>
      </c>
      <c r="U195" s="30">
        <f t="shared" si="45"/>
        <v>3.2867205914156816E-2</v>
      </c>
      <c r="V195" s="30">
        <f t="shared" si="46"/>
        <v>3.1068144098995498E-2</v>
      </c>
    </row>
    <row r="196" spans="1:22" s="29" customFormat="1" ht="20" customHeight="1" x14ac:dyDescent="0.35">
      <c r="A196" s="131"/>
      <c r="B196" s="28">
        <v>45173</v>
      </c>
      <c r="C196" s="30">
        <v>3.5973068000000004E-2</v>
      </c>
      <c r="D196" s="30">
        <v>3.6621478000000006E-2</v>
      </c>
      <c r="E196" s="30">
        <v>3.5622891999999996E-2</v>
      </c>
      <c r="F196" s="30">
        <v>3.2611767999999999E-2</v>
      </c>
      <c r="G196" s="30">
        <v>3.1112980000000002E-2</v>
      </c>
      <c r="H196" s="31">
        <f t="shared" si="32"/>
        <v>0.99104705147021754</v>
      </c>
      <c r="I196" s="31">
        <f t="shared" si="33"/>
        <v>0.98185588403446467</v>
      </c>
      <c r="J196" s="31">
        <f t="shared" si="34"/>
        <v>0.96500413565450283</v>
      </c>
      <c r="K196" s="31">
        <f t="shared" si="35"/>
        <v>0.93685801847501993</v>
      </c>
      <c r="L196" s="31">
        <f t="shared" si="36"/>
        <v>0.85593152517031057</v>
      </c>
      <c r="M196" s="30">
        <f t="shared" si="37"/>
        <v>-4.0550500000030687E-5</v>
      </c>
      <c r="N196" s="30">
        <f t="shared" si="39"/>
        <v>-1.0070399999995893E-4</v>
      </c>
      <c r="O196" s="30">
        <f t="shared" si="40"/>
        <v>-2.169679999999685E-4</v>
      </c>
      <c r="P196" s="30">
        <f t="shared" si="41"/>
        <v>-5.4627599999999474E-4</v>
      </c>
      <c r="Q196" s="30">
        <f t="shared" si="42"/>
        <v>-2.5884099999999564E-3</v>
      </c>
      <c r="R196" s="30">
        <f t="shared" si="38"/>
        <v>3.6627927651622816E-2</v>
      </c>
      <c r="S196" s="30">
        <f t="shared" si="43"/>
        <v>3.7300305530904021E-2</v>
      </c>
      <c r="T196" s="30">
        <f t="shared" si="44"/>
        <v>3.6264988980344359E-2</v>
      </c>
      <c r="U196" s="30">
        <f t="shared" si="45"/>
        <v>3.3149359728755989E-2</v>
      </c>
      <c r="V196" s="30">
        <f t="shared" si="46"/>
        <v>3.1602047702187885E-2</v>
      </c>
    </row>
    <row r="197" spans="1:22" s="29" customFormat="1" ht="20" customHeight="1" x14ac:dyDescent="0.35">
      <c r="A197" s="131"/>
      <c r="B197" s="28">
        <v>45180</v>
      </c>
      <c r="C197" s="30">
        <v>3.6782430000000005E-2</v>
      </c>
      <c r="D197" s="30">
        <v>3.7361862000000003E-2</v>
      </c>
      <c r="E197" s="30">
        <v>3.6389204000000008E-2</v>
      </c>
      <c r="F197" s="30">
        <v>3.3404210000000004E-2</v>
      </c>
      <c r="G197" s="30">
        <v>3.1718070000000001E-2</v>
      </c>
      <c r="H197" s="31">
        <f t="shared" ref="H197:H260" si="47">EXP(-0.25*C197)</f>
        <v>0.99084654280049589</v>
      </c>
      <c r="I197" s="31">
        <f t="shared" ref="I197:I260" si="48">EXP(-0.5*D197)</f>
        <v>0.98149247611054535</v>
      </c>
      <c r="J197" s="31">
        <f t="shared" ref="J197:J260" si="49">EXP(-1*E197)</f>
        <v>0.96426492467459746</v>
      </c>
      <c r="K197" s="31">
        <f t="shared" ref="K197:K260" si="50">EXP(-2*F197)</f>
        <v>0.93537438319673094</v>
      </c>
      <c r="L197" s="31">
        <f t="shared" ref="L197:L260" si="51">EXP(-5*G197)</f>
        <v>0.85334586050934857</v>
      </c>
      <c r="M197" s="30">
        <f t="shared" si="37"/>
        <v>-2.0234050000000507E-4</v>
      </c>
      <c r="N197" s="30">
        <f t="shared" si="39"/>
        <v>-3.7019200000007756E-4</v>
      </c>
      <c r="O197" s="30">
        <f t="shared" si="40"/>
        <v>-7.6631200000005627E-4</v>
      </c>
      <c r="P197" s="30">
        <f t="shared" si="41"/>
        <v>-1.5848840000000791E-3</v>
      </c>
      <c r="Q197" s="30">
        <f t="shared" si="42"/>
        <v>-3.0254500000001338E-3</v>
      </c>
      <c r="R197" s="30">
        <f t="shared" si="38"/>
        <v>3.7467274526316263E-2</v>
      </c>
      <c r="S197" s="30">
        <f t="shared" si="43"/>
        <v>3.8068590458152363E-2</v>
      </c>
      <c r="T197" s="30">
        <f t="shared" si="44"/>
        <v>3.7059395619374769E-2</v>
      </c>
      <c r="U197" s="30">
        <f t="shared" si="45"/>
        <v>3.3968395149851283E-2</v>
      </c>
      <c r="V197" s="30">
        <f t="shared" si="46"/>
        <v>3.2226448675573449E-2</v>
      </c>
    </row>
    <row r="198" spans="1:22" s="29" customFormat="1" ht="20" customHeight="1" x14ac:dyDescent="0.35">
      <c r="A198" s="131"/>
      <c r="B198" s="28">
        <v>45187</v>
      </c>
      <c r="C198" s="30">
        <v>3.7462825999999998E-2</v>
      </c>
      <c r="D198" s="30">
        <v>3.8030592000000002E-2</v>
      </c>
      <c r="E198" s="30">
        <v>3.7151252000000003E-2</v>
      </c>
      <c r="F198" s="30">
        <v>3.4293996E-2</v>
      </c>
      <c r="G198" s="30">
        <v>3.2648089999999998E-2</v>
      </c>
      <c r="H198" s="31">
        <f t="shared" si="47"/>
        <v>0.99067801512801268</v>
      </c>
      <c r="I198" s="31">
        <f t="shared" si="48"/>
        <v>0.9811643542380627</v>
      </c>
      <c r="J198" s="31">
        <f t="shared" si="49"/>
        <v>0.96353038842876404</v>
      </c>
      <c r="K198" s="31">
        <f t="shared" si="50"/>
        <v>0.93371129736426628</v>
      </c>
      <c r="L198" s="31">
        <f t="shared" si="51"/>
        <v>0.84938692877143573</v>
      </c>
      <c r="M198" s="30">
        <f t="shared" ref="M198:M261" si="52">+LN(H198/H197)</f>
        <v>-1.7009900000004139E-4</v>
      </c>
      <c r="N198" s="30">
        <f t="shared" si="39"/>
        <v>-3.3436499999989585E-4</v>
      </c>
      <c r="O198" s="30">
        <f t="shared" si="40"/>
        <v>-7.6204799999998957E-4</v>
      </c>
      <c r="P198" s="30">
        <f t="shared" si="41"/>
        <v>-1.779571999999896E-3</v>
      </c>
      <c r="Q198" s="30">
        <f t="shared" si="42"/>
        <v>-4.6500999999999661E-3</v>
      </c>
      <c r="R198" s="30">
        <f t="shared" ref="R198:R261" si="53">+EXP(C198)-1</f>
        <v>3.8173403306392517E-2</v>
      </c>
      <c r="S198" s="30">
        <f t="shared" si="43"/>
        <v>3.8763010230437933E-2</v>
      </c>
      <c r="T198" s="30">
        <f t="shared" si="44"/>
        <v>3.784998585328192E-2</v>
      </c>
      <c r="U198" s="30">
        <f t="shared" si="45"/>
        <v>3.4888815180000421E-2</v>
      </c>
      <c r="V198" s="30">
        <f t="shared" si="46"/>
        <v>3.3186886461318954E-2</v>
      </c>
    </row>
    <row r="199" spans="1:22" s="29" customFormat="1" ht="20" customHeight="1" x14ac:dyDescent="0.35">
      <c r="A199" s="131"/>
      <c r="B199" s="28">
        <v>45194</v>
      </c>
      <c r="C199" s="30">
        <v>3.7409461999999997E-2</v>
      </c>
      <c r="D199" s="30">
        <v>3.7962638E-2</v>
      </c>
      <c r="E199" s="30">
        <v>3.7170667999999997E-2</v>
      </c>
      <c r="F199" s="30">
        <v>3.4558463999999997E-2</v>
      </c>
      <c r="G199" s="30">
        <v>3.3458681999999997E-2</v>
      </c>
      <c r="H199" s="31">
        <f t="shared" si="47"/>
        <v>0.99069123185157448</v>
      </c>
      <c r="I199" s="31">
        <f t="shared" si="48"/>
        <v>0.98119769182567895</v>
      </c>
      <c r="J199" s="31">
        <f t="shared" si="49"/>
        <v>0.96351168070435755</v>
      </c>
      <c r="K199" s="31">
        <f t="shared" si="50"/>
        <v>0.93321755443619969</v>
      </c>
      <c r="L199" s="31">
        <f t="shared" si="51"/>
        <v>0.845951364330084</v>
      </c>
      <c r="M199" s="30">
        <f t="shared" si="52"/>
        <v>1.3341000000000164E-5</v>
      </c>
      <c r="N199" s="30">
        <f t="shared" si="39"/>
        <v>3.3976999999873382E-5</v>
      </c>
      <c r="O199" s="30">
        <f t="shared" si="40"/>
        <v>-1.9415999999967171E-5</v>
      </c>
      <c r="P199" s="30">
        <f t="shared" si="41"/>
        <v>-5.2893599999999049E-4</v>
      </c>
      <c r="Q199" s="30">
        <f t="shared" si="42"/>
        <v>-4.0529599999999909E-3</v>
      </c>
      <c r="R199" s="30">
        <f t="shared" si="53"/>
        <v>3.8118003699084024E-2</v>
      </c>
      <c r="S199" s="30">
        <f t="shared" si="43"/>
        <v>3.8692424527158265E-2</v>
      </c>
      <c r="T199" s="30">
        <f t="shared" si="44"/>
        <v>3.7870136944233357E-2</v>
      </c>
      <c r="U199" s="30">
        <f t="shared" si="45"/>
        <v>3.5162546350145485E-2</v>
      </c>
      <c r="V199" s="30">
        <f t="shared" si="46"/>
        <v>3.4024719010294691E-2</v>
      </c>
    </row>
    <row r="200" spans="1:22" s="29" customFormat="1" ht="20" customHeight="1" x14ac:dyDescent="0.35">
      <c r="A200" s="131"/>
      <c r="B200" s="28">
        <v>45201</v>
      </c>
      <c r="C200" s="30">
        <v>3.7876869999999993E-2</v>
      </c>
      <c r="D200" s="30">
        <v>3.7974757999999997E-2</v>
      </c>
      <c r="E200" s="30">
        <v>3.6866072E-2</v>
      </c>
      <c r="F200" s="30">
        <v>3.4436830000000002E-2</v>
      </c>
      <c r="G200" s="30">
        <v>3.4082269999999991E-2</v>
      </c>
      <c r="H200" s="31">
        <f t="shared" si="47"/>
        <v>0.99057547436312887</v>
      </c>
      <c r="I200" s="31">
        <f t="shared" si="48"/>
        <v>0.98119174578568302</v>
      </c>
      <c r="J200" s="31">
        <f t="shared" si="49"/>
        <v>0.96380520720948359</v>
      </c>
      <c r="K200" s="31">
        <f t="shared" si="50"/>
        <v>0.93344460402006157</v>
      </c>
      <c r="L200" s="31">
        <f t="shared" si="51"/>
        <v>0.84331784644205576</v>
      </c>
      <c r="M200" s="30">
        <f t="shared" si="52"/>
        <v>-1.168520000000145E-4</v>
      </c>
      <c r="N200" s="30">
        <f t="shared" si="39"/>
        <v>-6.0600000000362797E-6</v>
      </c>
      <c r="O200" s="30">
        <f t="shared" si="40"/>
        <v>3.0459600000004751E-4</v>
      </c>
      <c r="P200" s="30">
        <f t="shared" si="41"/>
        <v>2.4326799999996898E-4</v>
      </c>
      <c r="Q200" s="30">
        <f t="shared" si="42"/>
        <v>-3.1179400000000612E-3</v>
      </c>
      <c r="R200" s="30">
        <f t="shared" si="53"/>
        <v>3.8603341775570676E-2</v>
      </c>
      <c r="S200" s="30">
        <f t="shared" si="43"/>
        <v>3.8705013555632828E-2</v>
      </c>
      <c r="T200" s="30">
        <f t="shared" si="44"/>
        <v>3.755405399324574E-2</v>
      </c>
      <c r="U200" s="30">
        <f t="shared" si="45"/>
        <v>3.5036643046199245E-2</v>
      </c>
      <c r="V200" s="30">
        <f t="shared" si="46"/>
        <v>3.4669725505026339E-2</v>
      </c>
    </row>
    <row r="201" spans="1:22" s="29" customFormat="1" ht="20" customHeight="1" x14ac:dyDescent="0.35">
      <c r="A201" s="131"/>
      <c r="B201" s="28">
        <v>45208</v>
      </c>
      <c r="C201" s="30">
        <v>3.8132069999999997E-2</v>
      </c>
      <c r="D201" s="30">
        <v>3.7777999999999999E-2</v>
      </c>
      <c r="E201" s="30">
        <v>3.6391134000000006E-2</v>
      </c>
      <c r="F201" s="30">
        <v>3.3924773999999998E-2</v>
      </c>
      <c r="G201" s="30">
        <v>3.3202405999999997E-2</v>
      </c>
      <c r="H201" s="31">
        <f t="shared" si="47"/>
        <v>0.99051227766386063</v>
      </c>
      <c r="I201" s="31">
        <f t="shared" si="48"/>
        <v>0.98128827919679407</v>
      </c>
      <c r="J201" s="31">
        <f t="shared" si="49"/>
        <v>0.96426306364508874</v>
      </c>
      <c r="K201" s="31">
        <f t="shared" si="50"/>
        <v>0.9344010455083831</v>
      </c>
      <c r="L201" s="31">
        <f t="shared" si="51"/>
        <v>0.84703604428449475</v>
      </c>
      <c r="M201" s="30">
        <f t="shared" si="52"/>
        <v>-6.3799999999971735E-5</v>
      </c>
      <c r="N201" s="30">
        <f t="shared" si="39"/>
        <v>9.8378999999923375E-5</v>
      </c>
      <c r="O201" s="30">
        <f t="shared" si="40"/>
        <v>4.7493800000001024E-4</v>
      </c>
      <c r="P201" s="30">
        <f t="shared" si="41"/>
        <v>1.024112000000077E-3</v>
      </c>
      <c r="Q201" s="30">
        <f t="shared" si="42"/>
        <v>4.399319999999934E-3</v>
      </c>
      <c r="R201" s="30">
        <f t="shared" si="53"/>
        <v>3.8868427171849795E-2</v>
      </c>
      <c r="S201" s="30">
        <f t="shared" si="43"/>
        <v>3.8500660139319631E-2</v>
      </c>
      <c r="T201" s="30">
        <f t="shared" si="44"/>
        <v>3.7061397145939701E-2</v>
      </c>
      <c r="U201" s="30">
        <f t="shared" si="45"/>
        <v>3.4506781993750568E-2</v>
      </c>
      <c r="V201" s="30">
        <f t="shared" si="46"/>
        <v>3.3759757244526511E-2</v>
      </c>
    </row>
    <row r="202" spans="1:22" s="29" customFormat="1" ht="20" customHeight="1" x14ac:dyDescent="0.35">
      <c r="A202" s="131"/>
      <c r="B202" s="28">
        <v>45215</v>
      </c>
      <c r="C202" s="30">
        <v>3.7971885999999996E-2</v>
      </c>
      <c r="D202" s="30">
        <v>3.7871588000000005E-2</v>
      </c>
      <c r="E202" s="30">
        <v>3.6833435999999997E-2</v>
      </c>
      <c r="F202" s="30">
        <v>3.4654237999999997E-2</v>
      </c>
      <c r="G202" s="30">
        <v>3.4063860000000001E-2</v>
      </c>
      <c r="H202" s="31">
        <f t="shared" si="47"/>
        <v>0.99055194451277595</v>
      </c>
      <c r="I202" s="31">
        <f t="shared" si="48"/>
        <v>0.98124236186739344</v>
      </c>
      <c r="J202" s="31">
        <f t="shared" si="49"/>
        <v>0.96383666246951027</v>
      </c>
      <c r="K202" s="31">
        <f t="shared" si="50"/>
        <v>0.93303881559916235</v>
      </c>
      <c r="L202" s="31">
        <f t="shared" si="51"/>
        <v>0.8433954774227318</v>
      </c>
      <c r="M202" s="30">
        <f t="shared" si="52"/>
        <v>4.0046000000005837E-5</v>
      </c>
      <c r="N202" s="30">
        <f t="shared" si="39"/>
        <v>-4.6793999999980193E-5</v>
      </c>
      <c r="O202" s="30">
        <f t="shared" si="40"/>
        <v>-4.4230199999993435E-4</v>
      </c>
      <c r="P202" s="30">
        <f t="shared" si="41"/>
        <v>-1.4589279999999772E-3</v>
      </c>
      <c r="Q202" s="30">
        <f t="shared" si="42"/>
        <v>-4.3072700000000574E-3</v>
      </c>
      <c r="R202" s="30">
        <f t="shared" si="53"/>
        <v>3.8702030399117682E-2</v>
      </c>
      <c r="S202" s="30">
        <f t="shared" si="43"/>
        <v>3.8597855887207766E-2</v>
      </c>
      <c r="T202" s="30">
        <f t="shared" si="44"/>
        <v>3.7520192931687513E-2</v>
      </c>
      <c r="U202" s="30">
        <f t="shared" si="45"/>
        <v>3.5261692755607754E-2</v>
      </c>
      <c r="V202" s="30">
        <f t="shared" si="46"/>
        <v>3.4650677410718034E-2</v>
      </c>
    </row>
    <row r="203" spans="1:22" s="29" customFormat="1" ht="20" customHeight="1" x14ac:dyDescent="0.35">
      <c r="A203" s="131"/>
      <c r="B203" s="28">
        <v>45222</v>
      </c>
      <c r="C203" s="30">
        <v>3.8326079999999998E-2</v>
      </c>
      <c r="D203" s="30">
        <v>3.7724242000000005E-2</v>
      </c>
      <c r="E203" s="30">
        <v>3.6202140000000001E-2</v>
      </c>
      <c r="F203" s="30">
        <v>3.3935927999999997E-2</v>
      </c>
      <c r="G203" s="30">
        <v>3.3749531999999999E-2</v>
      </c>
      <c r="H203" s="31">
        <f t="shared" si="47"/>
        <v>0.99046423650718074</v>
      </c>
      <c r="I203" s="31">
        <f t="shared" si="48"/>
        <v>0.98131465559893472</v>
      </c>
      <c r="J203" s="31">
        <f t="shared" si="49"/>
        <v>0.96444532080075129</v>
      </c>
      <c r="K203" s="31">
        <f t="shared" si="50"/>
        <v>0.93438020112235909</v>
      </c>
      <c r="L203" s="31">
        <f t="shared" si="51"/>
        <v>0.84472203365222953</v>
      </c>
      <c r="M203" s="30">
        <f t="shared" si="52"/>
        <v>-8.8548500000026849E-5</v>
      </c>
      <c r="N203" s="30">
        <f t="shared" si="39"/>
        <v>7.3673000000027211E-5</v>
      </c>
      <c r="O203" s="30">
        <f t="shared" si="40"/>
        <v>6.3129600000011974E-4</v>
      </c>
      <c r="P203" s="30">
        <f t="shared" si="41"/>
        <v>1.4366200000000811E-3</v>
      </c>
      <c r="Q203" s="30">
        <f t="shared" si="42"/>
        <v>1.5716399999999918E-3</v>
      </c>
      <c r="R203" s="30">
        <f t="shared" si="53"/>
        <v>3.9069997588111249E-2</v>
      </c>
      <c r="S203" s="30">
        <f t="shared" si="43"/>
        <v>3.8444833921398303E-2</v>
      </c>
      <c r="T203" s="30">
        <f t="shared" si="44"/>
        <v>3.6865417284339896E-2</v>
      </c>
      <c r="U203" s="30">
        <f t="shared" si="45"/>
        <v>3.451832094674967E-2</v>
      </c>
      <c r="V203" s="30">
        <f t="shared" si="46"/>
        <v>3.432550884005936E-2</v>
      </c>
    </row>
    <row r="204" spans="1:22" s="29" customFormat="1" ht="20" customHeight="1" x14ac:dyDescent="0.35">
      <c r="A204" s="131"/>
      <c r="B204" s="28">
        <v>45229</v>
      </c>
      <c r="C204" s="30">
        <v>3.836606E-2</v>
      </c>
      <c r="D204" s="30">
        <v>3.7297064999999997E-2</v>
      </c>
      <c r="E204" s="30">
        <v>3.5245745000000002E-2</v>
      </c>
      <c r="F204" s="30">
        <v>3.2662277500000003E-2</v>
      </c>
      <c r="G204" s="30">
        <v>3.2443132499999999E-2</v>
      </c>
      <c r="H204" s="31">
        <f t="shared" si="47"/>
        <v>0.99045433686661044</v>
      </c>
      <c r="I204" s="31">
        <f t="shared" si="48"/>
        <v>0.98152427550965626</v>
      </c>
      <c r="J204" s="31">
        <f t="shared" si="49"/>
        <v>0.96536815270890763</v>
      </c>
      <c r="K204" s="31">
        <f t="shared" si="50"/>
        <v>0.93676338279493288</v>
      </c>
      <c r="L204" s="31">
        <f t="shared" si="51"/>
        <v>0.85025781603968087</v>
      </c>
      <c r="M204" s="30">
        <f t="shared" si="52"/>
        <v>-9.9949999998978817E-6</v>
      </c>
      <c r="N204" s="30">
        <f t="shared" si="39"/>
        <v>2.1358849999980449E-4</v>
      </c>
      <c r="O204" s="30">
        <f t="shared" si="40"/>
        <v>9.5639499999984005E-4</v>
      </c>
      <c r="P204" s="30">
        <f t="shared" si="41"/>
        <v>2.547300999999955E-3</v>
      </c>
      <c r="Q204" s="30">
        <f t="shared" si="42"/>
        <v>6.5319975000000087E-3</v>
      </c>
      <c r="R204" s="30">
        <f t="shared" si="53"/>
        <v>3.9111540437051007E-2</v>
      </c>
      <c r="S204" s="30">
        <f t="shared" si="43"/>
        <v>3.8001328906893228E-2</v>
      </c>
      <c r="T204" s="30">
        <f t="shared" si="44"/>
        <v>3.587423843837434E-2</v>
      </c>
      <c r="U204" s="30">
        <f t="shared" si="45"/>
        <v>3.3201544904253533E-2</v>
      </c>
      <c r="V204" s="30">
        <f t="shared" si="46"/>
        <v>3.2975148759393225E-2</v>
      </c>
    </row>
    <row r="205" spans="1:22" s="29" customFormat="1" ht="20" customHeight="1" x14ac:dyDescent="0.35">
      <c r="A205" s="131"/>
      <c r="B205" s="28">
        <v>45236</v>
      </c>
      <c r="C205" s="30">
        <v>3.8264203999999996E-2</v>
      </c>
      <c r="D205" s="30">
        <v>3.7299326000000008E-2</v>
      </c>
      <c r="E205" s="30">
        <v>3.5333511999999997E-2</v>
      </c>
      <c r="F205" s="30">
        <v>3.2657891999999994E-2</v>
      </c>
      <c r="G205" s="30">
        <v>3.1888797999999996E-2</v>
      </c>
      <c r="H205" s="31">
        <f t="shared" si="47"/>
        <v>0.99047955811695998</v>
      </c>
      <c r="I205" s="31">
        <f t="shared" si="48"/>
        <v>0.9815231658970901</v>
      </c>
      <c r="J205" s="31">
        <f t="shared" si="49"/>
        <v>0.96528342896027786</v>
      </c>
      <c r="K205" s="31">
        <f t="shared" si="50"/>
        <v>0.93677159918259634</v>
      </c>
      <c r="L205" s="31">
        <f t="shared" si="51"/>
        <v>0.85261772117762935</v>
      </c>
      <c r="M205" s="30">
        <f t="shared" si="52"/>
        <v>2.5463999999955936E-5</v>
      </c>
      <c r="N205" s="30">
        <f t="shared" si="39"/>
        <v>-1.1304999999166996E-6</v>
      </c>
      <c r="O205" s="30">
        <f t="shared" si="40"/>
        <v>-8.7766999999960618E-5</v>
      </c>
      <c r="P205" s="30">
        <f t="shared" si="41"/>
        <v>8.7709999999720661E-6</v>
      </c>
      <c r="Q205" s="30">
        <f t="shared" si="42"/>
        <v>2.7716724999999687E-3</v>
      </c>
      <c r="R205" s="30">
        <f t="shared" si="53"/>
        <v>3.9005706082011704E-2</v>
      </c>
      <c r="S205" s="30">
        <f t="shared" si="43"/>
        <v>3.8003675830551087E-2</v>
      </c>
      <c r="T205" s="30">
        <f t="shared" si="44"/>
        <v>3.5965158002469577E-2</v>
      </c>
      <c r="U205" s="30">
        <f t="shared" si="45"/>
        <v>3.3197013808814013E-2</v>
      </c>
      <c r="V205" s="30">
        <f t="shared" si="46"/>
        <v>3.2402693677253014E-2</v>
      </c>
    </row>
    <row r="206" spans="1:22" s="29" customFormat="1" ht="20" customHeight="1" x14ac:dyDescent="0.35">
      <c r="A206" s="131"/>
      <c r="B206" s="28">
        <v>45243</v>
      </c>
      <c r="C206" s="30">
        <v>3.8474767999999999E-2</v>
      </c>
      <c r="D206" s="30">
        <v>3.7145141999999999E-2</v>
      </c>
      <c r="E206" s="30">
        <v>3.4980712000000004E-2</v>
      </c>
      <c r="F206" s="30">
        <v>3.2318246000000002E-2</v>
      </c>
      <c r="G206" s="30">
        <v>3.1187413999999997E-2</v>
      </c>
      <c r="H206" s="31">
        <f t="shared" si="47"/>
        <v>0.99042741965486358</v>
      </c>
      <c r="I206" s="31">
        <f t="shared" si="48"/>
        <v>0.98159883639775303</v>
      </c>
      <c r="J206" s="31">
        <f t="shared" si="49"/>
        <v>0.96562404103445199</v>
      </c>
      <c r="K206" s="31">
        <f t="shared" si="50"/>
        <v>0.93740815681552447</v>
      </c>
      <c r="L206" s="31">
        <f t="shared" si="51"/>
        <v>0.85561303240499031</v>
      </c>
      <c r="M206" s="30">
        <f t="shared" si="52"/>
        <v>-5.2641000000000061E-5</v>
      </c>
      <c r="N206" s="30">
        <f t="shared" si="39"/>
        <v>7.709200000004204E-5</v>
      </c>
      <c r="O206" s="30">
        <f t="shared" si="40"/>
        <v>3.5280000000007211E-4</v>
      </c>
      <c r="P206" s="30">
        <f t="shared" si="41"/>
        <v>6.7929200000010567E-4</v>
      </c>
      <c r="Q206" s="30">
        <f t="shared" si="42"/>
        <v>3.5069200000000188E-3</v>
      </c>
      <c r="R206" s="30">
        <f t="shared" si="53"/>
        <v>3.9224506314424756E-2</v>
      </c>
      <c r="S206" s="30">
        <f t="shared" si="43"/>
        <v>3.7843644609240723E-2</v>
      </c>
      <c r="T206" s="30">
        <f t="shared" si="44"/>
        <v>3.5599733959317925E-2</v>
      </c>
      <c r="U206" s="30">
        <f t="shared" si="45"/>
        <v>3.2846152163612086E-2</v>
      </c>
      <c r="V206" s="30">
        <f t="shared" si="46"/>
        <v>3.1678836826832146E-2</v>
      </c>
    </row>
    <row r="207" spans="1:22" s="29" customFormat="1" ht="20" customHeight="1" x14ac:dyDescent="0.35">
      <c r="A207" s="131"/>
      <c r="B207" s="28">
        <v>45250</v>
      </c>
      <c r="C207" s="30">
        <v>3.8425446000000002E-2</v>
      </c>
      <c r="D207" s="30">
        <v>3.7026572000000001E-2</v>
      </c>
      <c r="E207" s="30">
        <v>3.4817304E-2</v>
      </c>
      <c r="F207" s="30">
        <v>3.2141117999999996E-2</v>
      </c>
      <c r="G207" s="30">
        <v>3.0803133999999999E-2</v>
      </c>
      <c r="H207" s="31">
        <f t="shared" si="47"/>
        <v>0.99043963219545483</v>
      </c>
      <c r="I207" s="31">
        <f t="shared" si="48"/>
        <v>0.98165703220982115</v>
      </c>
      <c r="J207" s="31">
        <f t="shared" si="49"/>
        <v>0.96578184462058247</v>
      </c>
      <c r="K207" s="31">
        <f t="shared" si="50"/>
        <v>0.93774029810757453</v>
      </c>
      <c r="L207" s="31">
        <f t="shared" si="51"/>
        <v>0.85725858766413876</v>
      </c>
      <c r="M207" s="30">
        <f t="shared" si="52"/>
        <v>1.2330499999974901E-5</v>
      </c>
      <c r="N207" s="30">
        <f t="shared" si="39"/>
        <v>5.9284999999967575E-5</v>
      </c>
      <c r="O207" s="30">
        <f t="shared" si="40"/>
        <v>1.6340799999997686E-4</v>
      </c>
      <c r="P207" s="30">
        <f t="shared" si="41"/>
        <v>3.5425599999994211E-4</v>
      </c>
      <c r="Q207" s="30">
        <f t="shared" si="42"/>
        <v>1.921400000000024E-3</v>
      </c>
      <c r="R207" s="30">
        <f t="shared" si="53"/>
        <v>3.9173250947343252E-2</v>
      </c>
      <c r="S207" s="30">
        <f t="shared" si="43"/>
        <v>3.7720594783452688E-2</v>
      </c>
      <c r="T207" s="30">
        <f t="shared" si="44"/>
        <v>3.5430522503620443E-2</v>
      </c>
      <c r="U207" s="30">
        <f t="shared" si="45"/>
        <v>3.2663222391842162E-2</v>
      </c>
      <c r="V207" s="30">
        <f t="shared" si="46"/>
        <v>3.1282459448243483E-2</v>
      </c>
    </row>
    <row r="208" spans="1:22" s="29" customFormat="1" ht="20" customHeight="1" x14ac:dyDescent="0.35">
      <c r="A208" s="131"/>
      <c r="B208" s="28">
        <v>45257</v>
      </c>
      <c r="C208" s="30">
        <v>3.8315904000000005E-2</v>
      </c>
      <c r="D208" s="30">
        <v>3.6618801999999999E-2</v>
      </c>
      <c r="E208" s="30">
        <v>3.3955772000000002E-2</v>
      </c>
      <c r="F208" s="30">
        <v>3.0777308000000003E-2</v>
      </c>
      <c r="G208" s="30">
        <v>2.9318724000000004E-2</v>
      </c>
      <c r="H208" s="31">
        <f t="shared" si="47"/>
        <v>0.99046675625140357</v>
      </c>
      <c r="I208" s="31">
        <f t="shared" si="48"/>
        <v>0.98185719775851632</v>
      </c>
      <c r="J208" s="31">
        <f t="shared" si="49"/>
        <v>0.96661425510739063</v>
      </c>
      <c r="K208" s="31">
        <f t="shared" si="50"/>
        <v>0.94030158882541148</v>
      </c>
      <c r="L208" s="31">
        <f t="shared" si="51"/>
        <v>0.8636448741167333</v>
      </c>
      <c r="M208" s="30">
        <f t="shared" si="52"/>
        <v>2.738549999995732E-5</v>
      </c>
      <c r="N208" s="30">
        <f t="shared" si="39"/>
        <v>2.0388500000006492E-4</v>
      </c>
      <c r="O208" s="30">
        <f t="shared" si="40"/>
        <v>8.6153199999987828E-4</v>
      </c>
      <c r="P208" s="30">
        <f t="shared" si="41"/>
        <v>2.7276199999999849E-3</v>
      </c>
      <c r="Q208" s="30">
        <f t="shared" si="42"/>
        <v>7.4220499999999162E-3</v>
      </c>
      <c r="R208" s="30">
        <f t="shared" si="53"/>
        <v>3.9059424065614134E-2</v>
      </c>
      <c r="S208" s="30">
        <f t="shared" si="43"/>
        <v>3.7297529719000577E-2</v>
      </c>
      <c r="T208" s="30">
        <f t="shared" si="44"/>
        <v>3.4538850132000309E-2</v>
      </c>
      <c r="U208" s="30">
        <f t="shared" si="45"/>
        <v>3.125582589136644E-2</v>
      </c>
      <c r="V208" s="30">
        <f t="shared" si="46"/>
        <v>2.975274909217851E-2</v>
      </c>
    </row>
    <row r="209" spans="1:22" s="29" customFormat="1" ht="20" customHeight="1" x14ac:dyDescent="0.35">
      <c r="A209" s="131"/>
      <c r="B209" s="28">
        <v>45264</v>
      </c>
      <c r="C209" s="30">
        <v>3.7679376000000001E-2</v>
      </c>
      <c r="D209" s="30">
        <v>3.5682588000000001E-2</v>
      </c>
      <c r="E209" s="30">
        <v>3.2548764000000008E-2</v>
      </c>
      <c r="F209" s="30">
        <v>2.8800660000000002E-2</v>
      </c>
      <c r="G209" s="30">
        <v>2.6961903999999998E-2</v>
      </c>
      <c r="H209" s="31">
        <f t="shared" si="47"/>
        <v>0.9906243837487162</v>
      </c>
      <c r="I209" s="31">
        <f t="shared" si="48"/>
        <v>0.98231691957689338</v>
      </c>
      <c r="J209" s="31">
        <f t="shared" si="49"/>
        <v>0.96797524633548748</v>
      </c>
      <c r="K209" s="31">
        <f t="shared" si="50"/>
        <v>0.94402623680238062</v>
      </c>
      <c r="L209" s="31">
        <f t="shared" si="51"/>
        <v>0.87388235294625494</v>
      </c>
      <c r="M209" s="30">
        <f t="shared" si="52"/>
        <v>1.5913199999990948E-4</v>
      </c>
      <c r="N209" s="30">
        <f t="shared" si="39"/>
        <v>4.6810700000007459E-4</v>
      </c>
      <c r="O209" s="30">
        <f t="shared" si="40"/>
        <v>1.4070080000001613E-3</v>
      </c>
      <c r="P209" s="30">
        <f t="shared" si="41"/>
        <v>3.9532959999999968E-3</v>
      </c>
      <c r="Q209" s="30">
        <f t="shared" si="42"/>
        <v>1.1784100000000092E-2</v>
      </c>
      <c r="R209" s="30">
        <f t="shared" si="53"/>
        <v>3.8398244100636747E-2</v>
      </c>
      <c r="S209" s="30">
        <f t="shared" si="43"/>
        <v>3.6326851701586671E-2</v>
      </c>
      <c r="T209" s="30">
        <f t="shared" si="44"/>
        <v>3.3084269236997921E-2</v>
      </c>
      <c r="U209" s="30">
        <f t="shared" si="45"/>
        <v>2.9219409427941212E-2</v>
      </c>
      <c r="V209" s="30">
        <f t="shared" si="46"/>
        <v>2.7328664905178046E-2</v>
      </c>
    </row>
    <row r="210" spans="1:22" s="29" customFormat="1" ht="20" customHeight="1" x14ac:dyDescent="0.35">
      <c r="A210" s="131"/>
      <c r="B210" s="28">
        <v>45271</v>
      </c>
      <c r="C210" s="30">
        <v>3.7894528000000004E-2</v>
      </c>
      <c r="D210" s="30">
        <v>3.5817140000000004E-2</v>
      </c>
      <c r="E210" s="30">
        <v>3.2542264000000001E-2</v>
      </c>
      <c r="F210" s="30">
        <v>2.8574983999999998E-2</v>
      </c>
      <c r="G210" s="30">
        <v>2.6353568000000004E-2</v>
      </c>
      <c r="H210" s="31">
        <f t="shared" si="47"/>
        <v>0.99057110147734939</v>
      </c>
      <c r="I210" s="31">
        <f t="shared" si="48"/>
        <v>0.98225083544677483</v>
      </c>
      <c r="J210" s="31">
        <f t="shared" si="49"/>
        <v>0.96798153819503718</v>
      </c>
      <c r="K210" s="31">
        <f t="shared" si="50"/>
        <v>0.94445242110474736</v>
      </c>
      <c r="L210" s="31">
        <f t="shared" si="51"/>
        <v>0.87654447002324842</v>
      </c>
      <c r="M210" s="30">
        <f t="shared" si="52"/>
        <v>-5.3787999999987681E-5</v>
      </c>
      <c r="N210" s="30">
        <f t="shared" si="39"/>
        <v>-6.7275999999985185E-5</v>
      </c>
      <c r="O210" s="30">
        <f t="shared" si="40"/>
        <v>6.5000000000762749E-6</v>
      </c>
      <c r="P210" s="30">
        <f t="shared" si="41"/>
        <v>4.5135200000003412E-4</v>
      </c>
      <c r="Q210" s="30">
        <f t="shared" si="42"/>
        <v>3.0416799999999386E-3</v>
      </c>
      <c r="R210" s="30">
        <f t="shared" si="53"/>
        <v>3.8621681595301549E-2</v>
      </c>
      <c r="S210" s="30">
        <f t="shared" si="43"/>
        <v>3.6466300933512885E-2</v>
      </c>
      <c r="T210" s="30">
        <f t="shared" si="44"/>
        <v>3.3077554211071725E-2</v>
      </c>
      <c r="U210" s="30">
        <f t="shared" si="45"/>
        <v>2.8987165515423463E-2</v>
      </c>
      <c r="V210" s="30">
        <f t="shared" si="46"/>
        <v>2.6703893949084012E-2</v>
      </c>
    </row>
    <row r="211" spans="1:22" s="29" customFormat="1" ht="20" customHeight="1" x14ac:dyDescent="0.35">
      <c r="A211" s="131"/>
      <c r="B211" s="28">
        <v>45278</v>
      </c>
      <c r="C211" s="30">
        <v>3.8125991999999997E-2</v>
      </c>
      <c r="D211" s="30">
        <v>3.5524460000000001E-2</v>
      </c>
      <c r="E211" s="30">
        <v>3.1489722000000005E-2</v>
      </c>
      <c r="F211" s="30">
        <v>2.6752990000000004E-2</v>
      </c>
      <c r="G211" s="30">
        <v>2.4260723999999997E-2</v>
      </c>
      <c r="H211" s="31">
        <f t="shared" si="47"/>
        <v>0.99051378274841007</v>
      </c>
      <c r="I211" s="31">
        <f t="shared" si="48"/>
        <v>0.9823945885521923</v>
      </c>
      <c r="J211" s="31">
        <f t="shared" si="49"/>
        <v>0.96900091579397107</v>
      </c>
      <c r="K211" s="31">
        <f t="shared" si="50"/>
        <v>0.94790027254322462</v>
      </c>
      <c r="L211" s="31">
        <f t="shared" si="51"/>
        <v>0.8857649827974976</v>
      </c>
      <c r="M211" s="30">
        <f t="shared" si="52"/>
        <v>-5.7866000000038392E-5</v>
      </c>
      <c r="N211" s="30">
        <f t="shared" si="39"/>
        <v>1.4634000000008138E-4</v>
      </c>
      <c r="O211" s="30">
        <f t="shared" si="40"/>
        <v>1.0525419999999023E-3</v>
      </c>
      <c r="P211" s="30">
        <f t="shared" si="41"/>
        <v>3.6439879999998676E-3</v>
      </c>
      <c r="Q211" s="30">
        <f t="shared" si="42"/>
        <v>1.0464220000000069E-2</v>
      </c>
      <c r="R211" s="30">
        <f t="shared" si="53"/>
        <v>3.8862112948738314E-2</v>
      </c>
      <c r="S211" s="30">
        <f t="shared" si="43"/>
        <v>3.6162992364896729E-2</v>
      </c>
      <c r="T211" s="30">
        <f t="shared" si="44"/>
        <v>3.1990768740016273E-2</v>
      </c>
      <c r="U211" s="30">
        <f t="shared" si="45"/>
        <v>2.7114063981827252E-2</v>
      </c>
      <c r="V211" s="30">
        <f t="shared" si="46"/>
        <v>2.4557409776582606E-2</v>
      </c>
    </row>
    <row r="212" spans="1:22" s="29" customFormat="1" ht="20" customHeight="1" x14ac:dyDescent="0.35">
      <c r="A212" s="131"/>
      <c r="B212" s="28">
        <v>45285</v>
      </c>
      <c r="C212" s="30">
        <v>3.8417386666666664E-2</v>
      </c>
      <c r="D212" s="30">
        <v>3.5405666666666669E-2</v>
      </c>
      <c r="E212" s="30">
        <v>3.0836056666666667E-2</v>
      </c>
      <c r="F212" s="30">
        <v>2.5725469999999997E-2</v>
      </c>
      <c r="G212" s="30">
        <v>2.364571E-2</v>
      </c>
      <c r="H212" s="31">
        <f t="shared" si="47"/>
        <v>0.99044162776825084</v>
      </c>
      <c r="I212" s="31">
        <f t="shared" si="48"/>
        <v>0.98245294124906435</v>
      </c>
      <c r="J212" s="31">
        <f t="shared" si="49"/>
        <v>0.96963452516227266</v>
      </c>
      <c r="K212" s="31">
        <f t="shared" si="50"/>
        <v>0.9498502484723188</v>
      </c>
      <c r="L212" s="31">
        <f t="shared" si="51"/>
        <v>0.88849296434058889</v>
      </c>
      <c r="M212" s="30">
        <f t="shared" si="52"/>
        <v>-7.2848666666643335E-5</v>
      </c>
      <c r="N212" s="30">
        <f t="shared" si="39"/>
        <v>5.9396666666657234E-5</v>
      </c>
      <c r="O212" s="30">
        <f t="shared" si="40"/>
        <v>6.5366533333331429E-4</v>
      </c>
      <c r="P212" s="30">
        <f t="shared" si="41"/>
        <v>2.0550400000001251E-3</v>
      </c>
      <c r="Q212" s="30">
        <f t="shared" si="42"/>
        <v>3.0750700000001753E-3</v>
      </c>
      <c r="R212" s="30">
        <f t="shared" si="53"/>
        <v>3.9164875937471422E-2</v>
      </c>
      <c r="S212" s="30">
        <f t="shared" si="43"/>
        <v>3.6039910419959131E-2</v>
      </c>
      <c r="T212" s="30">
        <f t="shared" si="44"/>
        <v>3.1316412575805863E-2</v>
      </c>
      <c r="U212" s="30">
        <f t="shared" si="45"/>
        <v>2.6059225765294514E-2</v>
      </c>
      <c r="V212" s="30">
        <f t="shared" si="46"/>
        <v>2.3927486351484228E-2</v>
      </c>
    </row>
    <row r="213" spans="1:22" s="29" customFormat="1" ht="20" customHeight="1" x14ac:dyDescent="0.35">
      <c r="A213" s="131"/>
      <c r="B213" s="28">
        <v>45292</v>
      </c>
      <c r="C213" s="30">
        <v>3.8439830000000001E-2</v>
      </c>
      <c r="D213" s="30">
        <v>3.56825775E-2</v>
      </c>
      <c r="E213" s="30">
        <v>3.1510117499999997E-2</v>
      </c>
      <c r="F213" s="30">
        <v>2.6882445000000001E-2</v>
      </c>
      <c r="G213" s="30">
        <v>2.5213707500000002E-2</v>
      </c>
      <c r="H213" s="31">
        <f t="shared" si="47"/>
        <v>0.9904360705809413</v>
      </c>
      <c r="I213" s="31">
        <f t="shared" si="48"/>
        <v>0.9823169247340573</v>
      </c>
      <c r="J213" s="31">
        <f t="shared" si="49"/>
        <v>0.96898115273733243</v>
      </c>
      <c r="K213" s="31">
        <f t="shared" si="50"/>
        <v>0.9476548834518761</v>
      </c>
      <c r="L213" s="31">
        <f t="shared" si="51"/>
        <v>0.88155442517645122</v>
      </c>
      <c r="M213" s="30">
        <f t="shared" si="52"/>
        <v>-5.610833333345383E-6</v>
      </c>
      <c r="N213" s="30">
        <f t="shared" ref="N213:N276" si="54">+LN(I213/I212)</f>
        <v>-1.3845541666657332E-4</v>
      </c>
      <c r="O213" s="30">
        <f t="shared" ref="O213:O276" si="55">+LN(J213/J212)</f>
        <v>-6.7406083333329569E-4</v>
      </c>
      <c r="P213" s="30">
        <f t="shared" ref="P213:P276" si="56">+LN(K213/K212)</f>
        <v>-2.3139500000000212E-3</v>
      </c>
      <c r="Q213" s="30">
        <f t="shared" ref="Q213:Q276" si="57">+LN(L213/L212)</f>
        <v>-7.8399875000000774E-3</v>
      </c>
      <c r="R213" s="30">
        <f t="shared" si="53"/>
        <v>3.9188198522887685E-2</v>
      </c>
      <c r="S213" s="30">
        <f t="shared" ref="S213:S276" si="58">+EXP(D213)-1</f>
        <v>3.6326840820154693E-2</v>
      </c>
      <c r="T213" s="30">
        <f t="shared" ref="T213:T276" si="59">+EXP(E213)-1</f>
        <v>3.2011816922383529E-2</v>
      </c>
      <c r="U213" s="30">
        <f t="shared" ref="U213:U276" si="60">+EXP(F213)-1</f>
        <v>2.7247037639846594E-2</v>
      </c>
      <c r="V213" s="30">
        <f t="shared" ref="V213:V276" si="61">+EXP(G213)-1</f>
        <v>2.5534261470746111E-2</v>
      </c>
    </row>
    <row r="214" spans="1:22" s="29" customFormat="1" ht="20" customHeight="1" x14ac:dyDescent="0.35">
      <c r="A214" s="131"/>
      <c r="B214" s="28">
        <v>45299</v>
      </c>
      <c r="C214" s="30">
        <v>3.8648961999999995E-2</v>
      </c>
      <c r="D214" s="30">
        <v>3.6061691999999999E-2</v>
      </c>
      <c r="E214" s="30">
        <v>3.2109487999999999E-2</v>
      </c>
      <c r="F214" s="30">
        <v>2.7633774000000003E-2</v>
      </c>
      <c r="G214" s="30">
        <v>2.5804541999999996E-2</v>
      </c>
      <c r="H214" s="31">
        <f t="shared" si="47"/>
        <v>0.990384288965524</v>
      </c>
      <c r="I214" s="31">
        <f t="shared" si="48"/>
        <v>0.98213073708634302</v>
      </c>
      <c r="J214" s="31">
        <f t="shared" si="49"/>
        <v>0.96840054803537257</v>
      </c>
      <c r="K214" s="31">
        <f t="shared" si="50"/>
        <v>0.94623195161771623</v>
      </c>
      <c r="L214" s="31">
        <f t="shared" si="51"/>
        <v>0.8789540042734868</v>
      </c>
      <c r="M214" s="30">
        <f t="shared" si="52"/>
        <v>-5.2282999999984361E-5</v>
      </c>
      <c r="N214" s="30">
        <f t="shared" si="54"/>
        <v>-1.8955725000000841E-4</v>
      </c>
      <c r="O214" s="30">
        <f t="shared" si="55"/>
        <v>-5.9937049999993263E-4</v>
      </c>
      <c r="P214" s="30">
        <f t="shared" si="56"/>
        <v>-1.5026579999999959E-3</v>
      </c>
      <c r="Q214" s="30">
        <f t="shared" si="57"/>
        <v>-2.9541724999999569E-3</v>
      </c>
      <c r="R214" s="30">
        <f t="shared" si="53"/>
        <v>3.9405548755873543E-2</v>
      </c>
      <c r="S214" s="30">
        <f t="shared" si="58"/>
        <v>3.6719801836151644E-2</v>
      </c>
      <c r="T214" s="30">
        <f t="shared" si="59"/>
        <v>3.2630559770679968E-2</v>
      </c>
      <c r="U214" s="30">
        <f t="shared" si="60"/>
        <v>2.8019128140061245E-2</v>
      </c>
      <c r="V214" s="30">
        <f t="shared" si="61"/>
        <v>2.6140361528135481E-2</v>
      </c>
    </row>
    <row r="215" spans="1:22" s="29" customFormat="1" ht="20" customHeight="1" x14ac:dyDescent="0.35">
      <c r="A215" s="131"/>
      <c r="B215" s="28">
        <v>45306</v>
      </c>
      <c r="C215" s="30">
        <v>3.9189643999999996E-2</v>
      </c>
      <c r="D215" s="30">
        <v>3.6464469999999999E-2</v>
      </c>
      <c r="E215" s="30">
        <v>3.2382095999999999E-2</v>
      </c>
      <c r="F215" s="30">
        <v>2.7951319999999998E-2</v>
      </c>
      <c r="G215" s="30">
        <v>2.6544769999999999E-2</v>
      </c>
      <c r="H215" s="31">
        <f t="shared" si="47"/>
        <v>0.99025042727327217</v>
      </c>
      <c r="I215" s="31">
        <f t="shared" si="48"/>
        <v>0.98193296667439312</v>
      </c>
      <c r="J215" s="31">
        <f t="shared" si="49"/>
        <v>0.96813659027890642</v>
      </c>
      <c r="K215" s="31">
        <f t="shared" si="50"/>
        <v>0.94563119806218032</v>
      </c>
      <c r="L215" s="31">
        <f t="shared" si="51"/>
        <v>0.87570688517799844</v>
      </c>
      <c r="M215" s="30">
        <f t="shared" si="52"/>
        <v>-1.3517049999999664E-4</v>
      </c>
      <c r="N215" s="30">
        <f t="shared" si="54"/>
        <v>-2.0138899999999556E-4</v>
      </c>
      <c r="O215" s="30">
        <f t="shared" si="55"/>
        <v>-2.7260800000002453E-4</v>
      </c>
      <c r="P215" s="30">
        <f t="shared" si="56"/>
        <v>-6.3509200000004399E-4</v>
      </c>
      <c r="Q215" s="30">
        <f t="shared" si="57"/>
        <v>-3.7011400000001118E-3</v>
      </c>
      <c r="R215" s="30">
        <f t="shared" si="53"/>
        <v>3.9967688582534189E-2</v>
      </c>
      <c r="S215" s="30">
        <f t="shared" si="58"/>
        <v>3.7137453869374726E-2</v>
      </c>
      <c r="T215" s="30">
        <f t="shared" si="59"/>
        <v>3.2912101495837787E-2</v>
      </c>
      <c r="U215" s="30">
        <f t="shared" si="60"/>
        <v>2.8345623338004167E-2</v>
      </c>
      <c r="V215" s="30">
        <f t="shared" si="61"/>
        <v>2.6900220555436505E-2</v>
      </c>
    </row>
    <row r="216" spans="1:22" s="29" customFormat="1" ht="20" customHeight="1" x14ac:dyDescent="0.35">
      <c r="A216" s="131"/>
      <c r="B216" s="28">
        <v>45313</v>
      </c>
      <c r="C216" s="30">
        <v>3.9210655999999997E-2</v>
      </c>
      <c r="D216" s="30">
        <v>3.6520548E-2</v>
      </c>
      <c r="E216" s="30">
        <v>3.2482922000000004E-2</v>
      </c>
      <c r="F216" s="30">
        <v>2.8084215999999999E-2</v>
      </c>
      <c r="G216" s="30">
        <v>2.6675356000000004E-2</v>
      </c>
      <c r="H216" s="31">
        <f t="shared" si="47"/>
        <v>0.99024522550144012</v>
      </c>
      <c r="I216" s="31">
        <f t="shared" si="48"/>
        <v>0.98190543464192759</v>
      </c>
      <c r="J216" s="31">
        <f t="shared" si="49"/>
        <v>0.96803898185987081</v>
      </c>
      <c r="K216" s="31">
        <f t="shared" si="50"/>
        <v>0.94537989025406699</v>
      </c>
      <c r="L216" s="31">
        <f t="shared" si="51"/>
        <v>0.87513529650546162</v>
      </c>
      <c r="M216" s="30">
        <f t="shared" si="52"/>
        <v>-5.2529999999996243E-6</v>
      </c>
      <c r="N216" s="30">
        <f t="shared" si="54"/>
        <v>-2.8039000000115993E-5</v>
      </c>
      <c r="O216" s="30">
        <f t="shared" si="55"/>
        <v>-1.0082600000004951E-4</v>
      </c>
      <c r="P216" s="30">
        <f t="shared" si="56"/>
        <v>-2.6579199999994611E-4</v>
      </c>
      <c r="Q216" s="30">
        <f t="shared" si="57"/>
        <v>-6.5293000000003982E-4</v>
      </c>
      <c r="R216" s="30">
        <f t="shared" si="53"/>
        <v>3.9989540613183383E-2</v>
      </c>
      <c r="S216" s="30">
        <f t="shared" si="58"/>
        <v>3.7195616094308104E-2</v>
      </c>
      <c r="T216" s="30">
        <f t="shared" si="59"/>
        <v>3.3016251141791075E-2</v>
      </c>
      <c r="U216" s="30">
        <f t="shared" si="60"/>
        <v>2.848229543934977E-2</v>
      </c>
      <c r="V216" s="30">
        <f t="shared" si="61"/>
        <v>2.703432810373152E-2</v>
      </c>
    </row>
    <row r="217" spans="1:22" s="29" customFormat="1" ht="20" customHeight="1" x14ac:dyDescent="0.35">
      <c r="A217" s="131"/>
      <c r="B217" s="28">
        <v>45320</v>
      </c>
      <c r="C217" s="30">
        <v>3.8840418000000002E-2</v>
      </c>
      <c r="D217" s="30">
        <v>3.6025575999999997E-2</v>
      </c>
      <c r="E217" s="30">
        <v>3.1781011999999997E-2</v>
      </c>
      <c r="F217" s="30">
        <v>2.7114559999999999E-2</v>
      </c>
      <c r="G217" s="30">
        <v>2.5565860000000003E-2</v>
      </c>
      <c r="H217" s="31">
        <f t="shared" si="47"/>
        <v>0.99033688634636552</v>
      </c>
      <c r="I217" s="31">
        <f t="shared" si="48"/>
        <v>0.98214847256332638</v>
      </c>
      <c r="J217" s="31">
        <f t="shared" si="49"/>
        <v>0.96871869662301613</v>
      </c>
      <c r="K217" s="31">
        <f t="shared" si="50"/>
        <v>0.94721505572384324</v>
      </c>
      <c r="L217" s="31">
        <f t="shared" si="51"/>
        <v>0.88000358293599268</v>
      </c>
      <c r="M217" s="30">
        <f t="shared" si="52"/>
        <v>9.2559500000080109E-5</v>
      </c>
      <c r="N217" s="30">
        <f t="shared" si="54"/>
        <v>2.4748600000004878E-4</v>
      </c>
      <c r="O217" s="30">
        <f t="shared" si="55"/>
        <v>7.0191000000013935E-4</v>
      </c>
      <c r="P217" s="30">
        <f t="shared" si="56"/>
        <v>1.9393119999999348E-3</v>
      </c>
      <c r="Q217" s="30">
        <f t="shared" si="57"/>
        <v>5.5474800000000907E-3</v>
      </c>
      <c r="R217" s="30">
        <f t="shared" si="53"/>
        <v>3.9604568235744875E-2</v>
      </c>
      <c r="S217" s="30">
        <f t="shared" si="58"/>
        <v>3.6682360339911124E-2</v>
      </c>
      <c r="T217" s="30">
        <f t="shared" si="59"/>
        <v>3.2291421117432106E-2</v>
      </c>
      <c r="U217" s="30">
        <f t="shared" si="60"/>
        <v>2.7485504760815571E-2</v>
      </c>
      <c r="V217" s="30">
        <f t="shared" si="61"/>
        <v>2.5895469521184822E-2</v>
      </c>
    </row>
    <row r="218" spans="1:22" s="29" customFormat="1" ht="20" customHeight="1" x14ac:dyDescent="0.35">
      <c r="A218" s="131"/>
      <c r="B218" s="28">
        <v>45327</v>
      </c>
      <c r="C218" s="30">
        <v>3.8826610000000004E-2</v>
      </c>
      <c r="D218" s="30">
        <v>3.6439673999999998E-2</v>
      </c>
      <c r="E218" s="30">
        <v>3.2793641999999998E-2</v>
      </c>
      <c r="F218" s="30">
        <v>2.8669649999999994E-2</v>
      </c>
      <c r="G218" s="30">
        <v>2.7059606E-2</v>
      </c>
      <c r="H218" s="31">
        <f t="shared" si="47"/>
        <v>0.99034030499519776</v>
      </c>
      <c r="I218" s="31">
        <f t="shared" si="48"/>
        <v>0.9819451407547809</v>
      </c>
      <c r="J218" s="31">
        <f t="shared" si="49"/>
        <v>0.96773823951317794</v>
      </c>
      <c r="K218" s="31">
        <f t="shared" si="50"/>
        <v>0.94427362296559347</v>
      </c>
      <c r="L218" s="31">
        <f t="shared" si="51"/>
        <v>0.87345555693356491</v>
      </c>
      <c r="M218" s="30">
        <f t="shared" si="52"/>
        <v>3.4520000000344265E-6</v>
      </c>
      <c r="N218" s="30">
        <f t="shared" si="54"/>
        <v>-2.0704899999993064E-4</v>
      </c>
      <c r="O218" s="30">
        <f t="shared" si="55"/>
        <v>-1.0126300000000686E-3</v>
      </c>
      <c r="P218" s="30">
        <f t="shared" si="56"/>
        <v>-3.1101799999999863E-3</v>
      </c>
      <c r="Q218" s="30">
        <f t="shared" si="57"/>
        <v>-7.4687299999999391E-3</v>
      </c>
      <c r="R218" s="30">
        <f t="shared" si="53"/>
        <v>3.9590213474972158E-2</v>
      </c>
      <c r="S218" s="30">
        <f t="shared" si="58"/>
        <v>3.7111737327903516E-2</v>
      </c>
      <c r="T218" s="30">
        <f t="shared" si="59"/>
        <v>3.3337279823778987E-2</v>
      </c>
      <c r="U218" s="30">
        <f t="shared" si="60"/>
        <v>2.9084580225291923E-2</v>
      </c>
      <c r="V218" s="30">
        <f t="shared" si="61"/>
        <v>2.7429041873831883E-2</v>
      </c>
    </row>
    <row r="219" spans="1:22" s="29" customFormat="1" ht="20" customHeight="1" x14ac:dyDescent="0.35">
      <c r="A219" s="131"/>
      <c r="B219" s="28">
        <v>45334</v>
      </c>
      <c r="C219" s="30">
        <v>3.8867647999999998E-2</v>
      </c>
      <c r="D219" s="30">
        <v>3.6700712000000003E-2</v>
      </c>
      <c r="E219" s="30">
        <v>3.3369118000000003E-2</v>
      </c>
      <c r="F219" s="30">
        <v>2.9532915999999999E-2</v>
      </c>
      <c r="G219" s="30">
        <v>2.7755320000000007E-2</v>
      </c>
      <c r="H219" s="31">
        <f t="shared" si="47"/>
        <v>0.9903301446509587</v>
      </c>
      <c r="I219" s="31">
        <f t="shared" si="48"/>
        <v>0.98181698662041139</v>
      </c>
      <c r="J219" s="31">
        <f t="shared" si="49"/>
        <v>0.96718148959552874</v>
      </c>
      <c r="K219" s="31">
        <f t="shared" si="50"/>
        <v>0.94264471092780366</v>
      </c>
      <c r="L219" s="31">
        <f t="shared" si="51"/>
        <v>0.87042245911690508</v>
      </c>
      <c r="M219" s="30">
        <f t="shared" si="52"/>
        <v>-1.0259500000031309E-5</v>
      </c>
      <c r="N219" s="30">
        <f t="shared" si="54"/>
        <v>-1.3051900000003377E-4</v>
      </c>
      <c r="O219" s="30">
        <f t="shared" si="55"/>
        <v>-5.7547599999999447E-4</v>
      </c>
      <c r="P219" s="30">
        <f t="shared" si="56"/>
        <v>-1.7265320000000835E-3</v>
      </c>
      <c r="Q219" s="30">
        <f t="shared" si="57"/>
        <v>-3.4785700000000488E-3</v>
      </c>
      <c r="R219" s="30">
        <f t="shared" si="53"/>
        <v>3.9632877053560778E-2</v>
      </c>
      <c r="S219" s="30">
        <f t="shared" si="58"/>
        <v>3.738249823949813E-2</v>
      </c>
      <c r="T219" s="30">
        <f t="shared" si="59"/>
        <v>3.3932111767560613E-2</v>
      </c>
      <c r="U219" s="30">
        <f t="shared" si="60"/>
        <v>2.9973337516306486E-2</v>
      </c>
      <c r="V219" s="30">
        <f t="shared" si="61"/>
        <v>2.8144087347002023E-2</v>
      </c>
    </row>
    <row r="220" spans="1:22" s="29" customFormat="1" ht="20" customHeight="1" x14ac:dyDescent="0.35">
      <c r="A220" s="131"/>
      <c r="B220" s="28">
        <v>45341</v>
      </c>
      <c r="C220" s="30">
        <v>3.8801260000000004E-2</v>
      </c>
      <c r="D220" s="30">
        <v>3.6779275999999993E-2</v>
      </c>
      <c r="E220" s="30">
        <v>3.3634317999999996E-2</v>
      </c>
      <c r="F220" s="30">
        <v>2.9918357999999996E-2</v>
      </c>
      <c r="G220" s="30">
        <v>2.7940164000000003E-2</v>
      </c>
      <c r="H220" s="31">
        <f t="shared" si="47"/>
        <v>0.99034658129676867</v>
      </c>
      <c r="I220" s="31">
        <f t="shared" si="48"/>
        <v>0.98177841964304191</v>
      </c>
      <c r="J220" s="31">
        <f t="shared" si="49"/>
        <v>0.96692502707292161</v>
      </c>
      <c r="K220" s="31">
        <f t="shared" si="50"/>
        <v>0.94191832121953889</v>
      </c>
      <c r="L220" s="31">
        <f t="shared" si="51"/>
        <v>0.86961836890710353</v>
      </c>
      <c r="M220" s="30">
        <f t="shared" si="52"/>
        <v>1.6597000000089393E-5</v>
      </c>
      <c r="N220" s="30">
        <f t="shared" si="54"/>
        <v>-3.9282000000069363E-5</v>
      </c>
      <c r="O220" s="30">
        <f t="shared" si="55"/>
        <v>-2.6520000000000157E-4</v>
      </c>
      <c r="P220" s="30">
        <f t="shared" si="56"/>
        <v>-7.7088400000001616E-4</v>
      </c>
      <c r="Q220" s="30">
        <f t="shared" si="57"/>
        <v>-9.2422000000008165E-4</v>
      </c>
      <c r="R220" s="30">
        <f t="shared" si="53"/>
        <v>3.9563860197089795E-2</v>
      </c>
      <c r="S220" s="30">
        <f t="shared" si="58"/>
        <v>3.7464002359692605E-2</v>
      </c>
      <c r="T220" s="30">
        <f t="shared" si="59"/>
        <v>3.4206346925576003E-2</v>
      </c>
      <c r="U220" s="30">
        <f t="shared" si="60"/>
        <v>3.037040901856658E-2</v>
      </c>
      <c r="V220" s="30">
        <f t="shared" si="61"/>
        <v>2.8334151178222022E-2</v>
      </c>
    </row>
    <row r="221" spans="1:22" s="29" customFormat="1" ht="20" customHeight="1" x14ac:dyDescent="0.35">
      <c r="A221" s="131"/>
      <c r="B221" s="28">
        <v>45348</v>
      </c>
      <c r="C221" s="30">
        <v>3.8873619999999998E-2</v>
      </c>
      <c r="D221" s="30">
        <v>3.7032158000000003E-2</v>
      </c>
      <c r="E221" s="30">
        <v>3.4134674000000004E-2</v>
      </c>
      <c r="F221" s="30">
        <v>3.0621453999999999E-2</v>
      </c>
      <c r="G221" s="30">
        <v>2.8496352000000003E-2</v>
      </c>
      <c r="H221" s="31">
        <f t="shared" si="47"/>
        <v>0.99032866608915648</v>
      </c>
      <c r="I221" s="31">
        <f t="shared" si="48"/>
        <v>0.98165429044555907</v>
      </c>
      <c r="J221" s="31">
        <f t="shared" si="49"/>
        <v>0.96644134135169302</v>
      </c>
      <c r="K221" s="31">
        <f t="shared" si="50"/>
        <v>0.94059473403854166</v>
      </c>
      <c r="L221" s="31">
        <f t="shared" si="51"/>
        <v>0.86720337193750174</v>
      </c>
      <c r="M221" s="30">
        <f t="shared" si="52"/>
        <v>-1.8090000000029946E-5</v>
      </c>
      <c r="N221" s="30">
        <f t="shared" si="54"/>
        <v>-1.2644100000004074E-4</v>
      </c>
      <c r="O221" s="30">
        <f t="shared" si="55"/>
        <v>-5.0035600000003608E-4</v>
      </c>
      <c r="P221" s="30">
        <f t="shared" si="56"/>
        <v>-1.4061919999998928E-3</v>
      </c>
      <c r="Q221" s="30">
        <f t="shared" si="57"/>
        <v>-2.780939999999938E-3</v>
      </c>
      <c r="R221" s="30">
        <f t="shared" si="53"/>
        <v>3.9639085759641812E-2</v>
      </c>
      <c r="S221" s="30">
        <f t="shared" si="58"/>
        <v>3.7726391506885282E-2</v>
      </c>
      <c r="T221" s="30">
        <f t="shared" si="59"/>
        <v>3.4723947758040774E-2</v>
      </c>
      <c r="U221" s="30">
        <f t="shared" si="60"/>
        <v>3.1095113070071401E-2</v>
      </c>
      <c r="V221" s="30">
        <f t="shared" si="61"/>
        <v>2.8906257377650624E-2</v>
      </c>
    </row>
    <row r="222" spans="1:22" s="29" customFormat="1" ht="20" customHeight="1" x14ac:dyDescent="0.35">
      <c r="A222" s="131"/>
      <c r="B222" s="28">
        <v>45355</v>
      </c>
      <c r="C222" s="30">
        <v>3.8897816000000002E-2</v>
      </c>
      <c r="D222" s="30">
        <v>3.6892116000000003E-2</v>
      </c>
      <c r="E222" s="30">
        <v>3.3724456E-2</v>
      </c>
      <c r="F222" s="30">
        <v>2.9844362000000003E-2</v>
      </c>
      <c r="G222" s="30">
        <v>2.7292302000000001E-2</v>
      </c>
      <c r="H222" s="31">
        <f t="shared" si="47"/>
        <v>0.99032267560917353</v>
      </c>
      <c r="I222" s="31">
        <f t="shared" si="48"/>
        <v>0.9817230292671828</v>
      </c>
      <c r="J222" s="31">
        <f t="shared" si="49"/>
        <v>0.96683787431277801</v>
      </c>
      <c r="K222" s="31">
        <f t="shared" si="50"/>
        <v>0.94205772791101594</v>
      </c>
      <c r="L222" s="31">
        <f t="shared" si="51"/>
        <v>0.87243989982512349</v>
      </c>
      <c r="M222" s="30">
        <f t="shared" si="52"/>
        <v>-6.0490000000283976E-6</v>
      </c>
      <c r="N222" s="30">
        <f t="shared" si="54"/>
        <v>7.0020999999961564E-5</v>
      </c>
      <c r="O222" s="30">
        <f t="shared" si="55"/>
        <v>4.1021799999998326E-4</v>
      </c>
      <c r="P222" s="30">
        <f t="shared" si="56"/>
        <v>1.5541839999998941E-3</v>
      </c>
      <c r="Q222" s="30">
        <f t="shared" si="57"/>
        <v>6.0202500000000681E-3</v>
      </c>
      <c r="R222" s="30">
        <f t="shared" si="53"/>
        <v>3.9664241171289749E-2</v>
      </c>
      <c r="S222" s="30">
        <f t="shared" si="58"/>
        <v>3.7581076402912306E-2</v>
      </c>
      <c r="T222" s="30">
        <f t="shared" si="59"/>
        <v>3.4299572418791779E-2</v>
      </c>
      <c r="U222" s="30">
        <f t="shared" si="60"/>
        <v>3.0294168550560441E-2</v>
      </c>
      <c r="V222" s="30">
        <f t="shared" si="61"/>
        <v>2.7668148320637798E-2</v>
      </c>
    </row>
    <row r="223" spans="1:22" s="29" customFormat="1" ht="20" customHeight="1" x14ac:dyDescent="0.35">
      <c r="A223" s="131"/>
      <c r="B223" s="28">
        <v>45362</v>
      </c>
      <c r="C223" s="30">
        <v>3.9133543999999999E-2</v>
      </c>
      <c r="D223" s="30">
        <v>3.6994086000000002E-2</v>
      </c>
      <c r="E223" s="30">
        <v>3.3661836000000001E-2</v>
      </c>
      <c r="F223" s="30">
        <v>2.9699791999999999E-2</v>
      </c>
      <c r="G223" s="30">
        <v>2.7392766000000002E-2</v>
      </c>
      <c r="H223" s="31">
        <f t="shared" si="47"/>
        <v>0.99026431563290651</v>
      </c>
      <c r="I223" s="31">
        <f t="shared" si="48"/>
        <v>0.98167297739449388</v>
      </c>
      <c r="J223" s="31">
        <f t="shared" si="49"/>
        <v>0.96689841959612055</v>
      </c>
      <c r="K223" s="31">
        <f t="shared" si="50"/>
        <v>0.94233015386518637</v>
      </c>
      <c r="L223" s="31">
        <f t="shared" si="51"/>
        <v>0.87200176586558131</v>
      </c>
      <c r="M223" s="30">
        <f t="shared" si="52"/>
        <v>-5.893199999995585E-5</v>
      </c>
      <c r="N223" s="30">
        <f t="shared" si="54"/>
        <v>-5.0984999999912255E-5</v>
      </c>
      <c r="O223" s="30">
        <f t="shared" si="55"/>
        <v>6.2620000000067011E-5</v>
      </c>
      <c r="P223" s="30">
        <f t="shared" si="56"/>
        <v>2.8913999999994841E-4</v>
      </c>
      <c r="Q223" s="30">
        <f t="shared" si="57"/>
        <v>-5.0232000000003762E-4</v>
      </c>
      <c r="R223" s="30">
        <f t="shared" si="53"/>
        <v>3.9909348031672565E-2</v>
      </c>
      <c r="S223" s="30">
        <f t="shared" si="58"/>
        <v>3.7686883939778593E-2</v>
      </c>
      <c r="T223" s="30">
        <f t="shared" si="59"/>
        <v>3.4234806607405854E-2</v>
      </c>
      <c r="U223" s="30">
        <f t="shared" si="60"/>
        <v>3.0145229688917974E-2</v>
      </c>
      <c r="V223" s="30">
        <f t="shared" si="61"/>
        <v>2.7771397159799482E-2</v>
      </c>
    </row>
    <row r="224" spans="1:22" s="29" customFormat="1" ht="20" customHeight="1" x14ac:dyDescent="0.35">
      <c r="A224" s="131"/>
      <c r="B224" s="28">
        <v>45369</v>
      </c>
      <c r="C224" s="30">
        <v>3.8842830000000002E-2</v>
      </c>
      <c r="D224" s="30">
        <v>3.6856821999999997E-2</v>
      </c>
      <c r="E224" s="30">
        <v>3.3744468E-2</v>
      </c>
      <c r="F224" s="30">
        <v>2.9999890000000001E-2</v>
      </c>
      <c r="G224" s="30">
        <v>2.7765118000000002E-2</v>
      </c>
      <c r="H224" s="31">
        <f t="shared" si="47"/>
        <v>0.99033628917340311</v>
      </c>
      <c r="I224" s="31">
        <f t="shared" si="48"/>
        <v>0.98174035388634362</v>
      </c>
      <c r="J224" s="31">
        <f>EXP(-1*E224)</f>
        <v>0.96681852614683572</v>
      </c>
      <c r="K224" s="31">
        <f t="shared" si="50"/>
        <v>0.94176474077246886</v>
      </c>
      <c r="L224" s="31">
        <f t="shared" si="51"/>
        <v>0.87037981816513166</v>
      </c>
      <c r="M224" s="30">
        <f t="shared" si="52"/>
        <v>7.2678500000059108E-5</v>
      </c>
      <c r="N224" s="30">
        <f t="shared" si="54"/>
        <v>6.8632000000042273E-5</v>
      </c>
      <c r="O224" s="30">
        <f t="shared" si="55"/>
        <v>-8.263200000001048E-5</v>
      </c>
      <c r="P224" s="30">
        <f t="shared" si="56"/>
        <v>-6.0019600000006852E-4</v>
      </c>
      <c r="Q224" s="30">
        <f t="shared" si="57"/>
        <v>-1.8617600000000454E-3</v>
      </c>
      <c r="R224" s="30">
        <f t="shared" si="53"/>
        <v>3.9607075764987565E-2</v>
      </c>
      <c r="S224" s="30">
        <f t="shared" si="58"/>
        <v>3.7544456662634174E-2</v>
      </c>
      <c r="T224" s="30">
        <f t="shared" si="59"/>
        <v>3.4320271028944749E-2</v>
      </c>
      <c r="U224" s="30">
        <f t="shared" si="60"/>
        <v>3.0454420603524435E-2</v>
      </c>
      <c r="V224" s="30">
        <f t="shared" si="61"/>
        <v>2.8154161152121437E-2</v>
      </c>
    </row>
    <row r="225" spans="1:22" s="29" customFormat="1" ht="20" customHeight="1" x14ac:dyDescent="0.35">
      <c r="A225" s="131"/>
      <c r="B225" s="28">
        <v>45376</v>
      </c>
      <c r="C225" s="30">
        <v>3.8401427500000002E-2</v>
      </c>
      <c r="D225" s="30">
        <v>3.6428692499999998E-2</v>
      </c>
      <c r="E225" s="30">
        <v>3.3328742499999994E-2</v>
      </c>
      <c r="F225" s="30">
        <v>2.9576749999999999E-2</v>
      </c>
      <c r="G225" s="30">
        <v>2.7273594999999998E-2</v>
      </c>
      <c r="H225" s="31">
        <f t="shared" si="47"/>
        <v>0.99044557943188682</v>
      </c>
      <c r="I225" s="31">
        <f t="shared" si="48"/>
        <v>0.98195053238486452</v>
      </c>
      <c r="J225" s="31">
        <f t="shared" si="49"/>
        <v>0.967220540820113</v>
      </c>
      <c r="K225" s="31">
        <f t="shared" si="50"/>
        <v>0.9425620747736122</v>
      </c>
      <c r="L225" s="31">
        <f t="shared" si="51"/>
        <v>0.87252150730767208</v>
      </c>
      <c r="M225" s="30">
        <f t="shared" si="52"/>
        <v>1.1035062500010062E-4</v>
      </c>
      <c r="N225" s="30">
        <f t="shared" si="54"/>
        <v>2.1406474999995429E-4</v>
      </c>
      <c r="O225" s="30">
        <f t="shared" si="55"/>
        <v>4.157255000000079E-4</v>
      </c>
      <c r="P225" s="30">
        <f t="shared" si="56"/>
        <v>8.4628000000010737E-4</v>
      </c>
      <c r="Q225" s="30">
        <f t="shared" si="57"/>
        <v>2.4576149999999521E-3</v>
      </c>
      <c r="R225" s="30">
        <f t="shared" si="53"/>
        <v>3.9148291864356644E-2</v>
      </c>
      <c r="S225" s="30">
        <f t="shared" si="58"/>
        <v>3.7100348347894219E-2</v>
      </c>
      <c r="T225" s="30">
        <f t="shared" si="59"/>
        <v>3.3890367084318918E-2</v>
      </c>
      <c r="U225" s="30">
        <f t="shared" si="60"/>
        <v>3.0018486357103136E-2</v>
      </c>
      <c r="V225" s="30">
        <f t="shared" si="61"/>
        <v>2.7648923912403145E-2</v>
      </c>
    </row>
    <row r="226" spans="1:22" s="29" customFormat="1" ht="20" customHeight="1" x14ac:dyDescent="0.35">
      <c r="A226" s="131"/>
      <c r="B226" s="28">
        <v>45383</v>
      </c>
      <c r="C226" s="30">
        <v>3.8349500000000002E-2</v>
      </c>
      <c r="D226" s="30">
        <v>3.6403302500000005E-2</v>
      </c>
      <c r="E226" s="30">
        <v>3.3368145000000002E-2</v>
      </c>
      <c r="F226" s="30">
        <v>2.9761732499999999E-2</v>
      </c>
      <c r="G226" s="30">
        <v>2.7804632499999999E-2</v>
      </c>
      <c r="H226" s="31">
        <f t="shared" si="47"/>
        <v>0.9904584373560531</v>
      </c>
      <c r="I226" s="31">
        <f t="shared" si="48"/>
        <v>0.98196299832600054</v>
      </c>
      <c r="J226" s="31">
        <f t="shared" si="49"/>
        <v>0.9671824306635759</v>
      </c>
      <c r="K226" s="31">
        <f t="shared" si="50"/>
        <v>0.9422134242938327</v>
      </c>
      <c r="L226" s="31">
        <f t="shared" si="51"/>
        <v>0.87020787203497996</v>
      </c>
      <c r="M226" s="30">
        <f t="shared" si="52"/>
        <v>1.298187500000885E-5</v>
      </c>
      <c r="N226" s="30">
        <f t="shared" si="54"/>
        <v>1.2695000000028018E-5</v>
      </c>
      <c r="O226" s="30">
        <f t="shared" si="55"/>
        <v>-3.9402500000043125E-5</v>
      </c>
      <c r="P226" s="30">
        <f t="shared" si="56"/>
        <v>-3.6996500000003918E-4</v>
      </c>
      <c r="Q226" s="30">
        <f t="shared" si="57"/>
        <v>-2.6551875000000295E-3</v>
      </c>
      <c r="R226" s="30">
        <f t="shared" si="53"/>
        <v>3.9094332892420036E-2</v>
      </c>
      <c r="S226" s="30">
        <f t="shared" si="58"/>
        <v>3.7074016704331303E-2</v>
      </c>
      <c r="T226" s="30">
        <f t="shared" si="59"/>
        <v>3.3931105752105228E-2</v>
      </c>
      <c r="U226" s="30">
        <f t="shared" si="60"/>
        <v>3.0209039375699076E-2</v>
      </c>
      <c r="V226" s="30">
        <f t="shared" si="61"/>
        <v>2.8194788952410565E-2</v>
      </c>
    </row>
    <row r="227" spans="1:22" s="29" customFormat="1" ht="20" customHeight="1" x14ac:dyDescent="0.35">
      <c r="A227" s="131"/>
      <c r="B227" s="28">
        <v>45390</v>
      </c>
      <c r="C227" s="30">
        <v>3.8277016000000004E-2</v>
      </c>
      <c r="D227" s="30">
        <v>3.6453810000000003E-2</v>
      </c>
      <c r="E227" s="30">
        <v>3.3581864000000003E-2</v>
      </c>
      <c r="F227" s="30">
        <v>3.0090568000000002E-2</v>
      </c>
      <c r="G227" s="30">
        <v>2.7940944000000002E-2</v>
      </c>
      <c r="H227" s="31">
        <f t="shared" si="47"/>
        <v>0.99047638561601614</v>
      </c>
      <c r="I227" s="31">
        <f t="shared" si="48"/>
        <v>0.98193820039105328</v>
      </c>
      <c r="J227" s="31">
        <f t="shared" si="49"/>
        <v>0.96697574748852444</v>
      </c>
      <c r="K227" s="31">
        <f t="shared" si="50"/>
        <v>0.94159396157252573</v>
      </c>
      <c r="L227" s="31">
        <f t="shared" si="51"/>
        <v>0.86961497740207827</v>
      </c>
      <c r="M227" s="30">
        <f t="shared" si="52"/>
        <v>1.8121000000001028E-5</v>
      </c>
      <c r="N227" s="30">
        <f t="shared" si="54"/>
        <v>-2.5253750000064061E-5</v>
      </c>
      <c r="O227" s="30">
        <f t="shared" si="55"/>
        <v>-2.137189999999579E-4</v>
      </c>
      <c r="P227" s="30">
        <f t="shared" si="56"/>
        <v>-6.5767100000004052E-4</v>
      </c>
      <c r="Q227" s="30">
        <f t="shared" si="57"/>
        <v>-6.81557500000108E-4</v>
      </c>
      <c r="R227" s="30">
        <f t="shared" si="53"/>
        <v>3.901901790839335E-2</v>
      </c>
      <c r="S227" s="30">
        <f t="shared" si="58"/>
        <v>3.7126398043044073E-2</v>
      </c>
      <c r="T227" s="30">
        <f t="shared" si="59"/>
        <v>3.4152100088598702E-2</v>
      </c>
      <c r="U227" s="30">
        <f t="shared" si="60"/>
        <v>3.0547864386059498E-2</v>
      </c>
      <c r="V227" s="30">
        <f t="shared" si="61"/>
        <v>2.833495327917257E-2</v>
      </c>
    </row>
    <row r="228" spans="1:22" s="29" customFormat="1" ht="20" customHeight="1" x14ac:dyDescent="0.35">
      <c r="A228" s="131"/>
      <c r="B228" s="28">
        <v>45397</v>
      </c>
      <c r="C228" s="30">
        <v>3.8149323999999998E-2</v>
      </c>
      <c r="D228" s="30">
        <v>3.6406490000000007E-2</v>
      </c>
      <c r="E228" s="30">
        <v>3.3695608000000002E-2</v>
      </c>
      <c r="F228" s="30">
        <v>3.0489657999999999E-2</v>
      </c>
      <c r="G228" s="30">
        <v>2.8769690000000004E-2</v>
      </c>
      <c r="H228" s="31">
        <f t="shared" si="47"/>
        <v>0.99050800509836578</v>
      </c>
      <c r="I228" s="31">
        <f t="shared" si="48"/>
        <v>0.98196143332371899</v>
      </c>
      <c r="J228" s="31">
        <f t="shared" si="49"/>
        <v>0.96686576605408481</v>
      </c>
      <c r="K228" s="31">
        <f t="shared" si="50"/>
        <v>0.94084269996515779</v>
      </c>
      <c r="L228" s="31">
        <f t="shared" si="51"/>
        <v>0.86601898329152194</v>
      </c>
      <c r="M228" s="30">
        <f t="shared" si="52"/>
        <v>3.1922999999898369E-5</v>
      </c>
      <c r="N228" s="30">
        <f t="shared" si="54"/>
        <v>2.3659999999965519E-5</v>
      </c>
      <c r="O228" s="30">
        <f t="shared" si="55"/>
        <v>-1.1374400000005126E-4</v>
      </c>
      <c r="P228" s="30">
        <f t="shared" si="56"/>
        <v>-7.9818000000008848E-4</v>
      </c>
      <c r="Q228" s="30">
        <f t="shared" si="57"/>
        <v>-4.1437299999999878E-3</v>
      </c>
      <c r="R228" s="30">
        <f t="shared" si="53"/>
        <v>3.8886351962328813E-2</v>
      </c>
      <c r="S228" s="30">
        <f t="shared" si="58"/>
        <v>3.7077322383028077E-2</v>
      </c>
      <c r="T228" s="30">
        <f t="shared" si="59"/>
        <v>3.4269735375098254E-2</v>
      </c>
      <c r="U228" s="30">
        <f t="shared" si="60"/>
        <v>3.0959227813312395E-2</v>
      </c>
      <c r="V228" s="30">
        <f t="shared" si="61"/>
        <v>2.918753499640947E-2</v>
      </c>
    </row>
    <row r="229" spans="1:22" s="29" customFormat="1" ht="20" customHeight="1" x14ac:dyDescent="0.35">
      <c r="A229" s="131"/>
      <c r="B229" s="28">
        <v>45404</v>
      </c>
      <c r="C229" s="30">
        <v>3.7885947999999996E-2</v>
      </c>
      <c r="D229" s="30">
        <v>3.6318542000000002E-2</v>
      </c>
      <c r="E229" s="30">
        <v>3.3868163999999999E-2</v>
      </c>
      <c r="F229" s="30">
        <v>3.0941555999999995E-2</v>
      </c>
      <c r="G229" s="30">
        <v>2.9340160000000001E-2</v>
      </c>
      <c r="H229" s="31">
        <f t="shared" si="47"/>
        <v>0.99057322625464084</v>
      </c>
      <c r="I229" s="31">
        <f t="shared" si="48"/>
        <v>0.98200461504521752</v>
      </c>
      <c r="J229" s="31">
        <f t="shared" si="49"/>
        <v>0.96669894195862083</v>
      </c>
      <c r="K229" s="31">
        <f t="shared" si="50"/>
        <v>0.93999275424292839</v>
      </c>
      <c r="L229" s="31">
        <f t="shared" si="51"/>
        <v>0.86355231361953122</v>
      </c>
      <c r="M229" s="30">
        <f t="shared" si="52"/>
        <v>6.5844000000093067E-5</v>
      </c>
      <c r="N229" s="30">
        <f t="shared" si="54"/>
        <v>4.3974000000075436E-5</v>
      </c>
      <c r="O229" s="30">
        <f t="shared" si="55"/>
        <v>-1.7255600000002559E-4</v>
      </c>
      <c r="P229" s="30">
        <f t="shared" si="56"/>
        <v>-9.0379599999996E-4</v>
      </c>
      <c r="Q229" s="30">
        <f t="shared" si="57"/>
        <v>-2.8523499999999311E-3</v>
      </c>
      <c r="R229" s="30">
        <f t="shared" si="53"/>
        <v>3.861277025950316E-2</v>
      </c>
      <c r="S229" s="30">
        <f t="shared" si="58"/>
        <v>3.6986117517380679E-2</v>
      </c>
      <c r="T229" s="30">
        <f t="shared" si="59"/>
        <v>3.4448220222428549E-2</v>
      </c>
      <c r="U229" s="30">
        <f t="shared" si="60"/>
        <v>3.1425221509322254E-2</v>
      </c>
      <c r="V229" s="30">
        <f t="shared" si="61"/>
        <v>2.9774823108696502E-2</v>
      </c>
    </row>
    <row r="230" spans="1:22" s="29" customFormat="1" ht="20" customHeight="1" x14ac:dyDescent="0.35">
      <c r="A230" s="131"/>
      <c r="B230" s="28">
        <v>45411</v>
      </c>
      <c r="C230" s="30">
        <v>3.7763947499999999E-2</v>
      </c>
      <c r="D230" s="30">
        <v>3.6238337499999995E-2</v>
      </c>
      <c r="E230" s="30">
        <v>3.383593E-2</v>
      </c>
      <c r="F230" s="30">
        <v>3.0918705000000001E-2</v>
      </c>
      <c r="G230" s="30">
        <v>2.9168707500000002E-2</v>
      </c>
      <c r="H230" s="31">
        <f t="shared" si="47"/>
        <v>0.99060343932261208</v>
      </c>
      <c r="I230" s="31">
        <f t="shared" si="48"/>
        <v>0.98204399642942708</v>
      </c>
      <c r="J230" s="31">
        <f t="shared" si="49"/>
        <v>0.96673010303453621</v>
      </c>
      <c r="K230" s="31">
        <f t="shared" si="50"/>
        <v>0.94003571477346648</v>
      </c>
      <c r="L230" s="31">
        <f t="shared" si="51"/>
        <v>0.86429292203734132</v>
      </c>
      <c r="M230" s="30">
        <f t="shared" si="52"/>
        <v>3.0500125000000632E-5</v>
      </c>
      <c r="N230" s="30">
        <f t="shared" si="54"/>
        <v>4.0102249999979177E-5</v>
      </c>
      <c r="O230" s="30">
        <f t="shared" si="55"/>
        <v>3.2233999999986071E-5</v>
      </c>
      <c r="P230" s="30">
        <f t="shared" si="56"/>
        <v>4.5702000000051558E-5</v>
      </c>
      <c r="Q230" s="30">
        <f t="shared" si="57"/>
        <v>8.5726249999986878E-4</v>
      </c>
      <c r="R230" s="30">
        <f t="shared" si="53"/>
        <v>3.848606671133048E-2</v>
      </c>
      <c r="S230" s="30">
        <f t="shared" si="58"/>
        <v>3.6902949899571436E-2</v>
      </c>
      <c r="T230" s="30">
        <f t="shared" si="59"/>
        <v>3.441487635590379E-2</v>
      </c>
      <c r="U230" s="30">
        <f t="shared" si="60"/>
        <v>3.140165268087225E-2</v>
      </c>
      <c r="V230" s="30">
        <f t="shared" si="61"/>
        <v>2.9598280775582131E-2</v>
      </c>
    </row>
    <row r="231" spans="1:22" s="29" customFormat="1" ht="20" customHeight="1" x14ac:dyDescent="0.35">
      <c r="A231" s="131"/>
      <c r="B231" s="28">
        <v>45418</v>
      </c>
      <c r="C231" s="30">
        <v>3.7536385999999998E-2</v>
      </c>
      <c r="D231" s="30">
        <v>3.5999576000000005E-2</v>
      </c>
      <c r="E231" s="30">
        <v>3.3563952000000001E-2</v>
      </c>
      <c r="F231" s="30">
        <v>3.0566166000000002E-2</v>
      </c>
      <c r="G231" s="30">
        <v>2.8661796000000003E-2</v>
      </c>
      <c r="H231" s="31">
        <f t="shared" si="47"/>
        <v>0.99065979672683324</v>
      </c>
      <c r="I231" s="31">
        <f t="shared" si="48"/>
        <v>0.98216124057646159</v>
      </c>
      <c r="J231" s="31">
        <f t="shared" si="49"/>
        <v>0.96699306811323649</v>
      </c>
      <c r="K231" s="31">
        <f t="shared" si="50"/>
        <v>0.94069874699241485</v>
      </c>
      <c r="L231" s="31">
        <f t="shared" si="51"/>
        <v>0.86648630059293696</v>
      </c>
      <c r="M231" s="30">
        <f t="shared" si="52"/>
        <v>5.6890375000105267E-5</v>
      </c>
      <c r="N231" s="30">
        <f t="shared" si="54"/>
        <v>1.1938074999985867E-4</v>
      </c>
      <c r="O231" s="30">
        <f t="shared" si="55"/>
        <v>2.719779999999758E-4</v>
      </c>
      <c r="P231" s="30">
        <f t="shared" si="56"/>
        <v>7.0507799999998812E-4</v>
      </c>
      <c r="Q231" s="30">
        <f t="shared" si="57"/>
        <v>2.5345574999999219E-3</v>
      </c>
      <c r="R231" s="30">
        <f t="shared" si="53"/>
        <v>3.8249774150824978E-2</v>
      </c>
      <c r="S231" s="30">
        <f t="shared" si="58"/>
        <v>3.6655406948937985E-2</v>
      </c>
      <c r="T231" s="30">
        <f t="shared" si="59"/>
        <v>3.4133576522079379E-2</v>
      </c>
      <c r="U231" s="30">
        <f t="shared" si="60"/>
        <v>3.1038107459337549E-2</v>
      </c>
      <c r="V231" s="30">
        <f t="shared" si="61"/>
        <v>2.9076497826738379E-2</v>
      </c>
    </row>
    <row r="232" spans="1:22" s="29" customFormat="1" ht="20" customHeight="1" x14ac:dyDescent="0.35">
      <c r="A232" s="131"/>
      <c r="B232" s="28">
        <v>45425</v>
      </c>
      <c r="C232" s="30">
        <v>3.7275593999999995E-2</v>
      </c>
      <c r="D232" s="30">
        <v>3.5855787999999993E-2</v>
      </c>
      <c r="E232" s="30">
        <v>3.3577457999999998E-2</v>
      </c>
      <c r="F232" s="30">
        <v>3.0703382000000001E-2</v>
      </c>
      <c r="G232" s="30">
        <v>2.8740838000000001E-2</v>
      </c>
      <c r="H232" s="31">
        <f t="shared" si="47"/>
        <v>0.99072438786984396</v>
      </c>
      <c r="I232" s="31">
        <f t="shared" si="48"/>
        <v>0.98223185461502405</v>
      </c>
      <c r="J232" s="31">
        <f t="shared" si="49"/>
        <v>0.96698000799305373</v>
      </c>
      <c r="K232" s="31">
        <f t="shared" si="50"/>
        <v>0.940440624574026</v>
      </c>
      <c r="L232" s="31">
        <f t="shared" si="51"/>
        <v>0.86614392420182273</v>
      </c>
      <c r="M232" s="30">
        <f t="shared" si="52"/>
        <v>6.5197999999967238E-5</v>
      </c>
      <c r="N232" s="30">
        <f t="shared" si="54"/>
        <v>7.1893999999962961E-5</v>
      </c>
      <c r="O232" s="30">
        <f t="shared" si="55"/>
        <v>-1.350600000006074E-5</v>
      </c>
      <c r="P232" s="30">
        <f t="shared" si="56"/>
        <v>-2.7443200000001124E-4</v>
      </c>
      <c r="Q232" s="30">
        <f t="shared" si="57"/>
        <v>-3.952100000000238E-4</v>
      </c>
      <c r="R232" s="30">
        <f t="shared" si="53"/>
        <v>3.7979042219620007E-2</v>
      </c>
      <c r="S232" s="30">
        <f t="shared" si="58"/>
        <v>3.6506359057189464E-2</v>
      </c>
      <c r="T232" s="30">
        <f t="shared" si="59"/>
        <v>3.4147543624483578E-2</v>
      </c>
      <c r="U232" s="30">
        <f t="shared" si="60"/>
        <v>3.117959209104626E-2</v>
      </c>
      <c r="V232" s="30">
        <f t="shared" si="61"/>
        <v>2.9157841306012955E-2</v>
      </c>
    </row>
    <row r="233" spans="1:22" s="29" customFormat="1" ht="20" customHeight="1" x14ac:dyDescent="0.35">
      <c r="A233" s="131"/>
      <c r="B233" s="28">
        <v>45432</v>
      </c>
      <c r="C233" s="30">
        <v>3.7366377999999999E-2</v>
      </c>
      <c r="D233" s="30">
        <v>3.6058487999999993E-2</v>
      </c>
      <c r="E233" s="30">
        <v>3.3951174000000001E-2</v>
      </c>
      <c r="F233" s="30">
        <v>3.1270168000000001E-2</v>
      </c>
      <c r="G233" s="30">
        <v>2.9386498000000004E-2</v>
      </c>
      <c r="H233" s="31">
        <f t="shared" si="47"/>
        <v>0.99070190264430014</v>
      </c>
      <c r="I233" s="31">
        <f t="shared" si="48"/>
        <v>0.9821323104610441</v>
      </c>
      <c r="J233" s="31">
        <f t="shared" si="49"/>
        <v>0.96661869960995361</v>
      </c>
      <c r="K233" s="31">
        <f t="shared" si="50"/>
        <v>0.93937517141237303</v>
      </c>
      <c r="L233" s="31">
        <f t="shared" si="51"/>
        <v>0.86335226036005341</v>
      </c>
      <c r="M233" s="30">
        <f t="shared" si="52"/>
        <v>-2.2695999999990955E-5</v>
      </c>
      <c r="N233" s="30">
        <f t="shared" si="54"/>
        <v>-1.0134999999991123E-4</v>
      </c>
      <c r="O233" s="30">
        <f t="shared" si="55"/>
        <v>-3.7371600000001584E-4</v>
      </c>
      <c r="P233" s="30">
        <f t="shared" si="56"/>
        <v>-1.1335720000000464E-3</v>
      </c>
      <c r="Q233" s="30">
        <f t="shared" si="57"/>
        <v>-3.2283000000000051E-3</v>
      </c>
      <c r="R233" s="30">
        <f t="shared" si="53"/>
        <v>3.8073278386492104E-2</v>
      </c>
      <c r="S233" s="30">
        <f t="shared" si="58"/>
        <v>3.6716480191227863E-2</v>
      </c>
      <c r="T233" s="30">
        <f t="shared" si="59"/>
        <v>3.4534093333303373E-2</v>
      </c>
      <c r="U233" s="30">
        <f t="shared" si="60"/>
        <v>3.1764215909976468E-2</v>
      </c>
      <c r="V233" s="30">
        <f t="shared" si="61"/>
        <v>2.9822541920038192E-2</v>
      </c>
    </row>
    <row r="234" spans="1:22" s="29" customFormat="1" ht="20" customHeight="1" x14ac:dyDescent="0.35">
      <c r="A234" s="131"/>
      <c r="B234" s="28">
        <v>45439</v>
      </c>
      <c r="C234" s="30">
        <v>3.7001794000000005E-2</v>
      </c>
      <c r="D234" s="30">
        <v>3.5841507999999994E-2</v>
      </c>
      <c r="E234" s="30">
        <v>3.3970205999999996E-2</v>
      </c>
      <c r="F234" s="30">
        <v>3.1590677999999997E-2</v>
      </c>
      <c r="G234" s="30">
        <v>2.9994722000000005E-2</v>
      </c>
      <c r="H234" s="31">
        <f t="shared" si="47"/>
        <v>0.99079220527521794</v>
      </c>
      <c r="I234" s="31">
        <f t="shared" si="48"/>
        <v>0.98223886777550296</v>
      </c>
      <c r="J234" s="31">
        <f t="shared" si="49"/>
        <v>0.96660030309792433</v>
      </c>
      <c r="K234" s="31">
        <f t="shared" si="50"/>
        <v>0.93877320609651027</v>
      </c>
      <c r="L234" s="31">
        <f t="shared" si="51"/>
        <v>0.86073069080827058</v>
      </c>
      <c r="M234" s="30">
        <f t="shared" si="52"/>
        <v>9.1146000000052731E-5</v>
      </c>
      <c r="N234" s="30">
        <f t="shared" si="54"/>
        <v>1.0848999999997882E-4</v>
      </c>
      <c r="O234" s="30">
        <f t="shared" si="55"/>
        <v>-1.9032000000097141E-5</v>
      </c>
      <c r="P234" s="30">
        <f t="shared" si="56"/>
        <v>-6.4101999999997437E-4</v>
      </c>
      <c r="Q234" s="30">
        <f t="shared" si="57"/>
        <v>-3.0411200000000902E-3</v>
      </c>
      <c r="R234" s="30">
        <f t="shared" si="53"/>
        <v>3.7694882461106305E-2</v>
      </c>
      <c r="S234" s="30">
        <f t="shared" si="58"/>
        <v>3.6491557852063039E-2</v>
      </c>
      <c r="T234" s="30">
        <f t="shared" si="59"/>
        <v>3.4553782773531827E-2</v>
      </c>
      <c r="U234" s="30">
        <f t="shared" si="60"/>
        <v>3.209495965932585E-2</v>
      </c>
      <c r="V234" s="30">
        <f t="shared" si="61"/>
        <v>3.0449095228839429E-2</v>
      </c>
    </row>
    <row r="235" spans="1:22" s="29" customFormat="1" ht="20" customHeight="1" x14ac:dyDescent="0.35">
      <c r="A235" s="131"/>
      <c r="B235" s="28">
        <v>45446</v>
      </c>
      <c r="C235" s="30">
        <v>3.6678915999999999E-2</v>
      </c>
      <c r="D235" s="30">
        <v>3.5538126000000003E-2</v>
      </c>
      <c r="E235" s="30">
        <v>3.3683924000000004E-2</v>
      </c>
      <c r="F235" s="30">
        <v>3.1286561999999997E-2</v>
      </c>
      <c r="G235" s="30">
        <v>2.9555436000000001E-2</v>
      </c>
      <c r="H235" s="31">
        <f t="shared" si="47"/>
        <v>0.99087218475453998</v>
      </c>
      <c r="I235" s="31">
        <f t="shared" si="48"/>
        <v>0.98238787587290266</v>
      </c>
      <c r="J235" s="31">
        <f t="shared" si="49"/>
        <v>0.96687706297969189</v>
      </c>
      <c r="K235" s="31">
        <f t="shared" si="50"/>
        <v>0.93934437168418627</v>
      </c>
      <c r="L235" s="31">
        <f t="shared" si="51"/>
        <v>0.86262330325398151</v>
      </c>
      <c r="M235" s="30">
        <f t="shared" si="52"/>
        <v>8.0719499999994462E-5</v>
      </c>
      <c r="N235" s="30">
        <f t="shared" si="54"/>
        <v>1.5169100000015338E-4</v>
      </c>
      <c r="O235" s="30">
        <f t="shared" si="55"/>
        <v>2.862820000001422E-4</v>
      </c>
      <c r="P235" s="30">
        <f t="shared" si="56"/>
        <v>6.0823200000009129E-4</v>
      </c>
      <c r="Q235" s="30">
        <f t="shared" si="57"/>
        <v>2.1964300000001731E-3</v>
      </c>
      <c r="R235" s="30">
        <f t="shared" si="53"/>
        <v>3.7359887696976957E-2</v>
      </c>
      <c r="S235" s="30">
        <f t="shared" si="58"/>
        <v>3.617715266510757E-2</v>
      </c>
      <c r="T235" s="30">
        <f t="shared" si="59"/>
        <v>3.4257651038106962E-2</v>
      </c>
      <c r="U235" s="30">
        <f t="shared" si="60"/>
        <v>3.1781130791183054E-2</v>
      </c>
      <c r="V235" s="30">
        <f t="shared" si="61"/>
        <v>2.999653277704506E-2</v>
      </c>
    </row>
    <row r="236" spans="1:22" s="29" customFormat="1" ht="20" customHeight="1" x14ac:dyDescent="0.35">
      <c r="A236" s="131"/>
      <c r="B236" s="28">
        <v>45453</v>
      </c>
      <c r="C236" s="30">
        <v>3.6342871999999998E-2</v>
      </c>
      <c r="D236" s="30">
        <v>3.5288552000000001E-2</v>
      </c>
      <c r="E236" s="30">
        <v>3.3574946000000001E-2</v>
      </c>
      <c r="F236" s="30">
        <v>3.1369934000000002E-2</v>
      </c>
      <c r="G236" s="30">
        <v>2.9931016000000001E-2</v>
      </c>
      <c r="H236" s="31">
        <f t="shared" si="47"/>
        <v>0.99095543241446404</v>
      </c>
      <c r="I236" s="31">
        <f t="shared" si="48"/>
        <v>0.98251047275785885</v>
      </c>
      <c r="J236" s="31">
        <f t="shared" si="49"/>
        <v>0.96698243704988474</v>
      </c>
      <c r="K236" s="31">
        <f t="shared" si="50"/>
        <v>0.93918775470410787</v>
      </c>
      <c r="L236" s="31">
        <f t="shared" si="51"/>
        <v>0.86100490302530408</v>
      </c>
      <c r="M236" s="30">
        <f t="shared" si="52"/>
        <v>8.4010999999961286E-5</v>
      </c>
      <c r="N236" s="30">
        <f t="shared" si="54"/>
        <v>1.2478699999996176E-4</v>
      </c>
      <c r="O236" s="30">
        <f t="shared" si="55"/>
        <v>1.0897799999997491E-4</v>
      </c>
      <c r="P236" s="30">
        <f t="shared" si="56"/>
        <v>-1.6674400000005028E-4</v>
      </c>
      <c r="Q236" s="30">
        <f t="shared" si="57"/>
        <v>-1.8778999999999281E-3</v>
      </c>
      <c r="R236" s="30">
        <f t="shared" si="53"/>
        <v>3.7011347696543684E-2</v>
      </c>
      <c r="S236" s="30">
        <f t="shared" si="58"/>
        <v>3.5918582056001069E-2</v>
      </c>
      <c r="T236" s="30">
        <f t="shared" si="59"/>
        <v>3.4144945849116759E-2</v>
      </c>
      <c r="U236" s="30">
        <f t="shared" si="60"/>
        <v>3.1867156033617672E-2</v>
      </c>
      <c r="V236" s="30">
        <f t="shared" si="61"/>
        <v>3.0383451529749861E-2</v>
      </c>
    </row>
    <row r="237" spans="1:22" s="29" customFormat="1" ht="20" customHeight="1" x14ac:dyDescent="0.35">
      <c r="A237" s="131"/>
      <c r="B237" s="28">
        <v>45460</v>
      </c>
      <c r="C237" s="30">
        <v>3.6098100000000001E-2</v>
      </c>
      <c r="D237" s="30">
        <v>3.4967437999999997E-2</v>
      </c>
      <c r="E237" s="30">
        <v>3.3117252E-2</v>
      </c>
      <c r="F237" s="30">
        <v>3.0700250000000002E-2</v>
      </c>
      <c r="G237" s="30">
        <v>2.8992371999999995E-2</v>
      </c>
      <c r="H237" s="31">
        <f t="shared" si="47"/>
        <v>0.99101607380563517</v>
      </c>
      <c r="I237" s="31">
        <f t="shared" si="48"/>
        <v>0.98266823435635897</v>
      </c>
      <c r="J237" s="31">
        <f t="shared" si="49"/>
        <v>0.96742512040845841</v>
      </c>
      <c r="K237" s="31">
        <f t="shared" si="50"/>
        <v>0.94044651551254876</v>
      </c>
      <c r="L237" s="31">
        <f t="shared" si="51"/>
        <v>0.8650552856901651</v>
      </c>
      <c r="M237" s="30">
        <f t="shared" si="52"/>
        <v>6.1192999999879662E-5</v>
      </c>
      <c r="N237" s="30">
        <f t="shared" si="54"/>
        <v>1.6055699999996108E-4</v>
      </c>
      <c r="O237" s="30">
        <f t="shared" si="55"/>
        <v>4.5769399999987486E-4</v>
      </c>
      <c r="P237" s="30">
        <f t="shared" si="56"/>
        <v>1.339368000000053E-3</v>
      </c>
      <c r="Q237" s="30">
        <f t="shared" si="57"/>
        <v>4.693220000000089E-3</v>
      </c>
      <c r="R237" s="30">
        <f t="shared" si="53"/>
        <v>3.6757547417813452E-2</v>
      </c>
      <c r="S237" s="30">
        <f t="shared" si="58"/>
        <v>3.558598749968489E-2</v>
      </c>
      <c r="T237" s="30">
        <f t="shared" si="59"/>
        <v>3.3671732214052952E-2</v>
      </c>
      <c r="U237" s="30">
        <f t="shared" si="60"/>
        <v>3.1176362441621475E-2</v>
      </c>
      <c r="V237" s="30">
        <f t="shared" si="61"/>
        <v>2.9416742054273248E-2</v>
      </c>
    </row>
    <row r="238" spans="1:22" s="29" customFormat="1" ht="20" customHeight="1" x14ac:dyDescent="0.35">
      <c r="A238" s="131"/>
      <c r="B238" s="28">
        <v>45467</v>
      </c>
      <c r="C238" s="30">
        <v>3.5836244000000003E-2</v>
      </c>
      <c r="D238" s="30">
        <v>3.4722164E-2</v>
      </c>
      <c r="E238" s="30">
        <v>3.2907315999999999E-2</v>
      </c>
      <c r="F238" s="30">
        <v>3.0564455999999997E-2</v>
      </c>
      <c r="G238" s="30">
        <v>2.9056820000000001E-2</v>
      </c>
      <c r="H238" s="31">
        <f t="shared" si="47"/>
        <v>0.9910809518054543</v>
      </c>
      <c r="I238" s="31">
        <f t="shared" si="48"/>
        <v>0.9827887532305013</v>
      </c>
      <c r="J238" s="31">
        <f t="shared" si="49"/>
        <v>0.96762823908875217</v>
      </c>
      <c r="K238" s="31">
        <f t="shared" si="50"/>
        <v>0.94070196418763097</v>
      </c>
      <c r="L238" s="31">
        <f t="shared" si="51"/>
        <v>0.86477657518315287</v>
      </c>
      <c r="M238" s="30">
        <f t="shared" si="52"/>
        <v>6.5463999999923139E-5</v>
      </c>
      <c r="N238" s="30">
        <f t="shared" si="54"/>
        <v>1.2263699999995705E-4</v>
      </c>
      <c r="O238" s="30">
        <f t="shared" si="55"/>
        <v>2.099360000000894E-4</v>
      </c>
      <c r="P238" s="30">
        <f t="shared" si="56"/>
        <v>2.7158800000003314E-4</v>
      </c>
      <c r="Q238" s="30">
        <f t="shared" si="57"/>
        <v>-3.2224000000002841E-4</v>
      </c>
      <c r="R238" s="30">
        <f t="shared" si="53"/>
        <v>3.6486101774863E-2</v>
      </c>
      <c r="S238" s="30">
        <f t="shared" si="58"/>
        <v>3.5332016329722382E-2</v>
      </c>
      <c r="T238" s="30">
        <f t="shared" si="59"/>
        <v>3.3454750082256179E-2</v>
      </c>
      <c r="U238" s="30">
        <f t="shared" si="60"/>
        <v>3.1036344385681147E-2</v>
      </c>
      <c r="V238" s="30">
        <f t="shared" si="61"/>
        <v>2.9483088042375316E-2</v>
      </c>
    </row>
    <row r="239" spans="1:22" s="29" customFormat="1" ht="20" customHeight="1" x14ac:dyDescent="0.35">
      <c r="A239" s="131"/>
      <c r="B239" s="28">
        <v>45474</v>
      </c>
      <c r="C239" s="30">
        <v>3.5934807999999999E-2</v>
      </c>
      <c r="D239" s="30">
        <v>3.4880009999999996E-2</v>
      </c>
      <c r="E239" s="30">
        <v>3.3170946E-2</v>
      </c>
      <c r="F239" s="30">
        <v>3.0995069999999996E-2</v>
      </c>
      <c r="G239" s="30">
        <v>2.9746730000000002E-2</v>
      </c>
      <c r="H239" s="31">
        <f t="shared" si="47"/>
        <v>0.99105653088060008</v>
      </c>
      <c r="I239" s="31">
        <f t="shared" si="48"/>
        <v>0.98271119165446652</v>
      </c>
      <c r="J239" s="31">
        <f t="shared" si="49"/>
        <v>0.96737317687858371</v>
      </c>
      <c r="K239" s="31">
        <f t="shared" si="50"/>
        <v>0.93989215408204041</v>
      </c>
      <c r="L239" s="31">
        <f t="shared" si="51"/>
        <v>0.86179862439628208</v>
      </c>
      <c r="M239" s="30">
        <f t="shared" si="52"/>
        <v>-2.4641000000005482E-5</v>
      </c>
      <c r="N239" s="30">
        <f t="shared" si="54"/>
        <v>-7.8922999999920775E-5</v>
      </c>
      <c r="O239" s="30">
        <f t="shared" si="55"/>
        <v>-2.6362999999996384E-4</v>
      </c>
      <c r="P239" s="30">
        <f t="shared" si="56"/>
        <v>-8.6122799999986384E-4</v>
      </c>
      <c r="Q239" s="30">
        <f t="shared" si="57"/>
        <v>-3.4495500000000286E-3</v>
      </c>
      <c r="R239" s="30">
        <f t="shared" si="53"/>
        <v>3.6588267025823518E-2</v>
      </c>
      <c r="S239" s="30">
        <f t="shared" si="58"/>
        <v>3.5495452245685399E-2</v>
      </c>
      <c r="T239" s="30">
        <f t="shared" si="59"/>
        <v>3.3727235674130496E-2</v>
      </c>
      <c r="U239" s="30">
        <f t="shared" si="60"/>
        <v>3.1480418675523536E-2</v>
      </c>
      <c r="V239" s="30">
        <f t="shared" si="61"/>
        <v>3.0193583780522504E-2</v>
      </c>
    </row>
    <row r="240" spans="1:22" s="29" customFormat="1" ht="20" customHeight="1" x14ac:dyDescent="0.35">
      <c r="A240" s="131"/>
      <c r="B240" s="28">
        <v>45481</v>
      </c>
      <c r="C240" s="30">
        <v>3.5464427999999999E-2</v>
      </c>
      <c r="D240" s="30">
        <v>3.4369561999999992E-2</v>
      </c>
      <c r="E240" s="30">
        <v>3.2574330000000006E-2</v>
      </c>
      <c r="F240" s="30">
        <v>3.0225414000000003E-2</v>
      </c>
      <c r="G240" s="30">
        <v>2.8635822000000002E-2</v>
      </c>
      <c r="H240" s="31">
        <f t="shared" si="47"/>
        <v>0.99117308102607182</v>
      </c>
      <c r="I240" s="31">
        <f t="shared" si="48"/>
        <v>0.9829620351449232</v>
      </c>
      <c r="J240" s="31">
        <f t="shared" si="49"/>
        <v>0.9679504993966811</v>
      </c>
      <c r="K240" s="31">
        <f t="shared" si="50"/>
        <v>0.94134005545360477</v>
      </c>
      <c r="L240" s="31">
        <f t="shared" si="51"/>
        <v>0.86659883847628427</v>
      </c>
      <c r="M240" s="30">
        <f t="shared" si="52"/>
        <v>1.1759499999995444E-4</v>
      </c>
      <c r="N240" s="30">
        <f t="shared" si="54"/>
        <v>2.5522399999997953E-4</v>
      </c>
      <c r="O240" s="30">
        <f t="shared" si="55"/>
        <v>5.9661599999989332E-4</v>
      </c>
      <c r="P240" s="30">
        <f t="shared" si="56"/>
        <v>1.53931199999988E-3</v>
      </c>
      <c r="Q240" s="30">
        <f t="shared" si="57"/>
        <v>5.5545400000001121E-3</v>
      </c>
      <c r="R240" s="30">
        <f t="shared" si="53"/>
        <v>3.6100791295185175E-2</v>
      </c>
      <c r="S240" s="30">
        <f t="shared" si="58"/>
        <v>3.4967020543004379E-2</v>
      </c>
      <c r="T240" s="30">
        <f t="shared" si="59"/>
        <v>3.3110681407050535E-2</v>
      </c>
      <c r="U240" s="30">
        <f t="shared" si="60"/>
        <v>3.0686839013256195E-2</v>
      </c>
      <c r="V240" s="30">
        <f t="shared" si="61"/>
        <v>2.904976894091349E-2</v>
      </c>
    </row>
    <row r="241" spans="1:22" s="29" customFormat="1" ht="20" customHeight="1" x14ac:dyDescent="0.35">
      <c r="A241" s="131"/>
      <c r="B241" s="28">
        <v>45488</v>
      </c>
      <c r="C241" s="30">
        <v>3.5144365999999996E-2</v>
      </c>
      <c r="D241" s="30">
        <v>3.3918601999999999E-2</v>
      </c>
      <c r="E241" s="30">
        <v>3.1922850000000003E-2</v>
      </c>
      <c r="F241" s="30">
        <v>2.9348616000000001E-2</v>
      </c>
      <c r="G241" s="30">
        <v>2.7688733999999996E-2</v>
      </c>
      <c r="H241" s="31">
        <f t="shared" si="47"/>
        <v>0.99125239340880433</v>
      </c>
      <c r="I241" s="31">
        <f t="shared" si="48"/>
        <v>0.98318369841398545</v>
      </c>
      <c r="J241" s="31">
        <f t="shared" si="49"/>
        <v>0.96858130524441399</v>
      </c>
      <c r="K241" s="31">
        <f t="shared" si="50"/>
        <v>0.94299223381278463</v>
      </c>
      <c r="L241" s="31">
        <f t="shared" si="51"/>
        <v>0.87071229711142351</v>
      </c>
      <c r="M241" s="30">
        <f t="shared" si="52"/>
        <v>8.001549999995241E-5</v>
      </c>
      <c r="N241" s="30">
        <f t="shared" si="54"/>
        <v>2.2548000000005222E-4</v>
      </c>
      <c r="O241" s="30">
        <f t="shared" si="55"/>
        <v>6.5147999999991778E-4</v>
      </c>
      <c r="P241" s="30">
        <f t="shared" si="56"/>
        <v>1.753596000000023E-3</v>
      </c>
      <c r="Q241" s="30">
        <f t="shared" si="57"/>
        <v>4.735440000000102E-3</v>
      </c>
      <c r="R241" s="30">
        <f t="shared" si="53"/>
        <v>3.5769227866979003E-2</v>
      </c>
      <c r="S241" s="30">
        <f t="shared" si="58"/>
        <v>3.4500397037596109E-2</v>
      </c>
      <c r="T241" s="30">
        <f t="shared" si="59"/>
        <v>3.2437849652340534E-2</v>
      </c>
      <c r="U241" s="30">
        <f t="shared" si="60"/>
        <v>2.9783530921417167E-2</v>
      </c>
      <c r="V241" s="30">
        <f t="shared" si="61"/>
        <v>2.807562962399035E-2</v>
      </c>
    </row>
    <row r="242" spans="1:22" s="29" customFormat="1" ht="20" customHeight="1" x14ac:dyDescent="0.35">
      <c r="A242" s="131"/>
      <c r="B242" s="28">
        <v>45495</v>
      </c>
      <c r="C242" s="30">
        <v>3.530722E-2</v>
      </c>
      <c r="D242" s="30">
        <v>3.3970904000000003E-2</v>
      </c>
      <c r="E242" s="30">
        <v>3.1817086000000001E-2</v>
      </c>
      <c r="F242" s="30">
        <v>2.9100685999999997E-2</v>
      </c>
      <c r="G242" s="30">
        <v>2.7545963999999999E-2</v>
      </c>
      <c r="H242" s="31">
        <f t="shared" si="47"/>
        <v>0.99121203687601878</v>
      </c>
      <c r="I242" s="31">
        <f t="shared" si="48"/>
        <v>0.98315798751327255</v>
      </c>
      <c r="J242" s="31">
        <f t="shared" si="49"/>
        <v>0.9686837516950596</v>
      </c>
      <c r="K242" s="31">
        <f t="shared" si="50"/>
        <v>0.9434599418911237</v>
      </c>
      <c r="L242" s="31">
        <f t="shared" si="51"/>
        <v>0.87133407698709464</v>
      </c>
      <c r="M242" s="30">
        <f t="shared" si="52"/>
        <v>-4.0713499999929658E-5</v>
      </c>
      <c r="N242" s="30">
        <f t="shared" si="54"/>
        <v>-2.6151000000079934E-5</v>
      </c>
      <c r="O242" s="30">
        <f t="shared" si="55"/>
        <v>1.0576399999992676E-4</v>
      </c>
      <c r="P242" s="30">
        <f t="shared" si="56"/>
        <v>4.9585999999999023E-4</v>
      </c>
      <c r="Q242" s="30">
        <f t="shared" si="57"/>
        <v>7.138499999999777E-4</v>
      </c>
      <c r="R242" s="30">
        <f t="shared" si="53"/>
        <v>3.5937920764597786E-2</v>
      </c>
      <c r="S242" s="30">
        <f t="shared" si="58"/>
        <v>3.4554504892324145E-2</v>
      </c>
      <c r="T242" s="30">
        <f t="shared" si="59"/>
        <v>3.2328660669843412E-2</v>
      </c>
      <c r="U242" s="30">
        <f t="shared" si="60"/>
        <v>2.9528248338009044E-2</v>
      </c>
      <c r="V242" s="30">
        <f t="shared" si="61"/>
        <v>2.7928861743623301E-2</v>
      </c>
    </row>
    <row r="243" spans="1:22" s="29" customFormat="1" ht="20" customHeight="1" x14ac:dyDescent="0.35">
      <c r="A243" s="131"/>
      <c r="B243" s="28">
        <v>45502</v>
      </c>
      <c r="C243" s="30">
        <v>3.4120523999999992E-2</v>
      </c>
      <c r="D243" s="30">
        <v>3.2724227999999994E-2</v>
      </c>
      <c r="E243" s="30">
        <v>3.0474307999999999E-2</v>
      </c>
      <c r="F243" s="30">
        <v>2.7642113999999999E-2</v>
      </c>
      <c r="G243" s="30">
        <v>2.6076605999999999E-2</v>
      </c>
      <c r="H243" s="31">
        <f t="shared" si="47"/>
        <v>0.99150614734115372</v>
      </c>
      <c r="I243" s="31">
        <f t="shared" si="48"/>
        <v>0.98377101828973279</v>
      </c>
      <c r="J243" s="31">
        <f t="shared" si="49"/>
        <v>0.96998535261075913</v>
      </c>
      <c r="K243" s="31">
        <f t="shared" si="50"/>
        <v>0.94621616860039393</v>
      </c>
      <c r="L243" s="31">
        <f t="shared" si="51"/>
        <v>0.87775915843299257</v>
      </c>
      <c r="M243" s="30">
        <f t="shared" si="52"/>
        <v>2.9667399999997498E-4</v>
      </c>
      <c r="N243" s="30">
        <f t="shared" si="54"/>
        <v>6.2333800000016792E-4</v>
      </c>
      <c r="O243" s="30">
        <f t="shared" si="55"/>
        <v>1.3427780000000839E-3</v>
      </c>
      <c r="P243" s="30">
        <f t="shared" si="56"/>
        <v>2.9171439999999553E-3</v>
      </c>
      <c r="Q243" s="30">
        <f t="shared" si="57"/>
        <v>7.3467899999999104E-3</v>
      </c>
      <c r="R243" s="30">
        <f t="shared" si="53"/>
        <v>3.4709306517767047E-2</v>
      </c>
      <c r="S243" s="30">
        <f t="shared" si="58"/>
        <v>3.3265554239245931E-2</v>
      </c>
      <c r="T243" s="30">
        <f t="shared" si="59"/>
        <v>3.0943402710623458E-2</v>
      </c>
      <c r="U243" s="30">
        <f t="shared" si="60"/>
        <v>2.8027701855342091E-2</v>
      </c>
      <c r="V243" s="30">
        <f t="shared" si="61"/>
        <v>2.6419575359748038E-2</v>
      </c>
    </row>
    <row r="244" spans="1:22" s="29" customFormat="1" ht="20" customHeight="1" x14ac:dyDescent="0.35">
      <c r="A244" s="131"/>
      <c r="B244" s="28">
        <v>45509</v>
      </c>
      <c r="C244" s="30">
        <v>3.4045140000000002E-2</v>
      </c>
      <c r="D244" s="30">
        <v>3.2172793999999998E-2</v>
      </c>
      <c r="E244" s="30">
        <v>2.9267332E-2</v>
      </c>
      <c r="F244" s="30">
        <v>2.5939804E-2</v>
      </c>
      <c r="G244" s="30">
        <v>2.5282949999999998E-2</v>
      </c>
      <c r="H244" s="31">
        <f t="shared" si="47"/>
        <v>0.99152483344208509</v>
      </c>
      <c r="I244" s="31">
        <f t="shared" si="48"/>
        <v>0.98404229808008903</v>
      </c>
      <c r="J244" s="31">
        <f t="shared" si="49"/>
        <v>0.97115680846905095</v>
      </c>
      <c r="K244" s="31">
        <f t="shared" si="50"/>
        <v>0.94944316532399986</v>
      </c>
      <c r="L244" s="31">
        <f t="shared" si="51"/>
        <v>0.88124927284184917</v>
      </c>
      <c r="M244" s="30">
        <f t="shared" si="52"/>
        <v>1.8845999999988344E-5</v>
      </c>
      <c r="N244" s="30">
        <f t="shared" si="54"/>
        <v>2.7571699999996918E-4</v>
      </c>
      <c r="O244" s="30">
        <f t="shared" si="55"/>
        <v>1.2069759999999948E-3</v>
      </c>
      <c r="P244" s="30">
        <f t="shared" si="56"/>
        <v>3.4046200000001172E-3</v>
      </c>
      <c r="Q244" s="30">
        <f t="shared" si="57"/>
        <v>3.9682799999999482E-3</v>
      </c>
      <c r="R244" s="30">
        <f t="shared" si="53"/>
        <v>3.4631308931326377E-2</v>
      </c>
      <c r="S244" s="30">
        <f t="shared" si="58"/>
        <v>3.2695933550151324E-2</v>
      </c>
      <c r="T244" s="30">
        <f t="shared" si="59"/>
        <v>2.9699829398733169E-2</v>
      </c>
      <c r="U244" s="30">
        <f t="shared" si="60"/>
        <v>2.6279168713173595E-2</v>
      </c>
      <c r="V244" s="30">
        <f t="shared" si="61"/>
        <v>2.5605274485376972E-2</v>
      </c>
    </row>
    <row r="245" spans="1:22" s="29" customFormat="1" ht="20" customHeight="1" x14ac:dyDescent="0.35">
      <c r="A245" s="131"/>
      <c r="B245" s="28">
        <v>45516</v>
      </c>
      <c r="C245" s="30">
        <v>3.3980763999999997E-2</v>
      </c>
      <c r="D245" s="30">
        <v>3.2190722000000005E-2</v>
      </c>
      <c r="E245" s="30">
        <v>2.9382642E-2</v>
      </c>
      <c r="F245" s="30">
        <v>2.6084790000000004E-2</v>
      </c>
      <c r="G245" s="30">
        <v>2.5197790000000001E-2</v>
      </c>
      <c r="H245" s="31">
        <f t="shared" si="47"/>
        <v>0.991540791171166</v>
      </c>
      <c r="I245" s="31">
        <f t="shared" si="48"/>
        <v>0.98403347716446443</v>
      </c>
      <c r="J245" s="31">
        <f t="shared" si="49"/>
        <v>0.97104483083366111</v>
      </c>
      <c r="K245" s="31">
        <f t="shared" si="50"/>
        <v>0.94916789330298257</v>
      </c>
      <c r="L245" s="31">
        <f t="shared" si="51"/>
        <v>0.88162458868129689</v>
      </c>
      <c r="M245" s="30">
        <f t="shared" si="52"/>
        <v>1.6093999999979399E-5</v>
      </c>
      <c r="N245" s="30">
        <f t="shared" si="54"/>
        <v>-8.964000000054887E-6</v>
      </c>
      <c r="O245" s="30">
        <f t="shared" si="55"/>
        <v>-1.1530999999986155E-4</v>
      </c>
      <c r="P245" s="30">
        <f t="shared" si="56"/>
        <v>-2.8997200000005258E-4</v>
      </c>
      <c r="Q245" s="30">
        <f t="shared" si="57"/>
        <v>4.2579999999996237E-4</v>
      </c>
      <c r="R245" s="30">
        <f t="shared" si="53"/>
        <v>3.4564705650032002E-2</v>
      </c>
      <c r="S245" s="30">
        <f t="shared" si="58"/>
        <v>3.271444788880995E-2</v>
      </c>
      <c r="T245" s="30">
        <f t="shared" si="59"/>
        <v>2.981857093197271E-2</v>
      </c>
      <c r="U245" s="30">
        <f t="shared" si="60"/>
        <v>2.6427975611926557E-2</v>
      </c>
      <c r="V245" s="30">
        <f t="shared" si="61"/>
        <v>2.5517937659056633E-2</v>
      </c>
    </row>
    <row r="246" spans="1:22" s="29" customFormat="1" ht="20" customHeight="1" x14ac:dyDescent="0.35">
      <c r="A246" s="131"/>
      <c r="B246" s="28">
        <v>45523</v>
      </c>
      <c r="C246" s="30">
        <v>3.3550631999999997E-2</v>
      </c>
      <c r="D246" s="30">
        <v>3.1859605999999999E-2</v>
      </c>
      <c r="E246" s="30">
        <v>2.9204042E-2</v>
      </c>
      <c r="F246" s="30">
        <v>2.6081478000000002E-2</v>
      </c>
      <c r="G246" s="30">
        <v>2.5275664E-2</v>
      </c>
      <c r="H246" s="31">
        <f t="shared" si="47"/>
        <v>0.99164742026003316</v>
      </c>
      <c r="I246" s="31">
        <f t="shared" si="48"/>
        <v>0.98419640526552987</v>
      </c>
      <c r="J246" s="31">
        <f t="shared" si="49"/>
        <v>0.97121827492854462</v>
      </c>
      <c r="K246" s="31">
        <f t="shared" si="50"/>
        <v>0.94917418061193137</v>
      </c>
      <c r="L246" s="31">
        <f t="shared" si="51"/>
        <v>0.88128137733763867</v>
      </c>
      <c r="M246" s="30">
        <f t="shared" si="52"/>
        <v>1.0753300000001057E-4</v>
      </c>
      <c r="N246" s="30">
        <f t="shared" si="54"/>
        <v>1.6555800000001486E-4</v>
      </c>
      <c r="O246" s="30">
        <f t="shared" si="55"/>
        <v>1.7859999999997867E-4</v>
      </c>
      <c r="P246" s="30">
        <f t="shared" si="56"/>
        <v>6.6240000000027923E-6</v>
      </c>
      <c r="Q246" s="30">
        <f t="shared" si="57"/>
        <v>-3.8937000000002742E-4</v>
      </c>
      <c r="R246" s="30">
        <f t="shared" si="53"/>
        <v>3.4119801954578977E-2</v>
      </c>
      <c r="S246" s="30">
        <f t="shared" si="58"/>
        <v>3.2372556217707738E-2</v>
      </c>
      <c r="T246" s="30">
        <f t="shared" si="59"/>
        <v>2.9634661758782155E-2</v>
      </c>
      <c r="U246" s="30">
        <f t="shared" si="60"/>
        <v>2.6424576088101004E-2</v>
      </c>
      <c r="V246" s="30">
        <f t="shared" si="61"/>
        <v>2.5597801952569554E-2</v>
      </c>
    </row>
    <row r="247" spans="1:22" s="29" customFormat="1" ht="20" customHeight="1" x14ac:dyDescent="0.35">
      <c r="A247" s="131"/>
      <c r="B247" s="28">
        <v>45530</v>
      </c>
      <c r="C247" s="30">
        <v>3.3563071999999999E-2</v>
      </c>
      <c r="D247" s="30">
        <v>3.1756522000000002E-2</v>
      </c>
      <c r="E247" s="30">
        <v>2.8974666E-2</v>
      </c>
      <c r="F247" s="30">
        <v>2.5852613999999999E-2</v>
      </c>
      <c r="G247" s="30">
        <v>2.5499396000000004E-2</v>
      </c>
      <c r="H247" s="31">
        <f t="shared" si="47"/>
        <v>0.99164433624135184</v>
      </c>
      <c r="I247" s="31">
        <f t="shared" si="48"/>
        <v>0.98424713402396968</v>
      </c>
      <c r="J247" s="31">
        <f t="shared" si="49"/>
        <v>0.97144107464305141</v>
      </c>
      <c r="K247" s="31">
        <f t="shared" si="50"/>
        <v>0.94960874365952452</v>
      </c>
      <c r="L247" s="31">
        <f t="shared" si="51"/>
        <v>0.8802960743243512</v>
      </c>
      <c r="M247" s="30">
        <f t="shared" si="52"/>
        <v>-3.1099999999973703E-6</v>
      </c>
      <c r="N247" s="30">
        <f t="shared" si="54"/>
        <v>5.1541999999995205E-5</v>
      </c>
      <c r="O247" s="30">
        <f t="shared" si="55"/>
        <v>2.2937600000000078E-4</v>
      </c>
      <c r="P247" s="30">
        <f t="shared" si="56"/>
        <v>4.577280000000583E-4</v>
      </c>
      <c r="Q247" s="30">
        <f t="shared" si="57"/>
        <v>-1.118660000000102E-3</v>
      </c>
      <c r="R247" s="30">
        <f t="shared" si="53"/>
        <v>3.4132666484932628E-2</v>
      </c>
      <c r="S247" s="30">
        <f t="shared" si="58"/>
        <v>3.2266140610090144E-2</v>
      </c>
      <c r="T247" s="30">
        <f t="shared" si="59"/>
        <v>2.9398515362799804E-2</v>
      </c>
      <c r="U247" s="30">
        <f t="shared" si="60"/>
        <v>2.6189691333276643E-2</v>
      </c>
      <c r="V247" s="30">
        <f t="shared" si="61"/>
        <v>2.5827286670576211E-2</v>
      </c>
    </row>
    <row r="248" spans="1:22" s="29" customFormat="1" ht="20" customHeight="1" x14ac:dyDescent="0.35">
      <c r="A248" s="131"/>
      <c r="B248" s="28">
        <v>45537</v>
      </c>
      <c r="C248" s="30">
        <v>3.3562434000000002E-2</v>
      </c>
      <c r="D248" s="30">
        <v>3.1621304000000003E-2</v>
      </c>
      <c r="E248" s="30">
        <v>2.8663264000000001E-2</v>
      </c>
      <c r="F248" s="30">
        <v>2.5416670000000002E-2</v>
      </c>
      <c r="G248" s="30">
        <v>2.5173852000000007E-2</v>
      </c>
      <c r="H248" s="31">
        <f t="shared" si="47"/>
        <v>0.99164449440863611</v>
      </c>
      <c r="I248" s="31">
        <f t="shared" si="48"/>
        <v>0.98431368023799004</v>
      </c>
      <c r="J248" s="31">
        <f t="shared" si="49"/>
        <v>0.971743630442373</v>
      </c>
      <c r="K248" s="31">
        <f t="shared" si="50"/>
        <v>0.95043705717365012</v>
      </c>
      <c r="L248" s="31">
        <f t="shared" si="51"/>
        <v>0.88173011664351109</v>
      </c>
      <c r="M248" s="30">
        <f t="shared" si="52"/>
        <v>1.5950000003287429E-7</v>
      </c>
      <c r="N248" s="30">
        <f t="shared" si="54"/>
        <v>6.7609000000055602E-5</v>
      </c>
      <c r="O248" s="30">
        <f t="shared" si="55"/>
        <v>3.1140200000004647E-4</v>
      </c>
      <c r="P248" s="30">
        <f t="shared" si="56"/>
        <v>8.718880000000731E-4</v>
      </c>
      <c r="Q248" s="30">
        <f t="shared" si="57"/>
        <v>1.6277200000000083E-3</v>
      </c>
      <c r="R248" s="30">
        <f t="shared" si="53"/>
        <v>3.4132006708501805E-2</v>
      </c>
      <c r="S248" s="30">
        <f t="shared" si="58"/>
        <v>3.2126569083593015E-2</v>
      </c>
      <c r="T248" s="30">
        <f t="shared" si="59"/>
        <v>2.9078008512146036E-2</v>
      </c>
      <c r="U248" s="30">
        <f t="shared" si="60"/>
        <v>2.5742427592533534E-2</v>
      </c>
      <c r="V248" s="30">
        <f t="shared" si="61"/>
        <v>2.5493389104487951E-2</v>
      </c>
    </row>
    <row r="249" spans="1:22" s="29" customFormat="1" ht="20" customHeight="1" x14ac:dyDescent="0.35">
      <c r="A249" s="131"/>
      <c r="B249" s="28">
        <v>45544</v>
      </c>
      <c r="C249" s="30">
        <v>3.3521872000000001E-2</v>
      </c>
      <c r="D249" s="30">
        <v>3.1177908000000004E-2</v>
      </c>
      <c r="E249" s="30">
        <v>2.7678009999999999E-2</v>
      </c>
      <c r="F249" s="30">
        <v>2.4000759999999999E-2</v>
      </c>
      <c r="G249" s="30">
        <v>2.3968280000000002E-2</v>
      </c>
      <c r="H249" s="31">
        <f t="shared" si="47"/>
        <v>0.9916545502306171</v>
      </c>
      <c r="I249" s="31">
        <f t="shared" si="48"/>
        <v>0.98453192480356944</v>
      </c>
      <c r="J249" s="31">
        <f t="shared" si="49"/>
        <v>0.97270151654431058</v>
      </c>
      <c r="K249" s="31">
        <f t="shared" si="50"/>
        <v>0.95313233831524946</v>
      </c>
      <c r="L249" s="31">
        <f t="shared" si="51"/>
        <v>0.88706111345379113</v>
      </c>
      <c r="M249" s="30">
        <f t="shared" si="52"/>
        <v>1.0140499999972658E-5</v>
      </c>
      <c r="N249" s="30">
        <f t="shared" si="54"/>
        <v>2.2169799999996109E-4</v>
      </c>
      <c r="O249" s="30">
        <f t="shared" si="55"/>
        <v>9.8525399999991508E-4</v>
      </c>
      <c r="P249" s="30">
        <f t="shared" si="56"/>
        <v>2.831819999999965E-3</v>
      </c>
      <c r="Q249" s="30">
        <f t="shared" si="57"/>
        <v>6.027859999999872E-3</v>
      </c>
      <c r="R249" s="30">
        <f t="shared" si="53"/>
        <v>3.4090061096750279E-2</v>
      </c>
      <c r="S249" s="30">
        <f t="shared" si="58"/>
        <v>3.1669029734422427E-2</v>
      </c>
      <c r="T249" s="30">
        <f t="shared" si="59"/>
        <v>2.8064604600054555E-2</v>
      </c>
      <c r="U249" s="30">
        <f t="shared" si="60"/>
        <v>2.4291096351559016E-2</v>
      </c>
      <c r="V249" s="30">
        <f t="shared" si="61"/>
        <v>2.4257827917031793E-2</v>
      </c>
    </row>
    <row r="250" spans="1:22" s="29" customFormat="1" ht="20" customHeight="1" x14ac:dyDescent="0.35">
      <c r="A250" s="131"/>
      <c r="B250" s="28">
        <v>45551</v>
      </c>
      <c r="C250" s="30">
        <v>3.3310622000000005E-2</v>
      </c>
      <c r="D250" s="30">
        <v>3.0916570000000001E-2</v>
      </c>
      <c r="E250" s="30">
        <v>2.7413104000000001E-2</v>
      </c>
      <c r="F250" s="30">
        <v>2.3902843999999996E-2</v>
      </c>
      <c r="G250" s="30">
        <v>2.4269998000000001E-2</v>
      </c>
      <c r="H250" s="31">
        <f t="shared" si="47"/>
        <v>0.99170692336951716</v>
      </c>
      <c r="I250" s="31">
        <f t="shared" si="48"/>
        <v>0.9846605810111575</v>
      </c>
      <c r="J250" s="31">
        <f t="shared" si="49"/>
        <v>0.97295922514502242</v>
      </c>
      <c r="K250" s="31">
        <f t="shared" si="50"/>
        <v>0.95331901040491418</v>
      </c>
      <c r="L250" s="31">
        <f t="shared" si="51"/>
        <v>0.88572391082750623</v>
      </c>
      <c r="M250" s="30">
        <f t="shared" si="52"/>
        <v>5.2812499999913138E-5</v>
      </c>
      <c r="N250" s="30">
        <f t="shared" si="54"/>
        <v>1.3066899999992961E-4</v>
      </c>
      <c r="O250" s="30">
        <f t="shared" si="55"/>
        <v>2.6490599999982173E-4</v>
      </c>
      <c r="P250" s="30">
        <f t="shared" si="56"/>
        <v>1.9583199999993059E-4</v>
      </c>
      <c r="Q250" s="30">
        <f t="shared" si="57"/>
        <v>-1.5085900000000303E-3</v>
      </c>
      <c r="R250" s="30">
        <f t="shared" si="53"/>
        <v>3.3871632643661442E-2</v>
      </c>
      <c r="S250" s="30">
        <f t="shared" si="58"/>
        <v>3.1399450640694493E-2</v>
      </c>
      <c r="T250" s="30">
        <f t="shared" si="59"/>
        <v>2.7792300187037045E-2</v>
      </c>
      <c r="U250" s="30">
        <f t="shared" si="60"/>
        <v>2.4190806774625706E-2</v>
      </c>
      <c r="V250" s="30">
        <f t="shared" si="61"/>
        <v>2.4566911566060723E-2</v>
      </c>
    </row>
    <row r="251" spans="1:22" s="29" customFormat="1" ht="20" customHeight="1" x14ac:dyDescent="0.35">
      <c r="A251" s="131"/>
      <c r="B251" s="28">
        <v>45558</v>
      </c>
      <c r="C251" s="30">
        <v>3.2583191999999997E-2</v>
      </c>
      <c r="D251" s="30">
        <v>2.9945816E-2</v>
      </c>
      <c r="E251" s="30">
        <v>2.6192561999999996E-2</v>
      </c>
      <c r="F251" s="30">
        <v>2.2692855999999997E-2</v>
      </c>
      <c r="G251" s="30">
        <v>2.3767155999999998E-2</v>
      </c>
      <c r="H251" s="31">
        <f t="shared" si="47"/>
        <v>0.99188728911126822</v>
      </c>
      <c r="I251" s="31">
        <f t="shared" si="48"/>
        <v>0.98513862861725809</v>
      </c>
      <c r="J251" s="31">
        <f t="shared" si="49"/>
        <v>0.97414748775829751</v>
      </c>
      <c r="K251" s="31">
        <f t="shared" si="50"/>
        <v>0.95562881323690863</v>
      </c>
      <c r="L251" s="31">
        <f t="shared" si="51"/>
        <v>0.88795360853093941</v>
      </c>
      <c r="M251" s="30">
        <f t="shared" si="52"/>
        <v>1.8185749999998773E-4</v>
      </c>
      <c r="N251" s="30">
        <f t="shared" si="54"/>
        <v>4.8537700000002195E-4</v>
      </c>
      <c r="O251" s="30">
        <f t="shared" si="55"/>
        <v>1.2205420000000551E-3</v>
      </c>
      <c r="P251" s="30">
        <f t="shared" si="56"/>
        <v>2.4199760000001044E-3</v>
      </c>
      <c r="Q251" s="30">
        <f t="shared" si="57"/>
        <v>2.5142100000000137E-3</v>
      </c>
      <c r="R251" s="30">
        <f t="shared" si="53"/>
        <v>3.3119836874476949E-2</v>
      </c>
      <c r="S251" s="30">
        <f t="shared" si="58"/>
        <v>3.0398701317680521E-2</v>
      </c>
      <c r="T251" s="30">
        <f t="shared" si="59"/>
        <v>2.653860176880829E-2</v>
      </c>
      <c r="U251" s="30">
        <f t="shared" si="60"/>
        <v>2.2952297630424834E-2</v>
      </c>
      <c r="V251" s="30">
        <f t="shared" si="61"/>
        <v>2.4051845800317828E-2</v>
      </c>
    </row>
    <row r="252" spans="1:22" s="29" customFormat="1" ht="20" customHeight="1" x14ac:dyDescent="0.35">
      <c r="A252" s="131"/>
      <c r="B252" s="28">
        <v>45565</v>
      </c>
      <c r="C252" s="30">
        <v>3.2254051999999998E-2</v>
      </c>
      <c r="D252" s="30">
        <v>2.9371241999999995E-2</v>
      </c>
      <c r="E252" s="30">
        <v>2.5407286000000001E-2</v>
      </c>
      <c r="F252" s="30">
        <v>2.1997233999999997E-2</v>
      </c>
      <c r="G252" s="30">
        <v>2.3494250000000001E-2</v>
      </c>
      <c r="H252" s="31">
        <f t="shared" si="47"/>
        <v>0.99196890991489062</v>
      </c>
      <c r="I252" s="31">
        <f t="shared" si="48"/>
        <v>0.98542168679597841</v>
      </c>
      <c r="J252" s="31">
        <f t="shared" si="49"/>
        <v>0.97491276283764494</v>
      </c>
      <c r="K252" s="31">
        <f t="shared" si="50"/>
        <v>0.95695925135698234</v>
      </c>
      <c r="L252" s="31">
        <f t="shared" si="51"/>
        <v>0.88916607490362942</v>
      </c>
      <c r="M252" s="30">
        <f t="shared" si="52"/>
        <v>8.2284999999922333E-5</v>
      </c>
      <c r="N252" s="30">
        <f t="shared" si="54"/>
        <v>2.872870000001352E-4</v>
      </c>
      <c r="O252" s="30">
        <f t="shared" si="55"/>
        <v>7.8527600000004977E-4</v>
      </c>
      <c r="P252" s="30">
        <f t="shared" si="56"/>
        <v>1.3912439999999309E-3</v>
      </c>
      <c r="Q252" s="30">
        <f t="shared" si="57"/>
        <v>1.3645300000000697E-3</v>
      </c>
      <c r="R252" s="30">
        <f t="shared" si="53"/>
        <v>3.2779851765786683E-2</v>
      </c>
      <c r="S252" s="30">
        <f t="shared" si="58"/>
        <v>2.9806831067181294E-2</v>
      </c>
      <c r="T252" s="30">
        <f t="shared" si="59"/>
        <v>2.5732802070756122E-2</v>
      </c>
      <c r="U252" s="30">
        <f t="shared" si="60"/>
        <v>2.2240956948040846E-2</v>
      </c>
      <c r="V252" s="30">
        <f t="shared" si="61"/>
        <v>2.3772414038324197E-2</v>
      </c>
    </row>
    <row r="253" spans="1:22" s="29" customFormat="1" ht="20" customHeight="1" x14ac:dyDescent="0.35">
      <c r="A253" s="131"/>
      <c r="B253" s="28">
        <v>45572</v>
      </c>
      <c r="C253" s="30">
        <v>3.2171067999999997E-2</v>
      </c>
      <c r="D253" s="30">
        <v>2.9755368000000001E-2</v>
      </c>
      <c r="E253" s="30">
        <v>2.6432545999999998E-2</v>
      </c>
      <c r="F253" s="30">
        <v>2.3581826E-2</v>
      </c>
      <c r="G253" s="30">
        <v>2.5006166E-2</v>
      </c>
      <c r="H253" s="31">
        <f t="shared" si="47"/>
        <v>0.99198948951536714</v>
      </c>
      <c r="I253" s="31">
        <f t="shared" si="48"/>
        <v>0.98523244192459791</v>
      </c>
      <c r="J253" s="31">
        <f t="shared" si="49"/>
        <v>0.97391373599705855</v>
      </c>
      <c r="K253" s="31">
        <f t="shared" si="50"/>
        <v>0.95393127205505723</v>
      </c>
      <c r="L253" s="31">
        <f t="shared" si="51"/>
        <v>0.88246969562448618</v>
      </c>
      <c r="M253" s="30">
        <f t="shared" si="52"/>
        <v>2.0746000000016654E-5</v>
      </c>
      <c r="N253" s="30">
        <f t="shared" si="54"/>
        <v>-1.9206300000000273E-4</v>
      </c>
      <c r="O253" s="30">
        <f t="shared" si="55"/>
        <v>-1.0252599999999777E-3</v>
      </c>
      <c r="P253" s="30">
        <f t="shared" si="56"/>
        <v>-3.1691839999999621E-3</v>
      </c>
      <c r="Q253" s="30">
        <f t="shared" si="57"/>
        <v>-7.5595800000000215E-3</v>
      </c>
      <c r="R253" s="30">
        <f t="shared" si="53"/>
        <v>3.2694151118508152E-2</v>
      </c>
      <c r="S253" s="30">
        <f t="shared" si="58"/>
        <v>3.0202482631133343E-2</v>
      </c>
      <c r="T253" s="30">
        <f t="shared" si="59"/>
        <v>2.678498417134989E-2</v>
      </c>
      <c r="U253" s="30">
        <f t="shared" si="60"/>
        <v>2.3862075857310483E-2</v>
      </c>
      <c r="V253" s="30">
        <f t="shared" si="61"/>
        <v>2.5321442636953018E-2</v>
      </c>
    </row>
    <row r="254" spans="1:22" s="29" customFormat="1" ht="20" customHeight="1" x14ac:dyDescent="0.35">
      <c r="A254" s="131"/>
      <c r="B254" s="28">
        <v>45579</v>
      </c>
      <c r="C254" s="30">
        <v>3.1203115999999999E-2</v>
      </c>
      <c r="D254" s="30">
        <v>2.9020140000000003E-2</v>
      </c>
      <c r="E254" s="30">
        <v>2.5907835999999997E-2</v>
      </c>
      <c r="F254" s="30">
        <v>2.3010358000000002E-2</v>
      </c>
      <c r="G254" s="30">
        <v>2.4099828E-2</v>
      </c>
      <c r="H254" s="31">
        <f t="shared" si="47"/>
        <v>0.99222956811485452</v>
      </c>
      <c r="I254" s="31">
        <f t="shared" si="48"/>
        <v>0.98559469374384412</v>
      </c>
      <c r="J254" s="31">
        <f t="shared" si="49"/>
        <v>0.97442489236617513</v>
      </c>
      <c r="K254" s="31">
        <f t="shared" si="50"/>
        <v>0.9550221777463539</v>
      </c>
      <c r="L254" s="31">
        <f t="shared" si="51"/>
        <v>0.8864778497160013</v>
      </c>
      <c r="M254" s="30">
        <f t="shared" si="52"/>
        <v>2.4198799999995097E-4</v>
      </c>
      <c r="N254" s="30">
        <f t="shared" si="54"/>
        <v>3.6761399999997809E-4</v>
      </c>
      <c r="O254" s="30">
        <f t="shared" si="55"/>
        <v>5.2470999999998987E-4</v>
      </c>
      <c r="P254" s="30">
        <f t="shared" si="56"/>
        <v>1.1429359999999315E-3</v>
      </c>
      <c r="Q254" s="30">
        <f t="shared" si="57"/>
        <v>4.5316900000000214E-3</v>
      </c>
      <c r="R254" s="30">
        <f t="shared" si="53"/>
        <v>3.1695036375110286E-2</v>
      </c>
      <c r="S254" s="30">
        <f t="shared" si="58"/>
        <v>2.9445327295242407E-2</v>
      </c>
      <c r="T254" s="30">
        <f t="shared" si="59"/>
        <v>2.6246361145107144E-2</v>
      </c>
      <c r="U254" s="30">
        <f t="shared" si="60"/>
        <v>2.3277138596926594E-2</v>
      </c>
      <c r="V254" s="30">
        <f t="shared" si="61"/>
        <v>2.4392575848494635E-2</v>
      </c>
    </row>
    <row r="255" spans="1:22" s="29" customFormat="1" ht="20" customHeight="1" x14ac:dyDescent="0.35">
      <c r="A255" s="131"/>
      <c r="B255" s="28">
        <v>45586</v>
      </c>
      <c r="C255" s="30">
        <v>3.0725625999999999E-2</v>
      </c>
      <c r="D255" s="30">
        <v>2.8326134000000006E-2</v>
      </c>
      <c r="E255" s="30">
        <v>2.5108912000000004E-2</v>
      </c>
      <c r="F255" s="30">
        <v>2.2559401999999999E-2</v>
      </c>
      <c r="G255" s="30">
        <v>2.4565595999999999E-2</v>
      </c>
      <c r="H255" s="31">
        <f t="shared" si="47"/>
        <v>0.99234802010878898</v>
      </c>
      <c r="I255" s="31">
        <f t="shared" si="48"/>
        <v>0.98593675740448317</v>
      </c>
      <c r="J255" s="31">
        <f t="shared" si="49"/>
        <v>0.97520369485946101</v>
      </c>
      <c r="K255" s="31">
        <f t="shared" si="50"/>
        <v>0.95588391225466185</v>
      </c>
      <c r="L255" s="31">
        <f t="shared" si="51"/>
        <v>0.88441578667987497</v>
      </c>
      <c r="M255" s="30">
        <f t="shared" si="52"/>
        <v>1.1937249999999031E-4</v>
      </c>
      <c r="N255" s="30">
        <f t="shared" si="54"/>
        <v>3.4700299999988439E-4</v>
      </c>
      <c r="O255" s="30">
        <f t="shared" si="55"/>
        <v>7.9892400000007547E-4</v>
      </c>
      <c r="P255" s="30">
        <f t="shared" si="56"/>
        <v>9.0191199999985097E-4</v>
      </c>
      <c r="Q255" s="30">
        <f t="shared" si="57"/>
        <v>-2.3288400000000269E-3</v>
      </c>
      <c r="R255" s="30">
        <f t="shared" si="53"/>
        <v>3.1202529905006271E-2</v>
      </c>
      <c r="S255" s="30">
        <f t="shared" si="58"/>
        <v>2.8731133917337726E-2</v>
      </c>
      <c r="T255" s="30">
        <f t="shared" si="59"/>
        <v>2.5426795726109841E-2</v>
      </c>
      <c r="U255" s="30">
        <f t="shared" si="60"/>
        <v>2.2815789663466646E-2</v>
      </c>
      <c r="V255" s="30">
        <f t="shared" si="61"/>
        <v>2.4869816262791389E-2</v>
      </c>
    </row>
    <row r="256" spans="1:22" s="29" customFormat="1" ht="20" customHeight="1" x14ac:dyDescent="0.35">
      <c r="A256" s="131"/>
      <c r="B256" s="28">
        <v>45593</v>
      </c>
      <c r="C256" s="30">
        <v>3.0375230000000003E-2</v>
      </c>
      <c r="D256" s="30">
        <v>2.8191984000000003E-2</v>
      </c>
      <c r="E256" s="30">
        <v>2.5397256E-2</v>
      </c>
      <c r="F256" s="30">
        <v>2.3427410000000003E-2</v>
      </c>
      <c r="G256" s="30">
        <v>2.5578011999999997E-2</v>
      </c>
      <c r="H256" s="31">
        <f t="shared" si="47"/>
        <v>0.99243495261054693</v>
      </c>
      <c r="I256" s="31">
        <f t="shared" si="48"/>
        <v>0.98600289133042784</v>
      </c>
      <c r="J256" s="31">
        <f t="shared" si="49"/>
        <v>0.97492254126169486</v>
      </c>
      <c r="K256" s="31">
        <f t="shared" si="50"/>
        <v>0.95422592205400081</v>
      </c>
      <c r="L256" s="31">
        <f t="shared" si="51"/>
        <v>0.87995011554264935</v>
      </c>
      <c r="M256" s="30">
        <f t="shared" si="52"/>
        <v>8.7598999999907558E-5</v>
      </c>
      <c r="N256" s="30">
        <f t="shared" si="54"/>
        <v>6.7074999999997863E-5</v>
      </c>
      <c r="O256" s="30">
        <f t="shared" si="55"/>
        <v>-2.8834400000012311E-4</v>
      </c>
      <c r="P256" s="30">
        <f t="shared" si="56"/>
        <v>-1.7360159999999796E-3</v>
      </c>
      <c r="Q256" s="30">
        <f t="shared" si="57"/>
        <v>-5.0620800000000504E-3</v>
      </c>
      <c r="R256" s="30">
        <f t="shared" si="53"/>
        <v>3.0841263960104781E-2</v>
      </c>
      <c r="S256" s="30">
        <f t="shared" si="58"/>
        <v>2.8593138891946035E-2</v>
      </c>
      <c r="T256" s="30">
        <f t="shared" si="59"/>
        <v>2.5722514022346044E-2</v>
      </c>
      <c r="U256" s="30">
        <f t="shared" si="60"/>
        <v>2.3703987377014402E-2</v>
      </c>
      <c r="V256" s="30">
        <f t="shared" si="61"/>
        <v>2.5907936278678489E-2</v>
      </c>
    </row>
    <row r="257" spans="1:22" s="29" customFormat="1" ht="20" customHeight="1" x14ac:dyDescent="0.35">
      <c r="A257" s="131"/>
      <c r="B257" s="28">
        <v>45600</v>
      </c>
      <c r="C257" s="30">
        <v>2.9830493999999999E-2</v>
      </c>
      <c r="D257" s="30">
        <v>2.8033044E-2</v>
      </c>
      <c r="E257" s="30">
        <v>2.5662778000000004E-2</v>
      </c>
      <c r="F257" s="30">
        <v>2.3925214E-2</v>
      </c>
      <c r="G257" s="30">
        <v>2.6143611999999997E-2</v>
      </c>
      <c r="H257" s="31">
        <f t="shared" si="47"/>
        <v>0.99257011557544095</v>
      </c>
      <c r="I257" s="31">
        <f t="shared" si="48"/>
        <v>0.98608125209382558</v>
      </c>
      <c r="J257" s="31">
        <f t="shared" si="49"/>
        <v>0.97466371224261406</v>
      </c>
      <c r="K257" s="31">
        <f t="shared" si="50"/>
        <v>0.95327635986648829</v>
      </c>
      <c r="L257" s="31">
        <f t="shared" si="51"/>
        <v>0.87746513203872445</v>
      </c>
      <c r="M257" s="30">
        <f t="shared" si="52"/>
        <v>1.3618399999992649E-4</v>
      </c>
      <c r="N257" s="30">
        <f t="shared" si="54"/>
        <v>7.9470000000094512E-5</v>
      </c>
      <c r="O257" s="30">
        <f t="shared" si="55"/>
        <v>-2.6552200000002317E-4</v>
      </c>
      <c r="P257" s="30">
        <f t="shared" si="56"/>
        <v>-9.9560799999998464E-4</v>
      </c>
      <c r="Q257" s="30">
        <f t="shared" si="57"/>
        <v>-2.8279999999999712E-3</v>
      </c>
      <c r="R257" s="30">
        <f t="shared" si="53"/>
        <v>3.0279880530104331E-2</v>
      </c>
      <c r="S257" s="30">
        <f t="shared" si="58"/>
        <v>2.8429667289882943E-2</v>
      </c>
      <c r="T257" s="30">
        <f t="shared" si="59"/>
        <v>2.599490207662436E-2</v>
      </c>
      <c r="U257" s="30">
        <f t="shared" si="60"/>
        <v>2.4213718179236565E-2</v>
      </c>
      <c r="V257" s="30">
        <f t="shared" si="61"/>
        <v>2.6488353934077447E-2</v>
      </c>
    </row>
    <row r="258" spans="1:22" s="29" customFormat="1" ht="20" customHeight="1" x14ac:dyDescent="0.35">
      <c r="A258" s="131"/>
      <c r="B258" s="28">
        <v>45607</v>
      </c>
      <c r="C258" s="30">
        <v>2.9494418000000001E-2</v>
      </c>
      <c r="D258" s="30">
        <v>2.7384759999999998E-2</v>
      </c>
      <c r="E258" s="30">
        <v>2.4705057999999998E-2</v>
      </c>
      <c r="F258" s="30">
        <v>2.2915061999999996E-2</v>
      </c>
      <c r="G258" s="30">
        <v>2.5452140000000002E-2</v>
      </c>
      <c r="H258" s="31">
        <f t="shared" si="47"/>
        <v>0.99265351382745137</v>
      </c>
      <c r="I258" s="31">
        <f t="shared" si="48"/>
        <v>0.9864009342514497</v>
      </c>
      <c r="J258" s="31">
        <f t="shared" si="49"/>
        <v>0.97559761431006375</v>
      </c>
      <c r="K258" s="31">
        <f t="shared" si="50"/>
        <v>0.95520421468009553</v>
      </c>
      <c r="L258" s="31">
        <f t="shared" si="51"/>
        <v>0.88050409525541762</v>
      </c>
      <c r="M258" s="30">
        <f t="shared" si="52"/>
        <v>8.4019000000159889E-5</v>
      </c>
      <c r="N258" s="30">
        <f t="shared" si="54"/>
        <v>3.2414200000008611E-4</v>
      </c>
      <c r="O258" s="30">
        <f t="shared" si="55"/>
        <v>9.5772000000004826E-4</v>
      </c>
      <c r="P258" s="30">
        <f t="shared" si="56"/>
        <v>2.0203040000001155E-3</v>
      </c>
      <c r="Q258" s="30">
        <f t="shared" si="57"/>
        <v>3.4573600000000308E-3</v>
      </c>
      <c r="R258" s="30">
        <f t="shared" si="53"/>
        <v>2.9933686366008683E-2</v>
      </c>
      <c r="S258" s="30">
        <f t="shared" si="58"/>
        <v>2.7763168854931797E-2</v>
      </c>
      <c r="T258" s="30">
        <f t="shared" si="59"/>
        <v>2.5012756624249732E-2</v>
      </c>
      <c r="U258" s="30">
        <f t="shared" si="60"/>
        <v>2.3179629024936643E-2</v>
      </c>
      <c r="V258" s="30">
        <f t="shared" si="61"/>
        <v>2.57788113217019E-2</v>
      </c>
    </row>
    <row r="259" spans="1:22" s="29" customFormat="1" ht="20" customHeight="1" x14ac:dyDescent="0.35">
      <c r="A259" s="131"/>
      <c r="B259" s="28">
        <v>45614</v>
      </c>
      <c r="C259" s="30">
        <v>2.8992707999999999E-2</v>
      </c>
      <c r="D259" s="30">
        <v>2.6845491999999999E-2</v>
      </c>
      <c r="E259" s="30">
        <v>2.4210389999999998E-2</v>
      </c>
      <c r="F259" s="30">
        <v>2.2619315999999997E-2</v>
      </c>
      <c r="G259" s="30">
        <v>2.5290653999999999E-2</v>
      </c>
      <c r="H259" s="31">
        <f t="shared" si="47"/>
        <v>0.99277802768462464</v>
      </c>
      <c r="I259" s="31">
        <f t="shared" si="48"/>
        <v>0.98666693734108257</v>
      </c>
      <c r="J259" s="31">
        <f t="shared" si="49"/>
        <v>0.97608033061305011</v>
      </c>
      <c r="K259" s="31">
        <f t="shared" si="50"/>
        <v>0.955769377459599</v>
      </c>
      <c r="L259" s="31">
        <f t="shared" si="51"/>
        <v>0.88121532777364553</v>
      </c>
      <c r="M259" s="30">
        <f t="shared" si="52"/>
        <v>1.2542750000002397E-4</v>
      </c>
      <c r="N259" s="30">
        <f t="shared" si="54"/>
        <v>2.6963400000004184E-4</v>
      </c>
      <c r="O259" s="30">
        <f t="shared" si="55"/>
        <v>4.9466800000009495E-4</v>
      </c>
      <c r="P259" s="30">
        <f t="shared" si="56"/>
        <v>5.9149199999999858E-4</v>
      </c>
      <c r="Q259" s="30">
        <f t="shared" si="57"/>
        <v>8.0743000000010217E-4</v>
      </c>
      <c r="R259" s="30">
        <f t="shared" si="53"/>
        <v>2.9417087938356845E-2</v>
      </c>
      <c r="S259" s="30">
        <f t="shared" si="58"/>
        <v>2.72090784814214E-2</v>
      </c>
      <c r="T259" s="30">
        <f t="shared" si="59"/>
        <v>2.4505841001761119E-2</v>
      </c>
      <c r="U259" s="30">
        <f t="shared" si="60"/>
        <v>2.2877072484519534E-2</v>
      </c>
      <c r="V259" s="30">
        <f t="shared" si="61"/>
        <v>2.5613175778847364E-2</v>
      </c>
    </row>
    <row r="260" spans="1:22" s="29" customFormat="1" ht="20" customHeight="1" x14ac:dyDescent="0.35">
      <c r="A260" s="131"/>
      <c r="B260" s="28">
        <v>45621</v>
      </c>
      <c r="C260" s="30">
        <v>2.8111380000000002E-2</v>
      </c>
      <c r="D260" s="30">
        <v>2.5987331999999998E-2</v>
      </c>
      <c r="E260" s="30">
        <v>2.3303302000000001E-2</v>
      </c>
      <c r="F260" s="30">
        <v>2.1522856000000003E-2</v>
      </c>
      <c r="G260" s="30">
        <v>2.3923994000000001E-2</v>
      </c>
      <c r="H260" s="31">
        <f t="shared" si="47"/>
        <v>0.99299679255258588</v>
      </c>
      <c r="I260" s="31">
        <f t="shared" si="48"/>
        <v>0.98709038723099951</v>
      </c>
      <c r="J260" s="31">
        <f t="shared" si="49"/>
        <v>0.97696612305309516</v>
      </c>
      <c r="K260" s="31">
        <f t="shared" si="50"/>
        <v>0.95786760302237228</v>
      </c>
      <c r="L260" s="31">
        <f t="shared" si="51"/>
        <v>0.88725755714460386</v>
      </c>
      <c r="M260" s="30">
        <f t="shared" si="52"/>
        <v>2.2033200000000746E-4</v>
      </c>
      <c r="N260" s="30">
        <f t="shared" si="54"/>
        <v>4.290800000000724E-4</v>
      </c>
      <c r="O260" s="30">
        <f t="shared" si="55"/>
        <v>9.0708799999985809E-4</v>
      </c>
      <c r="P260" s="30">
        <f t="shared" si="56"/>
        <v>2.1929199999999793E-3</v>
      </c>
      <c r="Q260" s="30">
        <f t="shared" si="57"/>
        <v>6.8332999999999406E-3</v>
      </c>
      <c r="R260" s="30">
        <f t="shared" si="53"/>
        <v>2.8510233511876315E-2</v>
      </c>
      <c r="S260" s="30">
        <f t="shared" si="58"/>
        <v>2.6327946868659247E-2</v>
      </c>
      <c r="T260" s="30">
        <f t="shared" si="59"/>
        <v>2.3576945406174499E-2</v>
      </c>
      <c r="U260" s="30">
        <f t="shared" si="60"/>
        <v>2.1756143328914845E-2</v>
      </c>
      <c r="V260" s="30">
        <f t="shared" si="61"/>
        <v>2.4212468639262408E-2</v>
      </c>
    </row>
    <row r="261" spans="1:22" s="29" customFormat="1" ht="20" customHeight="1" x14ac:dyDescent="0.35">
      <c r="A261" s="131"/>
      <c r="B261" s="28">
        <v>45628</v>
      </c>
      <c r="C261" s="30">
        <v>2.7840797999999996E-2</v>
      </c>
      <c r="D261" s="30">
        <v>2.5673983999999997E-2</v>
      </c>
      <c r="E261" s="30">
        <v>2.2844877999999999E-2</v>
      </c>
      <c r="F261" s="30">
        <v>2.0768323999999998E-2</v>
      </c>
      <c r="G261" s="30">
        <v>2.2860866000000001E-2</v>
      </c>
      <c r="H261" s="31">
        <f t="shared" ref="H261:H319" si="62">EXP(-0.25*C261)</f>
        <v>0.99306396658910145</v>
      </c>
      <c r="I261" s="31">
        <f t="shared" ref="I261:I319" si="63">EXP(-0.5*D261)</f>
        <v>0.98724505074588798</v>
      </c>
      <c r="J261" s="31">
        <f t="shared" ref="J261:J319" si="64">EXP(-1*E261)</f>
        <v>0.97741409044274585</v>
      </c>
      <c r="K261" s="31">
        <f t="shared" ref="K261:K319" si="65">EXP(-2*F261)</f>
        <v>0.95931417775126238</v>
      </c>
      <c r="L261" s="31">
        <f t="shared" ref="L261:L319" si="66">EXP(-5*G261)</f>
        <v>0.89198645633351892</v>
      </c>
      <c r="M261" s="30">
        <f t="shared" si="52"/>
        <v>6.7645499999958788E-5</v>
      </c>
      <c r="N261" s="30">
        <f t="shared" si="54"/>
        <v>1.5667399999997196E-4</v>
      </c>
      <c r="O261" s="30">
        <f t="shared" si="55"/>
        <v>4.5842400000000702E-4</v>
      </c>
      <c r="P261" s="30">
        <f t="shared" si="56"/>
        <v>1.5090639999999706E-3</v>
      </c>
      <c r="Q261" s="30">
        <f t="shared" si="57"/>
        <v>5.3156400000000043E-3</v>
      </c>
      <c r="R261" s="30">
        <f t="shared" si="53"/>
        <v>2.8231974803468951E-2</v>
      </c>
      <c r="S261" s="30">
        <f t="shared" si="58"/>
        <v>2.6006399439916672E-2</v>
      </c>
      <c r="T261" s="30">
        <f t="shared" si="59"/>
        <v>2.3107820705780213E-2</v>
      </c>
      <c r="U261" s="30">
        <f t="shared" si="60"/>
        <v>2.0985486401795317E-2</v>
      </c>
      <c r="V261" s="30">
        <f t="shared" si="61"/>
        <v>2.3124178284379848E-2</v>
      </c>
    </row>
    <row r="262" spans="1:22" s="29" customFormat="1" ht="20" customHeight="1" x14ac:dyDescent="0.35">
      <c r="A262" s="131"/>
      <c r="B262" s="28">
        <v>45635</v>
      </c>
      <c r="C262" s="30">
        <v>2.7112612000000001E-2</v>
      </c>
      <c r="D262" s="30">
        <v>2.5199943999999998E-2</v>
      </c>
      <c r="E262" s="30">
        <v>2.2673009999999997E-2</v>
      </c>
      <c r="F262" s="30">
        <v>2.0793777999999999E-2</v>
      </c>
      <c r="G262" s="30">
        <v>2.2946774E-2</v>
      </c>
      <c r="H262" s="31">
        <f t="shared" si="62"/>
        <v>0.9932447668650245</v>
      </c>
      <c r="I262" s="31">
        <f t="shared" si="63"/>
        <v>0.98747907530097012</v>
      </c>
      <c r="J262" s="31">
        <f t="shared" si="64"/>
        <v>0.97758209108419558</v>
      </c>
      <c r="K262" s="31">
        <f t="shared" si="65"/>
        <v>0.95926534222817128</v>
      </c>
      <c r="L262" s="31">
        <f t="shared" si="66"/>
        <v>0.89160339474709205</v>
      </c>
      <c r="M262" s="30">
        <f t="shared" ref="M262:M319" si="67">+LN(H262/H261)</f>
        <v>1.8204650000007053E-4</v>
      </c>
      <c r="N262" s="30">
        <f t="shared" si="54"/>
        <v>2.3701999999995536E-4</v>
      </c>
      <c r="O262" s="30">
        <f t="shared" si="55"/>
        <v>1.7186800000002761E-4</v>
      </c>
      <c r="P262" s="30">
        <f t="shared" si="56"/>
        <v>-5.0908000000062011E-5</v>
      </c>
      <c r="Q262" s="30">
        <f t="shared" si="57"/>
        <v>-4.2954000000001335E-4</v>
      </c>
      <c r="R262" s="30">
        <f t="shared" ref="R262:R319" si="68">+EXP(C262)-1</f>
        <v>2.7483503221001904E-2</v>
      </c>
      <c r="S262" s="30">
        <f t="shared" si="58"/>
        <v>2.5520146627073581E-2</v>
      </c>
      <c r="T262" s="30">
        <f t="shared" si="59"/>
        <v>2.293199632057652E-2</v>
      </c>
      <c r="U262" s="30">
        <f t="shared" si="60"/>
        <v>2.1011474897120408E-2</v>
      </c>
      <c r="V262" s="30">
        <f t="shared" si="61"/>
        <v>2.3212076611818455E-2</v>
      </c>
    </row>
    <row r="263" spans="1:22" s="29" customFormat="1" ht="20" customHeight="1" x14ac:dyDescent="0.35">
      <c r="A263" s="131"/>
      <c r="B263" s="28">
        <v>45642</v>
      </c>
      <c r="C263" s="30">
        <v>2.6610909999999998E-2</v>
      </c>
      <c r="D263" s="30">
        <v>2.4968922000000005E-2</v>
      </c>
      <c r="E263" s="30">
        <v>2.2868461999999999E-2</v>
      </c>
      <c r="F263" s="30">
        <v>2.1513563999999999E-2</v>
      </c>
      <c r="G263" s="30">
        <v>2.4178915999999998E-2</v>
      </c>
      <c r="H263" s="31">
        <f t="shared" si="62"/>
        <v>0.99336935289950046</v>
      </c>
      <c r="I263" s="31">
        <f t="shared" si="63"/>
        <v>0.98759314658455444</v>
      </c>
      <c r="J263" s="31">
        <f t="shared" si="64"/>
        <v>0.97739103938065608</v>
      </c>
      <c r="K263" s="31">
        <f t="shared" si="65"/>
        <v>0.95788540419931478</v>
      </c>
      <c r="L263" s="31">
        <f t="shared" si="66"/>
        <v>0.88612737021648336</v>
      </c>
      <c r="M263" s="30">
        <f t="shared" si="67"/>
        <v>1.2542550000003885E-4</v>
      </c>
      <c r="N263" s="30">
        <f t="shared" si="54"/>
        <v>1.1551100000007969E-4</v>
      </c>
      <c r="O263" s="30">
        <f t="shared" si="55"/>
        <v>-1.9545199999984389E-4</v>
      </c>
      <c r="P263" s="30">
        <f t="shared" si="56"/>
        <v>-1.4395719999999498E-3</v>
      </c>
      <c r="Q263" s="30">
        <f t="shared" si="57"/>
        <v>-6.1607099999999165E-3</v>
      </c>
      <c r="R263" s="30">
        <f t="shared" si="68"/>
        <v>2.696814198216102E-2</v>
      </c>
      <c r="S263" s="30">
        <f t="shared" si="58"/>
        <v>2.5283256276254384E-2</v>
      </c>
      <c r="T263" s="30">
        <f t="shared" si="59"/>
        <v>2.3131949965154774E-2</v>
      </c>
      <c r="U263" s="30">
        <f t="shared" si="60"/>
        <v>2.1746649214940739E-2</v>
      </c>
      <c r="V263" s="30">
        <f t="shared" si="61"/>
        <v>2.4473596212360338E-2</v>
      </c>
    </row>
    <row r="264" spans="1:22" s="29" customFormat="1" ht="20" customHeight="1" x14ac:dyDescent="0.35">
      <c r="A264" s="131"/>
      <c r="B264" s="28">
        <v>45649</v>
      </c>
      <c r="C264" s="30">
        <v>2.6986410000000002E-2</v>
      </c>
      <c r="D264" s="30">
        <v>2.5040809999999997E-2</v>
      </c>
      <c r="E264" s="30">
        <v>2.2754343333333329E-2</v>
      </c>
      <c r="F264" s="30">
        <v>2.163702666666667E-2</v>
      </c>
      <c r="G264" s="30">
        <v>2.4843366666666665E-2</v>
      </c>
      <c r="H264" s="31">
        <f t="shared" si="62"/>
        <v>0.99327610472840155</v>
      </c>
      <c r="I264" s="31">
        <f t="shared" si="63"/>
        <v>0.98755764917445688</v>
      </c>
      <c r="J264" s="31">
        <f t="shared" si="64"/>
        <v>0.97750258430744019</v>
      </c>
      <c r="K264" s="31">
        <f t="shared" si="65"/>
        <v>0.95764890722633633</v>
      </c>
      <c r="L264" s="31">
        <f t="shared" si="66"/>
        <v>0.88318831545255194</v>
      </c>
      <c r="M264" s="30">
        <f t="shared" si="67"/>
        <v>-9.3874999999933218E-5</v>
      </c>
      <c r="N264" s="30">
        <f t="shared" si="54"/>
        <v>-3.5943999999955968E-5</v>
      </c>
      <c r="O264" s="30">
        <f t="shared" si="55"/>
        <v>1.141186666665875E-4</v>
      </c>
      <c r="P264" s="30">
        <f t="shared" si="56"/>
        <v>-2.4692533333336872E-4</v>
      </c>
      <c r="Q264" s="30">
        <f t="shared" si="57"/>
        <v>-3.3222533333333274E-3</v>
      </c>
      <c r="R264" s="30">
        <f t="shared" si="68"/>
        <v>2.735384092992077E-2</v>
      </c>
      <c r="S264" s="30">
        <f t="shared" si="58"/>
        <v>2.5356964488317812E-2</v>
      </c>
      <c r="T264" s="30">
        <f t="shared" si="59"/>
        <v>2.3015198173106821E-2</v>
      </c>
      <c r="U264" s="30">
        <f t="shared" si="60"/>
        <v>2.1872804568488613E-2</v>
      </c>
      <c r="V264" s="30">
        <f t="shared" si="61"/>
        <v>2.5154534576268484E-2</v>
      </c>
    </row>
    <row r="265" spans="1:22" s="29" customFormat="1" ht="20" customHeight="1" x14ac:dyDescent="0.35">
      <c r="A265" s="131"/>
      <c r="B265" s="28">
        <v>45656</v>
      </c>
      <c r="C265" s="30">
        <v>2.6934199999999998E-2</v>
      </c>
      <c r="D265" s="30">
        <v>2.4832180000000002E-2</v>
      </c>
      <c r="E265" s="30">
        <v>2.2664170000000001E-2</v>
      </c>
      <c r="F265" s="30">
        <v>2.2002363333333334E-2</v>
      </c>
      <c r="G265" s="30">
        <v>2.5368949999999998E-2</v>
      </c>
      <c r="H265" s="31">
        <f t="shared" si="62"/>
        <v>0.99328906954937002</v>
      </c>
      <c r="I265" s="31">
        <f t="shared" si="63"/>
        <v>0.98766067162393045</v>
      </c>
      <c r="J265" s="31">
        <f t="shared" si="64"/>
        <v>0.97759073294807775</v>
      </c>
      <c r="K265" s="31">
        <f t="shared" si="65"/>
        <v>0.95694943428136414</v>
      </c>
      <c r="L265" s="31">
        <f t="shared" si="66"/>
        <v>0.8808704171143461</v>
      </c>
      <c r="M265" s="30">
        <f t="shared" si="67"/>
        <v>1.3052499999999042E-5</v>
      </c>
      <c r="N265" s="30">
        <f t="shared" si="54"/>
        <v>1.0431499999992517E-4</v>
      </c>
      <c r="O265" s="30">
        <f t="shared" si="55"/>
        <v>9.0173333333239637E-5</v>
      </c>
      <c r="P265" s="30">
        <f t="shared" si="56"/>
        <v>-7.3067333333333667E-4</v>
      </c>
      <c r="Q265" s="30">
        <f t="shared" si="57"/>
        <v>-2.6279166666666621E-3</v>
      </c>
      <c r="R265" s="30">
        <f t="shared" si="68"/>
        <v>2.7300204186085031E-2</v>
      </c>
      <c r="S265" s="30">
        <f t="shared" si="58"/>
        <v>2.5143066578352746E-2</v>
      </c>
      <c r="T265" s="30">
        <f t="shared" si="59"/>
        <v>2.2922953641697941E-2</v>
      </c>
      <c r="U265" s="30">
        <f t="shared" si="60"/>
        <v>2.2246200376103697E-2</v>
      </c>
      <c r="V265" s="30">
        <f t="shared" si="61"/>
        <v>2.5693480331779872E-2</v>
      </c>
    </row>
    <row r="266" spans="1:22" s="29" customFormat="1" ht="20" customHeight="1" x14ac:dyDescent="0.35">
      <c r="A266" s="131"/>
      <c r="B266" s="28">
        <v>45663</v>
      </c>
      <c r="C266" s="30">
        <v>2.7214395999999995E-2</v>
      </c>
      <c r="D266" s="30">
        <v>2.5443572000000005E-2</v>
      </c>
      <c r="E266" s="30">
        <v>2.3614073999999999E-2</v>
      </c>
      <c r="F266" s="30">
        <v>2.3110632000000006E-2</v>
      </c>
      <c r="G266" s="30">
        <v>2.6502197999999998E-2</v>
      </c>
      <c r="H266" s="31">
        <f t="shared" si="62"/>
        <v>0.9932194930802466</v>
      </c>
      <c r="I266" s="31">
        <f t="shared" si="63"/>
        <v>0.98735879385102243</v>
      </c>
      <c r="J266" s="31">
        <f t="shared" si="64"/>
        <v>0.97666255650953582</v>
      </c>
      <c r="K266" s="31">
        <f t="shared" si="65"/>
        <v>0.95483066916262482</v>
      </c>
      <c r="L266" s="31">
        <f t="shared" si="66"/>
        <v>0.87589330798585296</v>
      </c>
      <c r="M266" s="30">
        <f t="shared" si="67"/>
        <v>-7.0049000000038238E-5</v>
      </c>
      <c r="N266" s="30">
        <f t="shared" si="54"/>
        <v>-3.0569599999999447E-4</v>
      </c>
      <c r="O266" s="30">
        <f t="shared" si="55"/>
        <v>-9.49903999999951E-4</v>
      </c>
      <c r="P266" s="30">
        <f t="shared" si="56"/>
        <v>-2.216537333333316E-3</v>
      </c>
      <c r="Q266" s="30">
        <f t="shared" si="57"/>
        <v>-5.6662400000000203E-3</v>
      </c>
      <c r="R266" s="30">
        <f t="shared" si="68"/>
        <v>2.7588089924429848E-2</v>
      </c>
      <c r="S266" s="30">
        <f t="shared" si="58"/>
        <v>2.5770022486497846E-2</v>
      </c>
      <c r="T266" s="30">
        <f t="shared" si="59"/>
        <v>2.3895093893912644E-2</v>
      </c>
      <c r="U266" s="30">
        <f t="shared" si="60"/>
        <v>2.3379751833356055E-2</v>
      </c>
      <c r="V266" s="30">
        <f t="shared" si="61"/>
        <v>2.6856504289798133E-2</v>
      </c>
    </row>
    <row r="267" spans="1:22" s="29" customFormat="1" ht="20" customHeight="1" x14ac:dyDescent="0.35">
      <c r="A267" s="131"/>
      <c r="B267" s="28">
        <v>45670</v>
      </c>
      <c r="C267" s="30">
        <v>2.6373356000000001E-2</v>
      </c>
      <c r="D267" s="30">
        <v>2.5290025999999997E-2</v>
      </c>
      <c r="E267" s="30">
        <v>2.407018E-2</v>
      </c>
      <c r="F267" s="30">
        <v>2.3741834000000003E-2</v>
      </c>
      <c r="G267" s="30">
        <v>2.7009214E-2</v>
      </c>
      <c r="H267" s="31">
        <f t="shared" si="62"/>
        <v>0.99342834936715363</v>
      </c>
      <c r="I267" s="31">
        <f t="shared" si="63"/>
        <v>0.98743459925756982</v>
      </c>
      <c r="J267" s="31">
        <f t="shared" si="64"/>
        <v>0.97621719643095928</v>
      </c>
      <c r="K267" s="31">
        <f t="shared" si="65"/>
        <v>0.95362604762605452</v>
      </c>
      <c r="L267" s="31">
        <f t="shared" si="66"/>
        <v>0.87367566052317569</v>
      </c>
      <c r="M267" s="30">
        <f t="shared" si="67"/>
        <v>2.1026000000000239E-4</v>
      </c>
      <c r="N267" s="30">
        <f t="shared" si="54"/>
        <v>7.6773000000114578E-5</v>
      </c>
      <c r="O267" s="30">
        <f t="shared" si="55"/>
        <v>-4.5610599999997394E-4</v>
      </c>
      <c r="P267" s="30">
        <f t="shared" si="56"/>
        <v>-1.2624039999999991E-3</v>
      </c>
      <c r="Q267" s="30">
        <f t="shared" si="57"/>
        <v>-2.5350799999999535E-3</v>
      </c>
      <c r="R267" s="30">
        <f t="shared" si="68"/>
        <v>2.672421056674934E-2</v>
      </c>
      <c r="S267" s="30">
        <f t="shared" si="58"/>
        <v>2.561253169397526E-2</v>
      </c>
      <c r="T267" s="30">
        <f t="shared" si="59"/>
        <v>2.4362205107623991E-2</v>
      </c>
      <c r="U267" s="30">
        <f t="shared" si="60"/>
        <v>2.4025915087788619E-2</v>
      </c>
      <c r="V267" s="30">
        <f t="shared" si="61"/>
        <v>2.7377268974034807E-2</v>
      </c>
    </row>
    <row r="268" spans="1:22" s="29" customFormat="1" ht="20" customHeight="1" x14ac:dyDescent="0.35">
      <c r="A268" s="131"/>
      <c r="B268" s="28">
        <v>45677</v>
      </c>
      <c r="C268" s="30">
        <v>2.5966656000000001E-2</v>
      </c>
      <c r="D268" s="30">
        <v>2.4861608000000004E-2</v>
      </c>
      <c r="E268" s="30">
        <v>2.3635422E-2</v>
      </c>
      <c r="F268" s="30">
        <v>2.3294382000000002E-2</v>
      </c>
      <c r="G268" s="30">
        <v>2.6430546000000003E-2</v>
      </c>
      <c r="H268" s="31">
        <f t="shared" si="62"/>
        <v>0.99352936132968417</v>
      </c>
      <c r="I268" s="31">
        <f t="shared" si="63"/>
        <v>0.98764613929172285</v>
      </c>
      <c r="J268" s="31">
        <f t="shared" si="64"/>
        <v>0.97664170693982855</v>
      </c>
      <c r="K268" s="31">
        <f t="shared" si="65"/>
        <v>0.95447983336173448</v>
      </c>
      <c r="L268" s="31">
        <f t="shared" si="66"/>
        <v>0.87620716173963797</v>
      </c>
      <c r="M268" s="30">
        <f t="shared" si="67"/>
        <v>1.0167500000007807E-4</v>
      </c>
      <c r="N268" s="30">
        <f t="shared" si="54"/>
        <v>2.1420899999996927E-4</v>
      </c>
      <c r="O268" s="30">
        <f t="shared" si="55"/>
        <v>4.3475800000006352E-4</v>
      </c>
      <c r="P268" s="30">
        <f t="shared" si="56"/>
        <v>8.9490400000000756E-4</v>
      </c>
      <c r="Q268" s="30">
        <f t="shared" si="57"/>
        <v>2.8933400000000289E-3</v>
      </c>
      <c r="R268" s="30">
        <f t="shared" si="68"/>
        <v>2.6306726731404328E-2</v>
      </c>
      <c r="S268" s="30">
        <f t="shared" si="58"/>
        <v>2.5173234932411193E-2</v>
      </c>
      <c r="T268" s="30">
        <f t="shared" si="59"/>
        <v>2.3916952239692257E-2</v>
      </c>
      <c r="U268" s="30">
        <f t="shared" si="60"/>
        <v>2.3567815140542514E-2</v>
      </c>
      <c r="V268" s="30">
        <f t="shared" si="61"/>
        <v>2.6782930603435062E-2</v>
      </c>
    </row>
    <row r="269" spans="1:22" s="29" customFormat="1" ht="20" customHeight="1" x14ac:dyDescent="0.35">
      <c r="A269" s="131"/>
      <c r="B269" s="28">
        <v>45684</v>
      </c>
      <c r="C269" s="30">
        <v>2.5317590000000001E-2</v>
      </c>
      <c r="D269" s="30">
        <v>2.4466115999999996E-2</v>
      </c>
      <c r="E269" s="30">
        <v>2.3447246000000001E-2</v>
      </c>
      <c r="F269" s="30">
        <v>2.3077508E-2</v>
      </c>
      <c r="G269" s="30">
        <v>2.6068316000000005E-2</v>
      </c>
      <c r="H269" s="31">
        <f t="shared" si="62"/>
        <v>0.9936905909425231</v>
      </c>
      <c r="I269" s="31">
        <f t="shared" si="63"/>
        <v>0.98784146167665698</v>
      </c>
      <c r="J269" s="31">
        <f t="shared" si="64"/>
        <v>0.97682550476230079</v>
      </c>
      <c r="K269" s="31">
        <f t="shared" si="65"/>
        <v>0.95489392688012098</v>
      </c>
      <c r="L269" s="31">
        <f t="shared" si="66"/>
        <v>0.87779554230416013</v>
      </c>
      <c r="M269" s="30">
        <f t="shared" si="67"/>
        <v>1.6226650000000857E-4</v>
      </c>
      <c r="N269" s="30">
        <f t="shared" si="54"/>
        <v>1.9774600000011319E-4</v>
      </c>
      <c r="O269" s="30">
        <f t="shared" si="55"/>
        <v>1.8817599999993611E-4</v>
      </c>
      <c r="P269" s="30">
        <f t="shared" si="56"/>
        <v>4.3374800000011966E-4</v>
      </c>
      <c r="Q269" s="30">
        <f t="shared" si="57"/>
        <v>1.8111500000001118E-3</v>
      </c>
      <c r="R269" s="30">
        <f t="shared" si="68"/>
        <v>2.5640802067419477E-2</v>
      </c>
      <c r="S269" s="30">
        <f t="shared" si="58"/>
        <v>2.4767867284495981E-2</v>
      </c>
      <c r="T269" s="30">
        <f t="shared" si="59"/>
        <v>2.3724293770706284E-2</v>
      </c>
      <c r="U269" s="30">
        <f t="shared" si="60"/>
        <v>2.3345853963876007E-2</v>
      </c>
      <c r="V269" s="30">
        <f t="shared" si="61"/>
        <v>2.6411066376738068E-2</v>
      </c>
    </row>
    <row r="270" spans="1:22" s="29" customFormat="1" ht="20" customHeight="1" x14ac:dyDescent="0.35">
      <c r="A270" s="131"/>
      <c r="B270" s="28">
        <v>45691</v>
      </c>
      <c r="C270" s="30">
        <v>2.4963705999999995E-2</v>
      </c>
      <c r="D270" s="30">
        <v>2.3546942000000001E-2</v>
      </c>
      <c r="E270" s="30">
        <v>2.2003308000000003E-2</v>
      </c>
      <c r="F270" s="30">
        <v>2.1523051999999997E-2</v>
      </c>
      <c r="G270" s="30">
        <v>2.4725076000000002E-2</v>
      </c>
      <c r="H270" s="31">
        <f t="shared" si="62"/>
        <v>0.99377850763177578</v>
      </c>
      <c r="I270" s="31">
        <f t="shared" si="63"/>
        <v>0.98829556511252947</v>
      </c>
      <c r="J270" s="31">
        <f t="shared" si="64"/>
        <v>0.97823699903786487</v>
      </c>
      <c r="K270" s="31">
        <f t="shared" si="65"/>
        <v>0.95786722753834541</v>
      </c>
      <c r="L270" s="31">
        <f t="shared" si="66"/>
        <v>0.88371083463331079</v>
      </c>
      <c r="M270" s="30">
        <f t="shared" si="67"/>
        <v>8.8471000000139239E-5</v>
      </c>
      <c r="N270" s="30">
        <f t="shared" si="54"/>
        <v>4.5958699999993605E-4</v>
      </c>
      <c r="O270" s="30">
        <f t="shared" si="55"/>
        <v>1.4439380000001506E-3</v>
      </c>
      <c r="P270" s="30">
        <f t="shared" si="56"/>
        <v>3.1089119999998531E-3</v>
      </c>
      <c r="Q270" s="30">
        <f t="shared" si="57"/>
        <v>6.7162000000000584E-3</v>
      </c>
      <c r="R270" s="30">
        <f t="shared" si="68"/>
        <v>2.5277908412736805E-2</v>
      </c>
      <c r="S270" s="30">
        <f t="shared" si="58"/>
        <v>2.3826360075614561E-2</v>
      </c>
      <c r="T270" s="30">
        <f t="shared" si="59"/>
        <v>2.2247166058470436E-2</v>
      </c>
      <c r="U270" s="30">
        <f t="shared" si="60"/>
        <v>2.1756343593138716E-2</v>
      </c>
      <c r="V270" s="30">
        <f t="shared" si="61"/>
        <v>2.5033275534984911E-2</v>
      </c>
    </row>
    <row r="271" spans="1:22" s="29" customFormat="1" ht="20" customHeight="1" x14ac:dyDescent="0.35">
      <c r="A271" s="131"/>
      <c r="B271" s="28">
        <v>45698</v>
      </c>
      <c r="C271" s="30">
        <v>2.4733941999999995E-2</v>
      </c>
      <c r="D271" s="30">
        <v>2.3532213999999999E-2</v>
      </c>
      <c r="E271" s="30">
        <v>2.2173602000000004E-2</v>
      </c>
      <c r="F271" s="30">
        <v>2.18105E-2</v>
      </c>
      <c r="G271" s="30">
        <v>2.5037638000000001E-2</v>
      </c>
      <c r="H271" s="31">
        <f t="shared" si="62"/>
        <v>0.99383559290253443</v>
      </c>
      <c r="I271" s="31">
        <f t="shared" si="63"/>
        <v>0.98830284294786785</v>
      </c>
      <c r="J271" s="31">
        <f t="shared" si="64"/>
        <v>0.97807042533000477</v>
      </c>
      <c r="K271" s="31">
        <f t="shared" si="65"/>
        <v>0.95731671176052424</v>
      </c>
      <c r="L271" s="31">
        <f t="shared" si="66"/>
        <v>0.88233084111854176</v>
      </c>
      <c r="M271" s="30">
        <f t="shared" si="67"/>
        <v>5.7440999999875935E-5</v>
      </c>
      <c r="N271" s="30">
        <f t="shared" si="54"/>
        <v>7.3640000000059361E-6</v>
      </c>
      <c r="O271" s="30">
        <f t="shared" si="55"/>
        <v>-1.7029400000000551E-4</v>
      </c>
      <c r="P271" s="30">
        <f t="shared" si="56"/>
        <v>-5.7489600000000735E-4</v>
      </c>
      <c r="Q271" s="30">
        <f t="shared" si="57"/>
        <v>-1.5628099999999711E-3</v>
      </c>
      <c r="R271" s="30">
        <f t="shared" si="68"/>
        <v>2.5042363520292765E-2</v>
      </c>
      <c r="S271" s="30">
        <f t="shared" si="58"/>
        <v>2.3811281272023921E-2</v>
      </c>
      <c r="T271" s="30">
        <f t="shared" si="59"/>
        <v>2.2421263440816297E-2</v>
      </c>
      <c r="U271" s="30">
        <f t="shared" si="60"/>
        <v>2.2050087626636738E-2</v>
      </c>
      <c r="V271" s="30">
        <f t="shared" si="61"/>
        <v>2.5353712061184641E-2</v>
      </c>
    </row>
    <row r="272" spans="1:22" s="29" customFormat="1" ht="20" customHeight="1" x14ac:dyDescent="0.35">
      <c r="A272" s="131"/>
      <c r="B272" s="28">
        <v>45705</v>
      </c>
      <c r="C272" s="30">
        <v>2.4892434000000005E-2</v>
      </c>
      <c r="D272" s="30">
        <v>2.3648642000000004E-2</v>
      </c>
      <c r="E272" s="30">
        <v>2.2358380000000001E-2</v>
      </c>
      <c r="F272" s="30">
        <v>2.2148816000000002E-2</v>
      </c>
      <c r="G272" s="30">
        <v>2.5653867999999996E-2</v>
      </c>
      <c r="H272" s="31">
        <f t="shared" si="62"/>
        <v>0.99379621493497861</v>
      </c>
      <c r="I272" s="31">
        <f t="shared" si="63"/>
        <v>0.98824531156075079</v>
      </c>
      <c r="J272" s="31">
        <f t="shared" si="64"/>
        <v>0.97788971612900966</v>
      </c>
      <c r="K272" s="31">
        <f t="shared" si="65"/>
        <v>0.95666917973436227</v>
      </c>
      <c r="L272" s="31">
        <f t="shared" si="66"/>
        <v>0.87961643134669742</v>
      </c>
      <c r="M272" s="30">
        <f t="shared" si="67"/>
        <v>-3.9622999999993783E-5</v>
      </c>
      <c r="N272" s="30">
        <f t="shared" si="54"/>
        <v>-5.821400000001182E-5</v>
      </c>
      <c r="O272" s="30">
        <f t="shared" si="55"/>
        <v>-1.8477800000006416E-4</v>
      </c>
      <c r="P272" s="30">
        <f t="shared" si="56"/>
        <v>-6.7663200000004926E-4</v>
      </c>
      <c r="Q272" s="30">
        <f t="shared" si="57"/>
        <v>-3.0811499999999288E-3</v>
      </c>
      <c r="R272" s="30">
        <f t="shared" si="68"/>
        <v>2.5204837409637637E-2</v>
      </c>
      <c r="S272" s="30">
        <f t="shared" si="58"/>
        <v>2.3930488511275438E-2</v>
      </c>
      <c r="T272" s="30">
        <f t="shared" si="59"/>
        <v>2.261020185232554E-2</v>
      </c>
      <c r="U272" s="30">
        <f t="shared" si="60"/>
        <v>2.2395922021438031E-2</v>
      </c>
      <c r="V272" s="30">
        <f t="shared" si="61"/>
        <v>2.5985760502772681E-2</v>
      </c>
    </row>
    <row r="273" spans="1:22" s="29" customFormat="1" ht="20" customHeight="1" x14ac:dyDescent="0.35">
      <c r="A273" s="131"/>
      <c r="B273" s="28">
        <v>45712</v>
      </c>
      <c r="C273" s="30">
        <v>2.4534221999999998E-2</v>
      </c>
      <c r="D273" s="30">
        <v>2.3112443999999999E-2</v>
      </c>
      <c r="E273" s="30">
        <v>2.1653413999999999E-2</v>
      </c>
      <c r="F273" s="30">
        <v>2.1381635999999999E-2</v>
      </c>
      <c r="G273" s="30">
        <v>2.4937467999999997E-2</v>
      </c>
      <c r="H273" s="31">
        <f t="shared" si="62"/>
        <v>0.99388521635252725</v>
      </c>
      <c r="I273" s="31">
        <f t="shared" si="63"/>
        <v>0.98851029465979967</v>
      </c>
      <c r="J273" s="31">
        <f t="shared" si="64"/>
        <v>0.97857933818211984</v>
      </c>
      <c r="K273" s="31">
        <f t="shared" si="65"/>
        <v>0.95813818135744366</v>
      </c>
      <c r="L273" s="31">
        <f t="shared" si="66"/>
        <v>0.88277286720545856</v>
      </c>
      <c r="M273" s="30">
        <f t="shared" si="67"/>
        <v>8.9553000000087808E-5</v>
      </c>
      <c r="N273" s="30">
        <f t="shared" si="54"/>
        <v>2.6809900000000997E-4</v>
      </c>
      <c r="O273" s="30">
        <f t="shared" si="55"/>
        <v>7.0496599999998288E-4</v>
      </c>
      <c r="P273" s="30">
        <f t="shared" si="56"/>
        <v>1.5343599999999417E-3</v>
      </c>
      <c r="Q273" s="30">
        <f t="shared" si="57"/>
        <v>3.5819999999999524E-3</v>
      </c>
      <c r="R273" s="30">
        <f t="shared" si="68"/>
        <v>2.4837662501574709E-2</v>
      </c>
      <c r="S273" s="30">
        <f t="shared" si="58"/>
        <v>2.338160619914631E-2</v>
      </c>
      <c r="T273" s="30">
        <f t="shared" si="59"/>
        <v>2.1889550475971298E-2</v>
      </c>
      <c r="U273" s="30">
        <f t="shared" si="60"/>
        <v>2.1611861114360975E-2</v>
      </c>
      <c r="V273" s="30">
        <f t="shared" si="61"/>
        <v>2.525100752389009E-2</v>
      </c>
    </row>
    <row r="274" spans="1:22" s="29" customFormat="1" ht="20" customHeight="1" x14ac:dyDescent="0.35">
      <c r="A274" s="131"/>
      <c r="B274" s="28">
        <v>45719</v>
      </c>
      <c r="C274" s="30">
        <v>2.407318E-2</v>
      </c>
      <c r="D274" s="30">
        <v>2.3148184000000002E-2</v>
      </c>
      <c r="E274" s="30">
        <v>2.2224505999999998E-2</v>
      </c>
      <c r="F274" s="30">
        <v>2.2364006000000002E-2</v>
      </c>
      <c r="G274" s="30">
        <v>2.6566806000000002E-2</v>
      </c>
      <c r="H274" s="31">
        <f t="shared" si="62"/>
        <v>0.99399977866163425</v>
      </c>
      <c r="I274" s="31">
        <f t="shared" si="63"/>
        <v>0.98849263013866706</v>
      </c>
      <c r="J274" s="31">
        <f t="shared" si="64"/>
        <v>0.97802063890024871</v>
      </c>
      <c r="K274" s="31">
        <f t="shared" si="65"/>
        <v>0.9562575370405334</v>
      </c>
      <c r="L274" s="31">
        <f t="shared" si="66"/>
        <v>0.87561040510857413</v>
      </c>
      <c r="M274" s="30">
        <f t="shared" si="67"/>
        <v>1.1526049999981269E-4</v>
      </c>
      <c r="N274" s="30">
        <f t="shared" si="54"/>
        <v>-1.7869999999972875E-5</v>
      </c>
      <c r="O274" s="30">
        <f t="shared" si="55"/>
        <v>-5.7109200000002042E-4</v>
      </c>
      <c r="P274" s="30">
        <f t="shared" si="56"/>
        <v>-1.9647400000000073E-3</v>
      </c>
      <c r="Q274" s="30">
        <f t="shared" si="57"/>
        <v>-8.1466900000000553E-3</v>
      </c>
      <c r="R274" s="30">
        <f t="shared" si="68"/>
        <v>2.4365278198849039E-2</v>
      </c>
      <c r="S274" s="30">
        <f t="shared" si="58"/>
        <v>2.3418182511366847E-2</v>
      </c>
      <c r="T274" s="30">
        <f t="shared" si="59"/>
        <v>2.2473310097490762E-2</v>
      </c>
      <c r="U274" s="30">
        <f t="shared" si="60"/>
        <v>2.2615955073505001E-2</v>
      </c>
      <c r="V274" s="30">
        <f t="shared" si="61"/>
        <v>2.692284957802249E-2</v>
      </c>
    </row>
    <row r="275" spans="1:22" s="29" customFormat="1" ht="20" customHeight="1" x14ac:dyDescent="0.35">
      <c r="A275" s="131"/>
      <c r="B275" s="28">
        <v>45726</v>
      </c>
      <c r="C275" s="30">
        <v>2.3801223999999999E-2</v>
      </c>
      <c r="D275" s="30">
        <v>2.3060672000000001E-2</v>
      </c>
      <c r="E275" s="30">
        <v>2.2352216000000001E-2</v>
      </c>
      <c r="F275" s="30">
        <v>2.2765048E-2</v>
      </c>
      <c r="G275" s="30">
        <v>2.7581256000000005E-2</v>
      </c>
      <c r="H275" s="31">
        <f t="shared" si="62"/>
        <v>0.99406736201002177</v>
      </c>
      <c r="I275" s="31">
        <f t="shared" si="63"/>
        <v>0.9885358835684831</v>
      </c>
      <c r="J275" s="31">
        <f t="shared" si="64"/>
        <v>0.97789574385979738</v>
      </c>
      <c r="K275" s="31">
        <f t="shared" si="65"/>
        <v>0.95549084568673126</v>
      </c>
      <c r="L275" s="31">
        <f t="shared" si="66"/>
        <v>0.87118033494092906</v>
      </c>
      <c r="M275" s="30">
        <f t="shared" si="67"/>
        <v>6.7988999999974863E-5</v>
      </c>
      <c r="N275" s="30">
        <f t="shared" si="54"/>
        <v>4.3756000000008381E-5</v>
      </c>
      <c r="O275" s="30">
        <f t="shared" si="55"/>
        <v>-1.2770999999989389E-4</v>
      </c>
      <c r="P275" s="30">
        <f t="shared" si="56"/>
        <v>-8.0208399999993484E-4</v>
      </c>
      <c r="Q275" s="30">
        <f t="shared" si="57"/>
        <v>-5.0722500000000932E-3</v>
      </c>
      <c r="R275" s="30">
        <f t="shared" si="68"/>
        <v>2.4086733792879178E-2</v>
      </c>
      <c r="S275" s="30">
        <f t="shared" si="58"/>
        <v>2.3328625058111951E-2</v>
      </c>
      <c r="T275" s="30">
        <f t="shared" si="59"/>
        <v>2.2603898502468356E-2</v>
      </c>
      <c r="U275" s="30">
        <f t="shared" si="60"/>
        <v>2.3026149268412066E-2</v>
      </c>
      <c r="V275" s="30">
        <f t="shared" si="61"/>
        <v>2.7965140049175163E-2</v>
      </c>
    </row>
    <row r="276" spans="1:22" s="29" customFormat="1" ht="20" customHeight="1" x14ac:dyDescent="0.35">
      <c r="A276" s="131"/>
      <c r="B276" s="28">
        <v>45733</v>
      </c>
      <c r="C276" s="30">
        <v>2.3241997999999996E-2</v>
      </c>
      <c r="D276" s="30">
        <v>2.2690342000000002E-2</v>
      </c>
      <c r="E276" s="30">
        <v>2.2156378000000004E-2</v>
      </c>
      <c r="F276" s="30">
        <v>2.2505285999999999E-2</v>
      </c>
      <c r="G276" s="30">
        <v>2.7023711999999998E-2</v>
      </c>
      <c r="H276" s="31">
        <f t="shared" si="62"/>
        <v>0.99420634880407088</v>
      </c>
      <c r="I276" s="31">
        <f t="shared" si="63"/>
        <v>0.98871894276291894</v>
      </c>
      <c r="J276" s="31">
        <f t="shared" si="64"/>
        <v>0.97808727176009169</v>
      </c>
      <c r="K276" s="31">
        <f t="shared" si="65"/>
        <v>0.9559873750811464</v>
      </c>
      <c r="L276" s="31">
        <f t="shared" si="66"/>
        <v>0.8736123300699844</v>
      </c>
      <c r="M276" s="30">
        <f t="shared" si="67"/>
        <v>1.3980649999993127E-4</v>
      </c>
      <c r="N276" s="30">
        <f t="shared" si="54"/>
        <v>1.8516500000003762E-4</v>
      </c>
      <c r="O276" s="30">
        <f t="shared" si="55"/>
        <v>1.9583799999991794E-4</v>
      </c>
      <c r="P276" s="30">
        <f t="shared" si="56"/>
        <v>5.1952399999992524E-4</v>
      </c>
      <c r="Q276" s="30">
        <f t="shared" si="57"/>
        <v>2.7877200000000265E-3</v>
      </c>
      <c r="R276" s="30">
        <f t="shared" si="68"/>
        <v>2.3514197968467432E-2</v>
      </c>
      <c r="S276" s="30">
        <f t="shared" si="58"/>
        <v>2.2949725931581177E-2</v>
      </c>
      <c r="T276" s="30">
        <f t="shared" si="59"/>
        <v>2.2403653408632707E-2</v>
      </c>
      <c r="U276" s="30">
        <f t="shared" si="60"/>
        <v>2.2760440461845333E-2</v>
      </c>
      <c r="V276" s="30">
        <f t="shared" si="61"/>
        <v>2.7392163997654206E-2</v>
      </c>
    </row>
    <row r="277" spans="1:22" s="29" customFormat="1" ht="20" customHeight="1" x14ac:dyDescent="0.35">
      <c r="A277" s="131"/>
      <c r="B277" s="28">
        <v>45740</v>
      </c>
      <c r="C277" s="30">
        <v>2.2726503999999998E-2</v>
      </c>
      <c r="D277" s="30">
        <v>2.2197541999999997E-2</v>
      </c>
      <c r="E277" s="30">
        <v>2.1649320000000003E-2</v>
      </c>
      <c r="F277" s="30">
        <v>2.1917926000000004E-2</v>
      </c>
      <c r="G277" s="30">
        <v>2.6537336000000002E-2</v>
      </c>
      <c r="H277" s="31">
        <f t="shared" si="62"/>
        <v>0.99433448391239609</v>
      </c>
      <c r="I277" s="31">
        <f t="shared" si="63"/>
        <v>0.98896259312690782</v>
      </c>
      <c r="J277" s="31">
        <f t="shared" si="64"/>
        <v>0.97858334449413131</v>
      </c>
      <c r="K277" s="31">
        <f t="shared" si="65"/>
        <v>0.95711105244431793</v>
      </c>
      <c r="L277" s="31">
        <f t="shared" si="66"/>
        <v>0.87573943580787017</v>
      </c>
      <c r="M277" s="30">
        <f t="shared" si="67"/>
        <v>1.2887349999993444E-4</v>
      </c>
      <c r="N277" s="30">
        <f t="shared" ref="N277:N319" si="69">+LN(I277/I276)</f>
        <v>2.4639999999988277E-4</v>
      </c>
      <c r="O277" s="30">
        <f t="shared" ref="O277:O319" si="70">+LN(J277/J276)</f>
        <v>5.0705799999999719E-4</v>
      </c>
      <c r="P277" s="30">
        <f t="shared" ref="P277:P319" si="71">+LN(K277/K276)</f>
        <v>1.1747200000000292E-3</v>
      </c>
      <c r="Q277" s="30">
        <f t="shared" ref="Q277:Q319" si="72">+LN(L277/L276)</f>
        <v>2.4318799999999865E-3</v>
      </c>
      <c r="R277" s="30">
        <f t="shared" si="68"/>
        <v>2.2986718508429149E-2</v>
      </c>
      <c r="S277" s="30">
        <f t="shared" ref="S277:S319" si="73">+EXP(D277)-1</f>
        <v>2.2445740498852285E-2</v>
      </c>
      <c r="T277" s="30">
        <f t="shared" ref="T277:T319" si="74">+EXP(E277)-1</f>
        <v>2.1885366868715561E-2</v>
      </c>
      <c r="U277" s="30">
        <f t="shared" ref="U277:U319" si="75">+EXP(F277)-1</f>
        <v>2.2159888276966688E-2</v>
      </c>
      <c r="V277" s="30">
        <f t="shared" ref="V277:V319" si="76">+EXP(G277)-1</f>
        <v>2.6892586607572433E-2</v>
      </c>
    </row>
    <row r="278" spans="1:22" s="29" customFormat="1" ht="20" customHeight="1" x14ac:dyDescent="0.35">
      <c r="A278" s="131"/>
      <c r="B278" s="28">
        <v>45747</v>
      </c>
      <c r="C278" s="30">
        <v>2.2573388000000003E-2</v>
      </c>
      <c r="D278" s="30">
        <v>2.1762277999999999E-2</v>
      </c>
      <c r="E278" s="30">
        <v>2.0807678E-2</v>
      </c>
      <c r="F278" s="30">
        <v>2.0680906000000002E-2</v>
      </c>
      <c r="G278" s="30">
        <v>2.5304955999999997E-2</v>
      </c>
      <c r="H278" s="31">
        <f t="shared" si="62"/>
        <v>0.99437254677060516</v>
      </c>
      <c r="I278" s="31">
        <f t="shared" si="63"/>
        <v>0.98917784645613183</v>
      </c>
      <c r="J278" s="31">
        <f t="shared" si="64"/>
        <v>0.97940730802987852</v>
      </c>
      <c r="K278" s="31">
        <f t="shared" si="65"/>
        <v>0.9594819150676771</v>
      </c>
      <c r="L278" s="31">
        <f t="shared" si="66"/>
        <v>0.88115231431862939</v>
      </c>
      <c r="M278" s="30">
        <f t="shared" si="67"/>
        <v>3.8278999999868341E-5</v>
      </c>
      <c r="N278" s="30">
        <f t="shared" si="69"/>
        <v>2.1763200000002038E-4</v>
      </c>
      <c r="O278" s="30">
        <f t="shared" si="70"/>
        <v>8.4164200000004475E-4</v>
      </c>
      <c r="P278" s="30">
        <f t="shared" si="71"/>
        <v>2.4740400000000055E-3</v>
      </c>
      <c r="Q278" s="30">
        <f t="shared" si="72"/>
        <v>6.1619000000000613E-3</v>
      </c>
      <c r="R278" s="30">
        <f t="shared" si="68"/>
        <v>2.2830094865136763E-2</v>
      </c>
      <c r="S278" s="30">
        <f t="shared" si="73"/>
        <v>2.2000803515609846E-2</v>
      </c>
      <c r="T278" s="30">
        <f t="shared" si="74"/>
        <v>2.1025667055256658E-2</v>
      </c>
      <c r="U278" s="30">
        <f t="shared" si="75"/>
        <v>2.0896237793569306E-2</v>
      </c>
      <c r="V278" s="30">
        <f t="shared" si="76"/>
        <v>2.5627844203381045E-2</v>
      </c>
    </row>
    <row r="279" spans="1:22" s="29" customFormat="1" ht="20" customHeight="1" x14ac:dyDescent="0.35">
      <c r="A279" s="131"/>
      <c r="B279" s="28">
        <v>45754</v>
      </c>
      <c r="C279" s="30">
        <v>2.20092E-2</v>
      </c>
      <c r="D279" s="30">
        <v>2.1026649999999994E-2</v>
      </c>
      <c r="E279" s="30">
        <v>1.9876526000000002E-2</v>
      </c>
      <c r="F279" s="30">
        <v>1.9705003999999998E-2</v>
      </c>
      <c r="G279" s="30">
        <v>2.4848312000000004E-2</v>
      </c>
      <c r="H279" s="31">
        <f t="shared" si="62"/>
        <v>0.99451280992682567</v>
      </c>
      <c r="I279" s="31">
        <f t="shared" si="63"/>
        <v>0.98954174683627294</v>
      </c>
      <c r="J279" s="31">
        <f t="shared" si="64"/>
        <v>0.98031970983002126</v>
      </c>
      <c r="K279" s="31">
        <f t="shared" si="65"/>
        <v>0.96135646448886569</v>
      </c>
      <c r="L279" s="31">
        <f t="shared" si="66"/>
        <v>0.88316647741946386</v>
      </c>
      <c r="M279" s="30">
        <f t="shared" si="67"/>
        <v>1.4104699999990504E-4</v>
      </c>
      <c r="N279" s="30">
        <f t="shared" si="69"/>
        <v>3.6781400000004402E-4</v>
      </c>
      <c r="O279" s="30">
        <f t="shared" si="70"/>
        <v>9.3115200000003955E-4</v>
      </c>
      <c r="P279" s="30">
        <f t="shared" si="71"/>
        <v>1.9518040000000229E-3</v>
      </c>
      <c r="Q279" s="30">
        <f t="shared" si="72"/>
        <v>2.2832199999999227E-3</v>
      </c>
      <c r="R279" s="30">
        <f t="shared" si="68"/>
        <v>2.2253189156516751E-2</v>
      </c>
      <c r="S279" s="30">
        <f t="shared" si="73"/>
        <v>2.1249267567855501E-2</v>
      </c>
      <c r="T279" s="30">
        <f t="shared" si="74"/>
        <v>2.0075379463084797E-2</v>
      </c>
      <c r="U279" s="30">
        <f t="shared" si="75"/>
        <v>1.9900429098195671E-2</v>
      </c>
      <c r="V279" s="30">
        <f t="shared" si="76"/>
        <v>2.5159604319695994E-2</v>
      </c>
    </row>
    <row r="280" spans="1:22" s="29" customFormat="1" ht="20" customHeight="1" x14ac:dyDescent="0.35">
      <c r="A280" s="131"/>
      <c r="B280" s="28">
        <v>45761</v>
      </c>
      <c r="C280" s="30">
        <v>2.1767270000000002E-2</v>
      </c>
      <c r="D280" s="30">
        <v>2.0651639999999999E-2</v>
      </c>
      <c r="E280" s="30">
        <v>1.9350292500000001E-2</v>
      </c>
      <c r="F280" s="30">
        <v>1.9097614999999998E-2</v>
      </c>
      <c r="G280" s="30">
        <v>2.4170862500000001E-2</v>
      </c>
      <c r="H280" s="31">
        <f t="shared" si="62"/>
        <v>0.99457296236691872</v>
      </c>
      <c r="I280" s="31">
        <f t="shared" si="63"/>
        <v>0.98972730825781696</v>
      </c>
      <c r="J280" s="31">
        <f t="shared" si="64"/>
        <v>0.98083572266175534</v>
      </c>
      <c r="K280" s="31">
        <f t="shared" si="65"/>
        <v>0.96252500878933833</v>
      </c>
      <c r="L280" s="31">
        <f t="shared" si="66"/>
        <v>0.88616305306878829</v>
      </c>
      <c r="M280" s="30">
        <f t="shared" si="67"/>
        <v>6.0482499999937254E-5</v>
      </c>
      <c r="N280" s="30">
        <f t="shared" si="69"/>
        <v>1.875050000000187E-4</v>
      </c>
      <c r="O280" s="30">
        <f t="shared" si="70"/>
        <v>5.2623349999990473E-4</v>
      </c>
      <c r="P280" s="30">
        <f t="shared" si="71"/>
        <v>1.2147780000000272E-3</v>
      </c>
      <c r="Q280" s="30">
        <f t="shared" si="72"/>
        <v>3.3872475000000461E-3</v>
      </c>
      <c r="R280" s="30">
        <f t="shared" si="68"/>
        <v>2.2005905356355271E-2</v>
      </c>
      <c r="S280" s="30">
        <f t="shared" si="73"/>
        <v>2.0866360681468077E-2</v>
      </c>
      <c r="T280" s="30">
        <f t="shared" si="74"/>
        <v>1.9538722841616396E-2</v>
      </c>
      <c r="U280" s="30">
        <f t="shared" si="75"/>
        <v>1.9281140889927828E-2</v>
      </c>
      <c r="V280" s="30">
        <f t="shared" si="76"/>
        <v>2.4465345647476378E-2</v>
      </c>
    </row>
    <row r="281" spans="1:22" s="29" customFormat="1" ht="20" customHeight="1" x14ac:dyDescent="0.35">
      <c r="A281" s="131"/>
      <c r="B281" s="28">
        <v>45768</v>
      </c>
      <c r="C281" s="30">
        <v>2.127424E-2</v>
      </c>
      <c r="D281" s="30">
        <v>2.0131594999999999E-2</v>
      </c>
      <c r="E281" s="30">
        <v>1.8782359999999998E-2</v>
      </c>
      <c r="F281" s="30">
        <v>1.8469602500000001E-2</v>
      </c>
      <c r="G281" s="30">
        <v>2.3567110000000002E-2</v>
      </c>
      <c r="H281" s="31">
        <f t="shared" si="62"/>
        <v>0.99469555849911884</v>
      </c>
      <c r="I281" s="31">
        <f t="shared" si="63"/>
        <v>0.98998469308830173</v>
      </c>
      <c r="J281" s="31">
        <f t="shared" si="64"/>
        <v>0.98139292935873512</v>
      </c>
      <c r="K281" s="31">
        <f t="shared" si="65"/>
        <v>0.96373472382062697</v>
      </c>
      <c r="L281" s="31">
        <f t="shared" si="66"/>
        <v>0.88884221069798885</v>
      </c>
      <c r="M281" s="30">
        <f t="shared" si="67"/>
        <v>1.2325749999996259E-4</v>
      </c>
      <c r="N281" s="30">
        <f t="shared" si="69"/>
        <v>2.6002249999991669E-4</v>
      </c>
      <c r="O281" s="30">
        <f t="shared" si="70"/>
        <v>5.6793250000017966E-4</v>
      </c>
      <c r="P281" s="30">
        <f t="shared" si="71"/>
        <v>1.2560250000000182E-3</v>
      </c>
      <c r="Q281" s="30">
        <f t="shared" si="72"/>
        <v>3.0187625000001545E-3</v>
      </c>
      <c r="R281" s="30">
        <f t="shared" si="68"/>
        <v>2.1502149978298801E-2</v>
      </c>
      <c r="S281" s="30">
        <f t="shared" si="73"/>
        <v>2.0335602256021934E-2</v>
      </c>
      <c r="T281" s="30">
        <f t="shared" si="74"/>
        <v>1.8959858059526935E-2</v>
      </c>
      <c r="U281" s="30">
        <f t="shared" si="75"/>
        <v>1.8641220552452209E-2</v>
      </c>
      <c r="V281" s="30">
        <f t="shared" si="76"/>
        <v>2.3847008813865811E-2</v>
      </c>
    </row>
    <row r="282" spans="1:22" s="29" customFormat="1" ht="20" customHeight="1" x14ac:dyDescent="0.35">
      <c r="A282" s="131"/>
      <c r="B282" s="28">
        <v>45775</v>
      </c>
      <c r="C282" s="30">
        <v>2.1044872499999999E-2</v>
      </c>
      <c r="D282" s="30">
        <v>1.99271725E-2</v>
      </c>
      <c r="E282" s="30">
        <v>1.8635789999999999E-2</v>
      </c>
      <c r="F282" s="30">
        <v>1.8430177499999999E-2</v>
      </c>
      <c r="G282" s="30">
        <v>2.36520525E-2</v>
      </c>
      <c r="H282" s="31">
        <f t="shared" si="62"/>
        <v>0.99475259784285319</v>
      </c>
      <c r="I282" s="31">
        <f t="shared" si="63"/>
        <v>0.99008588583269352</v>
      </c>
      <c r="J282" s="31">
        <f t="shared" si="64"/>
        <v>0.98153678266242306</v>
      </c>
      <c r="K282" s="31">
        <f t="shared" si="65"/>
        <v>0.96381071729960377</v>
      </c>
      <c r="L282" s="31">
        <f t="shared" si="66"/>
        <v>0.8884647884542235</v>
      </c>
      <c r="M282" s="30">
        <f t="shared" si="67"/>
        <v>5.7341874999974615E-5</v>
      </c>
      <c r="N282" s="30">
        <f t="shared" si="69"/>
        <v>1.0221125000007555E-4</v>
      </c>
      <c r="O282" s="30">
        <f t="shared" si="70"/>
        <v>1.4656999999995224E-4</v>
      </c>
      <c r="P282" s="30">
        <f t="shared" si="71"/>
        <v>7.8850000000046843E-5</v>
      </c>
      <c r="Q282" s="30">
        <f t="shared" si="72"/>
        <v>-4.2471249999988643E-4</v>
      </c>
      <c r="R282" s="30">
        <f t="shared" si="68"/>
        <v>2.1267877452192607E-2</v>
      </c>
      <c r="S282" s="30">
        <f t="shared" si="73"/>
        <v>2.0127044019094154E-2</v>
      </c>
      <c r="T282" s="30">
        <f t="shared" si="74"/>
        <v>1.8810520057633839E-2</v>
      </c>
      <c r="U282" s="30">
        <f t="shared" si="75"/>
        <v>1.8601061413974218E-2</v>
      </c>
      <c r="V282" s="30">
        <f t="shared" si="76"/>
        <v>2.3933980632161456E-2</v>
      </c>
    </row>
    <row r="283" spans="1:22" s="29" customFormat="1" ht="20" customHeight="1" x14ac:dyDescent="0.35">
      <c r="A283" s="131"/>
      <c r="B283" s="28">
        <v>45782</v>
      </c>
      <c r="C283" s="30">
        <v>2.0831044000000003E-2</v>
      </c>
      <c r="D283" s="30">
        <v>1.9798297999999999E-2</v>
      </c>
      <c r="E283" s="30">
        <v>1.8631534000000002E-2</v>
      </c>
      <c r="F283" s="30">
        <v>1.8557333999999995E-2</v>
      </c>
      <c r="G283" s="30">
        <v>2.3871348000000001E-2</v>
      </c>
      <c r="H283" s="31">
        <f t="shared" si="62"/>
        <v>0.99480577587817998</v>
      </c>
      <c r="I283" s="31">
        <f t="shared" si="63"/>
        <v>0.99014968629998168</v>
      </c>
      <c r="J283" s="31">
        <f t="shared" si="64"/>
        <v>0.98154096009185965</v>
      </c>
      <c r="K283" s="31">
        <f t="shared" si="65"/>
        <v>0.96356563886929147</v>
      </c>
      <c r="L283" s="31">
        <f t="shared" si="66"/>
        <v>0.88749114069312096</v>
      </c>
      <c r="M283" s="30">
        <f t="shared" si="67"/>
        <v>5.3457125000065257E-5</v>
      </c>
      <c r="N283" s="30">
        <f t="shared" si="69"/>
        <v>6.4437250000023646E-5</v>
      </c>
      <c r="O283" s="30">
        <f t="shared" si="70"/>
        <v>4.2559999999547731E-6</v>
      </c>
      <c r="P283" s="30">
        <f t="shared" si="71"/>
        <v>-2.5431299999993754E-4</v>
      </c>
      <c r="Q283" s="30">
        <f t="shared" si="72"/>
        <v>-1.0964775000000559E-3</v>
      </c>
      <c r="R283" s="30">
        <f t="shared" si="68"/>
        <v>2.1049524619719984E-2</v>
      </c>
      <c r="S283" s="30">
        <f t="shared" si="73"/>
        <v>1.9995584127455501E-2</v>
      </c>
      <c r="T283" s="30">
        <f t="shared" si="74"/>
        <v>1.8806184009287685E-2</v>
      </c>
      <c r="U283" s="30">
        <f t="shared" si="75"/>
        <v>1.8730591394954921E-2</v>
      </c>
      <c r="V283" s="30">
        <f t="shared" si="76"/>
        <v>2.4158549368967996E-2</v>
      </c>
    </row>
    <row r="284" spans="1:22" s="29" customFormat="1" ht="20" customHeight="1" x14ac:dyDescent="0.35">
      <c r="A284" s="131"/>
      <c r="B284" s="28">
        <v>45789</v>
      </c>
      <c r="C284" s="30">
        <v>2.133266E-2</v>
      </c>
      <c r="D284" s="30">
        <v>2.0286289999999998E-2</v>
      </c>
      <c r="E284" s="30">
        <v>1.9286517999999996E-2</v>
      </c>
      <c r="F284" s="30">
        <v>1.9660921999999997E-2</v>
      </c>
      <c r="G284" s="30">
        <v>2.5078072000000003E-2</v>
      </c>
      <c r="H284" s="31">
        <f t="shared" si="62"/>
        <v>0.9946810310765738</v>
      </c>
      <c r="I284" s="31">
        <f t="shared" si="63"/>
        <v>0.98990812320853572</v>
      </c>
      <c r="J284" s="31">
        <f t="shared" si="64"/>
        <v>0.98089827696421372</v>
      </c>
      <c r="K284" s="31">
        <f t="shared" si="65"/>
        <v>0.96144122525657016</v>
      </c>
      <c r="L284" s="31">
        <f t="shared" si="66"/>
        <v>0.88215247832280352</v>
      </c>
      <c r="M284" s="30">
        <f t="shared" si="67"/>
        <v>-1.254039999999779E-4</v>
      </c>
      <c r="N284" s="30">
        <f t="shared" si="69"/>
        <v>-2.4399599999994157E-4</v>
      </c>
      <c r="O284" s="30">
        <f t="shared" si="70"/>
        <v>-6.5498400000014426E-4</v>
      </c>
      <c r="P284" s="30">
        <f t="shared" si="71"/>
        <v>-2.2071759999999691E-3</v>
      </c>
      <c r="Q284" s="30">
        <f t="shared" si="72"/>
        <v>-6.0336199999999228E-3</v>
      </c>
      <c r="R284" s="30">
        <f t="shared" si="68"/>
        <v>2.1561827877074835E-2</v>
      </c>
      <c r="S284" s="30">
        <f t="shared" si="73"/>
        <v>2.0493455281235029E-2</v>
      </c>
      <c r="T284" s="30">
        <f t="shared" si="74"/>
        <v>1.9473704342619635E-2</v>
      </c>
      <c r="U284" s="30">
        <f t="shared" si="75"/>
        <v>1.9855470838412437E-2</v>
      </c>
      <c r="V284" s="30">
        <f t="shared" si="76"/>
        <v>2.5395172051369208E-2</v>
      </c>
    </row>
    <row r="285" spans="1:22" s="29" customFormat="1" ht="20" customHeight="1" x14ac:dyDescent="0.35">
      <c r="A285" s="131"/>
      <c r="B285" s="28">
        <v>45796</v>
      </c>
      <c r="C285" s="30">
        <v>2.1030144000000001E-2</v>
      </c>
      <c r="D285" s="30">
        <v>1.9880027999999998E-2</v>
      </c>
      <c r="E285" s="30">
        <v>1.8784562000000001E-2</v>
      </c>
      <c r="F285" s="30">
        <v>1.9148952E-2</v>
      </c>
      <c r="G285" s="30">
        <v>2.4692201999999996E-2</v>
      </c>
      <c r="H285" s="31">
        <f t="shared" si="62"/>
        <v>0.99475626065300604</v>
      </c>
      <c r="I285" s="31">
        <f t="shared" si="63"/>
        <v>0.99010922465978912</v>
      </c>
      <c r="J285" s="31">
        <f t="shared" si="64"/>
        <v>0.98139076833388394</v>
      </c>
      <c r="K285" s="31">
        <f t="shared" si="65"/>
        <v>0.96242618756985765</v>
      </c>
      <c r="L285" s="31">
        <f t="shared" si="66"/>
        <v>0.88385610212168098</v>
      </c>
      <c r="M285" s="30">
        <f t="shared" si="67"/>
        <v>7.5628999999939695E-5</v>
      </c>
      <c r="N285" s="30">
        <f t="shared" si="69"/>
        <v>2.0313099999992034E-4</v>
      </c>
      <c r="O285" s="30">
        <f t="shared" si="70"/>
        <v>5.019560000000371E-4</v>
      </c>
      <c r="P285" s="30">
        <f t="shared" si="71"/>
        <v>1.0239399999999275E-3</v>
      </c>
      <c r="Q285" s="30">
        <f t="shared" si="72"/>
        <v>1.9293500000000922E-3</v>
      </c>
      <c r="R285" s="30">
        <f t="shared" si="68"/>
        <v>2.1252835819030036E-2</v>
      </c>
      <c r="S285" s="30">
        <f t="shared" si="73"/>
        <v>2.0078951773318643E-2</v>
      </c>
      <c r="T285" s="30">
        <f t="shared" si="74"/>
        <v>1.8962101811604626E-2</v>
      </c>
      <c r="U285" s="30">
        <f t="shared" si="75"/>
        <v>1.9333469069032105E-2</v>
      </c>
      <c r="V285" s="30">
        <f t="shared" si="76"/>
        <v>2.4999579144955542E-2</v>
      </c>
    </row>
    <row r="286" spans="1:22" s="29" customFormat="1" ht="20" customHeight="1" x14ac:dyDescent="0.35">
      <c r="A286" s="131"/>
      <c r="B286" s="28">
        <v>45803</v>
      </c>
      <c r="C286" s="30">
        <v>2.0756635999999998E-2</v>
      </c>
      <c r="D286" s="30">
        <v>1.9631637999999996E-2</v>
      </c>
      <c r="E286" s="30">
        <v>1.8493832000000002E-2</v>
      </c>
      <c r="F286" s="30">
        <v>1.8698276E-2</v>
      </c>
      <c r="G286" s="30">
        <v>2.4061840000000001E-2</v>
      </c>
      <c r="H286" s="31">
        <f t="shared" si="62"/>
        <v>0.99482428142734236</v>
      </c>
      <c r="I286" s="31">
        <f t="shared" si="63"/>
        <v>0.99023219891118119</v>
      </c>
      <c r="J286" s="31">
        <f t="shared" si="64"/>
        <v>0.98167612955148509</v>
      </c>
      <c r="K286" s="31">
        <f t="shared" si="65"/>
        <v>0.96329406341093093</v>
      </c>
      <c r="L286" s="31">
        <f t="shared" si="66"/>
        <v>0.88664624331060971</v>
      </c>
      <c r="M286" s="30">
        <f t="shared" si="67"/>
        <v>6.8376999999924295E-5</v>
      </c>
      <c r="N286" s="30">
        <f t="shared" si="69"/>
        <v>1.241950000000452E-4</v>
      </c>
      <c r="O286" s="30">
        <f t="shared" si="70"/>
        <v>2.9072999999997864E-4</v>
      </c>
      <c r="P286" s="30">
        <f t="shared" si="71"/>
        <v>9.0135200000005108E-4</v>
      </c>
      <c r="Q286" s="30">
        <f t="shared" si="72"/>
        <v>3.1518099999998848E-3</v>
      </c>
      <c r="R286" s="30">
        <f t="shared" si="68"/>
        <v>2.0973553193168071E-2</v>
      </c>
      <c r="S286" s="30">
        <f t="shared" si="73"/>
        <v>1.9825605828089898E-2</v>
      </c>
      <c r="T286" s="30">
        <f t="shared" si="74"/>
        <v>1.866590201891416E-2</v>
      </c>
      <c r="U286" s="30">
        <f t="shared" si="75"/>
        <v>1.8874183440804604E-2</v>
      </c>
      <c r="V286" s="30">
        <f t="shared" si="76"/>
        <v>2.4353661962458473E-2</v>
      </c>
    </row>
    <row r="287" spans="1:22" s="29" customFormat="1" ht="20" customHeight="1" x14ac:dyDescent="0.35">
      <c r="A287" s="131"/>
      <c r="B287" s="28">
        <v>45810</v>
      </c>
      <c r="C287" s="30">
        <v>2.0269542000000002E-2</v>
      </c>
      <c r="D287" s="30">
        <v>1.9522606000000001E-2</v>
      </c>
      <c r="E287" s="30">
        <v>1.8764654000000002E-2</v>
      </c>
      <c r="F287" s="30">
        <v>1.9044072000000002E-2</v>
      </c>
      <c r="G287" s="30">
        <v>2.4048661999999998E-2</v>
      </c>
      <c r="H287" s="31">
        <f t="shared" si="62"/>
        <v>0.99494543203829411</v>
      </c>
      <c r="I287" s="31">
        <f t="shared" si="63"/>
        <v>0.99028618388124601</v>
      </c>
      <c r="J287" s="31">
        <f t="shared" si="64"/>
        <v>0.98141030605577773</v>
      </c>
      <c r="K287" s="31">
        <f t="shared" si="65"/>
        <v>0.96262808726146176</v>
      </c>
      <c r="L287" s="31">
        <f t="shared" si="66"/>
        <v>0.88670466635630762</v>
      </c>
      <c r="M287" s="30">
        <f t="shared" si="67"/>
        <v>1.2177349999999527E-4</v>
      </c>
      <c r="N287" s="30">
        <f t="shared" si="69"/>
        <v>5.4516000000120636E-5</v>
      </c>
      <c r="O287" s="30">
        <f t="shared" si="70"/>
        <v>-2.7082200000004325E-4</v>
      </c>
      <c r="P287" s="30">
        <f t="shared" si="71"/>
        <v>-6.915919999998881E-4</v>
      </c>
      <c r="Q287" s="30">
        <f t="shared" si="72"/>
        <v>6.5890000000163248E-5</v>
      </c>
      <c r="R287" s="30">
        <f t="shared" si="68"/>
        <v>2.0476364199967012E-2</v>
      </c>
      <c r="S287" s="30">
        <f t="shared" si="73"/>
        <v>1.971441826424658E-2</v>
      </c>
      <c r="T287" s="30">
        <f t="shared" si="74"/>
        <v>1.8941816516002241E-2</v>
      </c>
      <c r="U287" s="30">
        <f t="shared" si="75"/>
        <v>1.9226566980839577E-2</v>
      </c>
      <c r="V287" s="30">
        <f t="shared" si="76"/>
        <v>2.4340163118845126E-2</v>
      </c>
    </row>
    <row r="288" spans="1:22" s="29" customFormat="1" ht="20" customHeight="1" x14ac:dyDescent="0.35">
      <c r="A288" s="131"/>
      <c r="B288" s="28">
        <v>45817</v>
      </c>
      <c r="C288" s="30">
        <v>1.9837052000000001E-2</v>
      </c>
      <c r="D288" s="30">
        <v>1.9417443999999999E-2</v>
      </c>
      <c r="E288" s="30">
        <v>1.9024139999999998E-2</v>
      </c>
      <c r="F288" s="30">
        <v>1.9438813999999999E-2</v>
      </c>
      <c r="G288" s="30">
        <v>2.4093537999999998E-2</v>
      </c>
      <c r="H288" s="31">
        <f t="shared" si="62"/>
        <v>0.99505301384167155</v>
      </c>
      <c r="I288" s="31">
        <f t="shared" si="63"/>
        <v>0.99033825548805732</v>
      </c>
      <c r="J288" s="31">
        <f t="shared" si="64"/>
        <v>0.98115567685888516</v>
      </c>
      <c r="K288" s="31">
        <f t="shared" si="65"/>
        <v>0.96186840770550353</v>
      </c>
      <c r="L288" s="31">
        <f t="shared" si="66"/>
        <v>0.8865057298827882</v>
      </c>
      <c r="M288" s="30">
        <f t="shared" si="67"/>
        <v>1.0812249999986813E-4</v>
      </c>
      <c r="N288" s="30">
        <f t="shared" si="69"/>
        <v>5.2581000000120987E-5</v>
      </c>
      <c r="O288" s="30">
        <f t="shared" si="70"/>
        <v>-2.5948600000006675E-4</v>
      </c>
      <c r="P288" s="30">
        <f t="shared" si="71"/>
        <v>-7.8948400000010811E-4</v>
      </c>
      <c r="Q288" s="30">
        <f t="shared" si="72"/>
        <v>-2.2438000000006146E-4</v>
      </c>
      <c r="R288" s="30">
        <f t="shared" si="68"/>
        <v>2.0035113802284288E-2</v>
      </c>
      <c r="S288" s="30">
        <f t="shared" si="73"/>
        <v>1.9607188694930056E-2</v>
      </c>
      <c r="T288" s="30">
        <f t="shared" si="74"/>
        <v>1.920625195936676E-2</v>
      </c>
      <c r="U288" s="30">
        <f t="shared" si="75"/>
        <v>1.9628977933369596E-2</v>
      </c>
      <c r="V288" s="30">
        <f t="shared" si="76"/>
        <v>2.4386132439457198E-2</v>
      </c>
    </row>
    <row r="289" spans="1:22" s="29" customFormat="1" ht="20" customHeight="1" x14ac:dyDescent="0.35">
      <c r="A289" s="131"/>
      <c r="B289" s="28">
        <v>45824</v>
      </c>
      <c r="C289" s="30">
        <v>1.9861054E-2</v>
      </c>
      <c r="D289" s="30">
        <v>1.9478842E-2</v>
      </c>
      <c r="E289" s="30">
        <v>1.9141822000000003E-2</v>
      </c>
      <c r="F289" s="30">
        <v>1.9619792E-2</v>
      </c>
      <c r="G289" s="30">
        <v>2.4320302000000002E-2</v>
      </c>
      <c r="H289" s="31">
        <f t="shared" si="62"/>
        <v>0.99504704304397595</v>
      </c>
      <c r="I289" s="31">
        <f t="shared" si="63"/>
        <v>0.9903078535606088</v>
      </c>
      <c r="J289" s="31">
        <f t="shared" si="64"/>
        <v>0.98104021929029317</v>
      </c>
      <c r="K289" s="31">
        <f t="shared" si="65"/>
        <v>0.9615203166647448</v>
      </c>
      <c r="L289" s="31">
        <f t="shared" si="66"/>
        <v>0.88550116156357672</v>
      </c>
      <c r="M289" s="30">
        <f t="shared" si="67"/>
        <v>-6.0004999999124748E-6</v>
      </c>
      <c r="N289" s="30">
        <f t="shared" si="69"/>
        <v>-3.0699000000041164E-5</v>
      </c>
      <c r="O289" s="30">
        <f t="shared" si="70"/>
        <v>-1.1768199999994441E-4</v>
      </c>
      <c r="P289" s="30">
        <f t="shared" si="71"/>
        <v>-3.619560000000202E-4</v>
      </c>
      <c r="Q289" s="30">
        <f t="shared" si="72"/>
        <v>-1.1338199999999855E-3</v>
      </c>
      <c r="R289" s="30">
        <f t="shared" si="68"/>
        <v>2.0059596978907246E-2</v>
      </c>
      <c r="S289" s="30">
        <f t="shared" si="73"/>
        <v>1.9669792458954838E-2</v>
      </c>
      <c r="T289" s="30">
        <f t="shared" si="74"/>
        <v>1.932620124730744E-2</v>
      </c>
      <c r="U289" s="30">
        <f t="shared" si="75"/>
        <v>1.9813525045518032E-2</v>
      </c>
      <c r="V289" s="30">
        <f t="shared" si="76"/>
        <v>2.4618452676331337E-2</v>
      </c>
    </row>
    <row r="290" spans="1:22" s="29" customFormat="1" ht="20" customHeight="1" x14ac:dyDescent="0.35">
      <c r="A290" s="131"/>
      <c r="B290" s="28">
        <v>45831</v>
      </c>
      <c r="C290" s="30">
        <v>1.9555957999999998E-2</v>
      </c>
      <c r="D290" s="30">
        <v>1.9430392000000001E-2</v>
      </c>
      <c r="E290" s="30">
        <v>1.9034832000000002E-2</v>
      </c>
      <c r="F290" s="30">
        <v>1.9362784000000001E-2</v>
      </c>
      <c r="G290" s="30">
        <v>2.4417203999999998E-2</v>
      </c>
      <c r="H290" s="31">
        <f t="shared" si="62"/>
        <v>0.99512294215666475</v>
      </c>
      <c r="I290" s="31">
        <f t="shared" si="63"/>
        <v>0.99033184405894503</v>
      </c>
      <c r="J290" s="31">
        <f t="shared" si="64"/>
        <v>0.98114518639847037</v>
      </c>
      <c r="K290" s="31">
        <f t="shared" si="65"/>
        <v>0.9620146805364207</v>
      </c>
      <c r="L290" s="31">
        <f t="shared" si="66"/>
        <v>0.88507223131467594</v>
      </c>
      <c r="M290" s="30">
        <f t="shared" si="67"/>
        <v>7.627400000002794E-5</v>
      </c>
      <c r="N290" s="30">
        <f t="shared" si="69"/>
        <v>2.4225000000033474E-5</v>
      </c>
      <c r="O290" s="30">
        <f t="shared" si="70"/>
        <v>1.0698999999997917E-4</v>
      </c>
      <c r="P290" s="30">
        <f t="shared" si="71"/>
        <v>5.1401600000002738E-4</v>
      </c>
      <c r="Q290" s="30">
        <f t="shared" si="72"/>
        <v>-4.8451000000004099E-4</v>
      </c>
      <c r="R290" s="30">
        <f t="shared" si="68"/>
        <v>1.9748428346673563E-2</v>
      </c>
      <c r="S290" s="30">
        <f t="shared" si="73"/>
        <v>1.9620390654278452E-2</v>
      </c>
      <c r="T290" s="30">
        <f t="shared" si="74"/>
        <v>1.9217149370870157E-2</v>
      </c>
      <c r="U290" s="30">
        <f t="shared" si="75"/>
        <v>1.9551458489116325E-2</v>
      </c>
      <c r="V290" s="30">
        <f t="shared" si="76"/>
        <v>2.47177450643703E-2</v>
      </c>
    </row>
    <row r="291" spans="1:22" s="29" customFormat="1" ht="20" customHeight="1" x14ac:dyDescent="0.35">
      <c r="A291" s="131"/>
      <c r="B291" s="28">
        <v>45838</v>
      </c>
      <c r="C291" s="30">
        <v>1.9449028E-2</v>
      </c>
      <c r="D291" s="30">
        <v>1.9248678000000002E-2</v>
      </c>
      <c r="E291" s="30">
        <v>1.8851483999999998E-2</v>
      </c>
      <c r="F291" s="30">
        <v>1.9271066E-2</v>
      </c>
      <c r="G291" s="30">
        <v>2.4452948000000002E-2</v>
      </c>
      <c r="H291" s="31">
        <f t="shared" si="62"/>
        <v>0.99514954463628968</v>
      </c>
      <c r="I291" s="31">
        <f t="shared" si="63"/>
        <v>0.9904218267270164</v>
      </c>
      <c r="J291" s="31">
        <f t="shared" si="64"/>
        <v>0.98132509389844225</v>
      </c>
      <c r="K291" s="31">
        <f t="shared" si="65"/>
        <v>0.96219116484765277</v>
      </c>
      <c r="L291" s="31">
        <f t="shared" si="66"/>
        <v>0.88491406533962791</v>
      </c>
      <c r="M291" s="30">
        <f t="shared" si="67"/>
        <v>2.6732500000007242E-5</v>
      </c>
      <c r="N291" s="30">
        <f t="shared" si="69"/>
        <v>9.0857000000012402E-5</v>
      </c>
      <c r="O291" s="30">
        <f t="shared" si="70"/>
        <v>1.8334799999987264E-4</v>
      </c>
      <c r="P291" s="30">
        <f t="shared" si="71"/>
        <v>1.8343600000005064E-4</v>
      </c>
      <c r="Q291" s="30">
        <f t="shared" si="72"/>
        <v>-1.7872000000004881E-4</v>
      </c>
      <c r="R291" s="30">
        <f t="shared" si="68"/>
        <v>1.9639392476937134E-2</v>
      </c>
      <c r="S291" s="30">
        <f t="shared" si="73"/>
        <v>1.9435128187512918E-2</v>
      </c>
      <c r="T291" s="30">
        <f t="shared" si="74"/>
        <v>1.9030295075171511E-2</v>
      </c>
      <c r="U291" s="30">
        <f t="shared" si="75"/>
        <v>1.9457951556646647E-2</v>
      </c>
      <c r="V291" s="30">
        <f t="shared" si="76"/>
        <v>2.4754373230064575E-2</v>
      </c>
    </row>
    <row r="292" spans="1:22" s="29" customFormat="1" ht="20" customHeight="1" x14ac:dyDescent="0.35">
      <c r="A292" s="131"/>
      <c r="B292" s="28">
        <v>45845</v>
      </c>
      <c r="C292" s="30">
        <v>1.9520467999999999E-2</v>
      </c>
      <c r="D292" s="30">
        <v>1.9273432E-2</v>
      </c>
      <c r="E292" s="30">
        <v>1.9008479999999998E-2</v>
      </c>
      <c r="F292" s="30">
        <v>1.9637936000000002E-2</v>
      </c>
      <c r="G292" s="30">
        <v>2.4910401999999995E-2</v>
      </c>
      <c r="H292" s="31">
        <f t="shared" si="62"/>
        <v>0.99513177142413778</v>
      </c>
      <c r="I292" s="31">
        <f t="shared" si="63"/>
        <v>0.99040956835192817</v>
      </c>
      <c r="J292" s="31">
        <f t="shared" si="64"/>
        <v>0.98117104187709259</v>
      </c>
      <c r="K292" s="31">
        <f t="shared" si="65"/>
        <v>0.9614854256485601</v>
      </c>
      <c r="L292" s="31">
        <f t="shared" si="66"/>
        <v>0.88289234094158553</v>
      </c>
      <c r="M292" s="30">
        <f t="shared" si="67"/>
        <v>-1.7859999999909108E-5</v>
      </c>
      <c r="N292" s="30">
        <f t="shared" si="69"/>
        <v>-1.2376999999914768E-5</v>
      </c>
      <c r="O292" s="30">
        <f t="shared" si="70"/>
        <v>-1.5699599999995984E-4</v>
      </c>
      <c r="P292" s="30">
        <f t="shared" si="71"/>
        <v>-7.3374000000003012E-4</v>
      </c>
      <c r="Q292" s="30">
        <f t="shared" si="72"/>
        <v>-2.2872700000000643E-3</v>
      </c>
      <c r="R292" s="30">
        <f t="shared" si="68"/>
        <v>1.971223811715106E-2</v>
      </c>
      <c r="S292" s="30">
        <f t="shared" si="73"/>
        <v>1.9460363597013419E-2</v>
      </c>
      <c r="T292" s="30">
        <f t="shared" si="74"/>
        <v>1.9190291314433283E-2</v>
      </c>
      <c r="U292" s="30">
        <f t="shared" si="75"/>
        <v>1.9832028709981131E-2</v>
      </c>
      <c r="V292" s="30">
        <f t="shared" si="76"/>
        <v>2.5223258455650432E-2</v>
      </c>
    </row>
    <row r="293" spans="1:22" s="29" customFormat="1" ht="20" customHeight="1" x14ac:dyDescent="0.35">
      <c r="A293" s="131"/>
      <c r="B293" s="28">
        <v>45852</v>
      </c>
      <c r="C293" s="30">
        <v>1.9620001999999997E-2</v>
      </c>
      <c r="D293" s="30">
        <v>1.9218427999999999E-2</v>
      </c>
      <c r="E293" s="30">
        <v>1.8878270000000003E-2</v>
      </c>
      <c r="F293" s="30">
        <v>1.9546821999999998E-2</v>
      </c>
      <c r="G293" s="30">
        <v>2.4898812000000003E-2</v>
      </c>
      <c r="H293" s="31">
        <f t="shared" si="62"/>
        <v>0.99510700937078811</v>
      </c>
      <c r="I293" s="31">
        <f t="shared" si="63"/>
        <v>0.99043680697043346</v>
      </c>
      <c r="J293" s="31">
        <f t="shared" si="64"/>
        <v>0.98129880847651929</v>
      </c>
      <c r="K293" s="31">
        <f t="shared" si="65"/>
        <v>0.96166065117971933</v>
      </c>
      <c r="L293" s="31">
        <f t="shared" si="66"/>
        <v>0.8829435060352373</v>
      </c>
      <c r="M293" s="30">
        <f t="shared" si="67"/>
        <v>-2.4883499999994013E-5</v>
      </c>
      <c r="N293" s="30">
        <f t="shared" si="69"/>
        <v>2.7502000000028174E-5</v>
      </c>
      <c r="O293" s="30">
        <f t="shared" si="70"/>
        <v>1.3020999999989691E-4</v>
      </c>
      <c r="P293" s="30">
        <f t="shared" si="71"/>
        <v>1.8222799999995467E-4</v>
      </c>
      <c r="Q293" s="30">
        <f t="shared" si="72"/>
        <v>5.7950000000009147E-5</v>
      </c>
      <c r="R293" s="30">
        <f t="shared" si="68"/>
        <v>1.9813739206380632E-2</v>
      </c>
      <c r="S293" s="30">
        <f t="shared" si="73"/>
        <v>1.9404290741303898E-2</v>
      </c>
      <c r="T293" s="30">
        <f t="shared" si="74"/>
        <v>1.9057591186230516E-2</v>
      </c>
      <c r="U293" s="30">
        <f t="shared" si="75"/>
        <v>1.9739111967589595E-2</v>
      </c>
      <c r="V293" s="30">
        <f t="shared" si="76"/>
        <v>2.5211376186942802E-2</v>
      </c>
    </row>
    <row r="294" spans="1:22" s="29" customFormat="1" ht="20" customHeight="1" x14ac:dyDescent="0.35">
      <c r="A294" s="131"/>
      <c r="B294" s="28">
        <v>45859</v>
      </c>
      <c r="C294" s="30">
        <v>1.9628626E-2</v>
      </c>
      <c r="D294" s="30">
        <v>1.9218522000000002E-2</v>
      </c>
      <c r="E294" s="30">
        <v>1.8891120000000001E-2</v>
      </c>
      <c r="F294" s="30">
        <v>1.9497278000000003E-2</v>
      </c>
      <c r="G294" s="30">
        <v>2.4530276E-2</v>
      </c>
      <c r="H294" s="31">
        <f t="shared" si="62"/>
        <v>0.99510486392238873</v>
      </c>
      <c r="I294" s="31">
        <f t="shared" si="63"/>
        <v>0.99043676041990469</v>
      </c>
      <c r="J294" s="31">
        <f t="shared" si="64"/>
        <v>0.98128619886784729</v>
      </c>
      <c r="K294" s="31">
        <f t="shared" si="65"/>
        <v>0.96175594493147909</v>
      </c>
      <c r="L294" s="31">
        <f t="shared" si="66"/>
        <v>0.88457198829999972</v>
      </c>
      <c r="M294" s="30">
        <f t="shared" si="67"/>
        <v>-2.1560000000008498E-6</v>
      </c>
      <c r="N294" s="30">
        <f t="shared" si="69"/>
        <v>-4.6999999886271504E-8</v>
      </c>
      <c r="O294" s="30">
        <f t="shared" si="70"/>
        <v>-1.2850000000002493E-5</v>
      </c>
      <c r="P294" s="30">
        <f t="shared" si="71"/>
        <v>9.9088000000016016E-5</v>
      </c>
      <c r="Q294" s="30">
        <f t="shared" si="72"/>
        <v>1.8426800000000156E-3</v>
      </c>
      <c r="R294" s="30">
        <f t="shared" si="68"/>
        <v>1.9822534117991175E-2</v>
      </c>
      <c r="S294" s="30">
        <f t="shared" si="73"/>
        <v>1.9404386565311738E-2</v>
      </c>
      <c r="T294" s="30">
        <f t="shared" si="74"/>
        <v>1.9070686160412409E-2</v>
      </c>
      <c r="U294" s="30">
        <f t="shared" si="75"/>
        <v>1.9688591264535482E-2</v>
      </c>
      <c r="V294" s="30">
        <f t="shared" si="76"/>
        <v>2.4833618500137211E-2</v>
      </c>
    </row>
    <row r="295" spans="1:22" s="29" customFormat="1" ht="20" customHeight="1" x14ac:dyDescent="0.35">
      <c r="A295" s="131"/>
      <c r="B295" s="28">
        <v>45866</v>
      </c>
      <c r="C295" s="30">
        <v>1.9743432000000002E-2</v>
      </c>
      <c r="D295" s="30">
        <v>1.9510794000000001E-2</v>
      </c>
      <c r="E295" s="30">
        <v>1.9412977999999997E-2</v>
      </c>
      <c r="F295" s="30">
        <v>2.0189081999999997E-2</v>
      </c>
      <c r="G295" s="30">
        <v>2.5086859999999999E-2</v>
      </c>
      <c r="H295" s="31">
        <f t="shared" si="62"/>
        <v>0.99507630333000474</v>
      </c>
      <c r="I295" s="31">
        <f t="shared" si="63"/>
        <v>0.99029203252871911</v>
      </c>
      <c r="J295" s="31">
        <f t="shared" si="64"/>
        <v>0.98077424041110539</v>
      </c>
      <c r="K295" s="31">
        <f t="shared" si="65"/>
        <v>0.96042617186648971</v>
      </c>
      <c r="L295" s="31">
        <f t="shared" si="66"/>
        <v>0.88211371739448985</v>
      </c>
      <c r="M295" s="30">
        <f t="shared" si="67"/>
        <v>-2.8701500000033864E-5</v>
      </c>
      <c r="N295" s="30">
        <f t="shared" si="69"/>
        <v>-1.4613600000002659E-4</v>
      </c>
      <c r="O295" s="30">
        <f t="shared" si="70"/>
        <v>-5.2185799999997955E-4</v>
      </c>
      <c r="P295" s="30">
        <f t="shared" si="71"/>
        <v>-1.3836079999999481E-3</v>
      </c>
      <c r="Q295" s="30">
        <f t="shared" si="72"/>
        <v>-2.782920000000094E-3</v>
      </c>
      <c r="R295" s="30">
        <f t="shared" si="68"/>
        <v>1.993962258494375E-2</v>
      </c>
      <c r="S295" s="30">
        <f t="shared" si="73"/>
        <v>1.9702373468674761E-2</v>
      </c>
      <c r="T295" s="30">
        <f t="shared" si="74"/>
        <v>1.9602635139393421E-2</v>
      </c>
      <c r="U295" s="30">
        <f t="shared" si="75"/>
        <v>2.0394259974800821E-2</v>
      </c>
      <c r="V295" s="30">
        <f t="shared" si="76"/>
        <v>2.5404183263736391E-2</v>
      </c>
    </row>
    <row r="296" spans="1:22" s="29" customFormat="1" ht="20" customHeight="1" x14ac:dyDescent="0.35">
      <c r="A296" s="131"/>
      <c r="B296" s="28">
        <v>45873</v>
      </c>
      <c r="C296" s="30">
        <v>1.9796049999999999E-2</v>
      </c>
      <c r="D296" s="30">
        <v>1.9524180000000002E-2</v>
      </c>
      <c r="E296" s="30">
        <v>1.9346028000000001E-2</v>
      </c>
      <c r="F296" s="30">
        <v>1.9987841999999999E-2</v>
      </c>
      <c r="G296" s="30">
        <v>2.4690753999999999E-2</v>
      </c>
      <c r="H296" s="31">
        <f t="shared" si="62"/>
        <v>0.99506321368486661</v>
      </c>
      <c r="I296" s="31">
        <f t="shared" si="63"/>
        <v>0.99028540452632596</v>
      </c>
      <c r="J296" s="31">
        <f t="shared" si="64"/>
        <v>0.98083990544461341</v>
      </c>
      <c r="K296" s="31">
        <f t="shared" si="65"/>
        <v>0.96081280199236985</v>
      </c>
      <c r="L296" s="31">
        <f t="shared" si="66"/>
        <v>0.88386250126302524</v>
      </c>
      <c r="M296" s="30">
        <f t="shared" si="67"/>
        <v>-1.3154499999987929E-5</v>
      </c>
      <c r="N296" s="30">
        <f t="shared" si="69"/>
        <v>-6.6930000001042233E-6</v>
      </c>
      <c r="O296" s="30">
        <f t="shared" si="70"/>
        <v>6.6950000000079812E-5</v>
      </c>
      <c r="P296" s="30">
        <f t="shared" si="71"/>
        <v>4.024800000000105E-4</v>
      </c>
      <c r="Q296" s="30">
        <f t="shared" si="72"/>
        <v>1.9805300000000025E-3</v>
      </c>
      <c r="R296" s="30">
        <f t="shared" si="68"/>
        <v>1.9993291179959627E-2</v>
      </c>
      <c r="S296" s="30">
        <f t="shared" si="73"/>
        <v>1.9716023296004304E-2</v>
      </c>
      <c r="T296" s="30">
        <f t="shared" si="74"/>
        <v>1.9534375028003481E-2</v>
      </c>
      <c r="U296" s="30">
        <f t="shared" si="75"/>
        <v>2.0188936494264897E-2</v>
      </c>
      <c r="V296" s="30">
        <f t="shared" si="76"/>
        <v>2.4998094946639515E-2</v>
      </c>
    </row>
    <row r="297" spans="1:22" s="29" customFormat="1" ht="20" customHeight="1" x14ac:dyDescent="0.35">
      <c r="A297" s="131"/>
      <c r="B297" s="28">
        <v>45880</v>
      </c>
      <c r="C297" s="30">
        <v>1.9919025999999999E-2</v>
      </c>
      <c r="D297" s="30">
        <v>1.9660732E-2</v>
      </c>
      <c r="E297" s="30">
        <v>1.9540482000000001E-2</v>
      </c>
      <c r="F297" s="30">
        <v>2.0329534000000003E-2</v>
      </c>
      <c r="G297" s="30">
        <v>2.5280893999999998E-2</v>
      </c>
      <c r="H297" s="31">
        <f t="shared" si="62"/>
        <v>0.99503262193168396</v>
      </c>
      <c r="I297" s="31">
        <f t="shared" si="63"/>
        <v>0.99021779410815725</v>
      </c>
      <c r="J297" s="31">
        <f t="shared" si="64"/>
        <v>0.98064919574437304</v>
      </c>
      <c r="K297" s="31">
        <f t="shared" si="65"/>
        <v>0.96015642220176145</v>
      </c>
      <c r="L297" s="31">
        <f t="shared" si="66"/>
        <v>0.88125833213093863</v>
      </c>
      <c r="M297" s="30">
        <f t="shared" si="67"/>
        <v>-3.0743999999986274E-5</v>
      </c>
      <c r="N297" s="30">
        <f t="shared" si="69"/>
        <v>-6.8276000000041601E-5</v>
      </c>
      <c r="O297" s="30">
        <f t="shared" si="70"/>
        <v>-1.9445400000000934E-4</v>
      </c>
      <c r="P297" s="30">
        <f t="shared" si="71"/>
        <v>-6.8338399999991954E-4</v>
      </c>
      <c r="Q297" s="30">
        <f t="shared" si="72"/>
        <v>-2.9507000000000764E-3</v>
      </c>
      <c r="R297" s="30">
        <f t="shared" si="68"/>
        <v>2.0118733587980442E-2</v>
      </c>
      <c r="S297" s="30">
        <f t="shared" si="73"/>
        <v>1.9855277065891297E-2</v>
      </c>
      <c r="T297" s="30">
        <f t="shared" si="74"/>
        <v>1.9732646842114177E-2</v>
      </c>
      <c r="U297" s="30">
        <f t="shared" si="75"/>
        <v>2.0537586454412615E-2</v>
      </c>
      <c r="V297" s="30">
        <f t="shared" si="76"/>
        <v>2.5603165843100406E-2</v>
      </c>
    </row>
    <row r="298" spans="1:22" s="29" customFormat="1" ht="20" customHeight="1" x14ac:dyDescent="0.35">
      <c r="A298" s="131"/>
      <c r="B298" s="28">
        <v>45887</v>
      </c>
      <c r="C298" s="30">
        <v>1.9802924000000003E-2</v>
      </c>
      <c r="D298" s="30">
        <v>1.9584307999999998E-2</v>
      </c>
      <c r="E298" s="30">
        <v>1.9519508000000001E-2</v>
      </c>
      <c r="F298" s="30">
        <v>2.0367721999999998E-2</v>
      </c>
      <c r="G298" s="30">
        <v>2.5426492000000005E-2</v>
      </c>
      <c r="H298" s="31">
        <f t="shared" si="62"/>
        <v>0.99506150367020318</v>
      </c>
      <c r="I298" s="31">
        <f t="shared" si="63"/>
        <v>0.99025563303345165</v>
      </c>
      <c r="J298" s="31">
        <f t="shared" si="64"/>
        <v>0.98066976409630413</v>
      </c>
      <c r="K298" s="31">
        <f t="shared" si="65"/>
        <v>0.96008309209522513</v>
      </c>
      <c r="L298" s="31">
        <f t="shared" si="66"/>
        <v>0.88061701834106665</v>
      </c>
      <c r="M298" s="30">
        <f t="shared" si="67"/>
        <v>2.90254999999741E-5</v>
      </c>
      <c r="N298" s="30">
        <f t="shared" si="69"/>
        <v>3.8211999999978607E-5</v>
      </c>
      <c r="O298" s="30">
        <f t="shared" si="70"/>
        <v>2.0974000000073498E-5</v>
      </c>
      <c r="P298" s="30">
        <f t="shared" si="71"/>
        <v>-7.6375999999996587E-5</v>
      </c>
      <c r="Q298" s="30">
        <f t="shared" si="72"/>
        <v>-7.2798999999998284E-4</v>
      </c>
      <c r="R298" s="30">
        <f t="shared" si="68"/>
        <v>2.0000302637941614E-2</v>
      </c>
      <c r="S298" s="30">
        <f t="shared" si="73"/>
        <v>1.9777338624418439E-2</v>
      </c>
      <c r="T298" s="30">
        <f t="shared" si="74"/>
        <v>1.9711259193872399E-2</v>
      </c>
      <c r="U298" s="30">
        <f t="shared" si="75"/>
        <v>2.0576559487910373E-2</v>
      </c>
      <c r="V298" s="30">
        <f t="shared" si="76"/>
        <v>2.5752502484135187E-2</v>
      </c>
    </row>
    <row r="299" spans="1:22" s="29" customFormat="1" ht="20" customHeight="1" x14ac:dyDescent="0.35">
      <c r="A299" s="131"/>
      <c r="B299" s="28">
        <v>45894</v>
      </c>
      <c r="C299" s="30">
        <v>2.0024225999999999E-2</v>
      </c>
      <c r="D299" s="30">
        <v>1.9768477999999999E-2</v>
      </c>
      <c r="E299" s="30">
        <v>1.9631979999999997E-2</v>
      </c>
      <c r="F299" s="30">
        <v>2.0362923999999998E-2</v>
      </c>
      <c r="G299" s="30">
        <v>2.5369441999999999E-2</v>
      </c>
      <c r="H299" s="31">
        <f t="shared" si="62"/>
        <v>0.99500645291785117</v>
      </c>
      <c r="I299" s="31">
        <f t="shared" si="63"/>
        <v>0.99016444954186411</v>
      </c>
      <c r="J299" s="31">
        <f t="shared" si="64"/>
        <v>0.98055947240907626</v>
      </c>
      <c r="K299" s="31">
        <f t="shared" si="65"/>
        <v>0.96009230509678078</v>
      </c>
      <c r="L299" s="31">
        <f t="shared" si="66"/>
        <v>0.88086825017578541</v>
      </c>
      <c r="M299" s="30">
        <f t="shared" si="67"/>
        <v>-5.5325500000002539E-5</v>
      </c>
      <c r="N299" s="30">
        <f t="shared" si="69"/>
        <v>-9.2085000000008453E-5</v>
      </c>
      <c r="O299" s="30">
        <f t="shared" si="70"/>
        <v>-1.1247200000006809E-4</v>
      </c>
      <c r="P299" s="30">
        <f t="shared" si="71"/>
        <v>9.5960000000268299E-6</v>
      </c>
      <c r="Q299" s="30">
        <f t="shared" si="72"/>
        <v>2.8525000000016618E-4</v>
      </c>
      <c r="R299" s="30">
        <f t="shared" si="68"/>
        <v>2.022605572379943E-2</v>
      </c>
      <c r="S299" s="30">
        <f t="shared" si="73"/>
        <v>1.9965168312638948E-2</v>
      </c>
      <c r="T299" s="30">
        <f t="shared" si="74"/>
        <v>1.9825954608506891E-2</v>
      </c>
      <c r="U299" s="30">
        <f t="shared" si="75"/>
        <v>2.0571662773325228E-2</v>
      </c>
      <c r="V299" s="30">
        <f t="shared" si="76"/>
        <v>2.5693984973096162E-2</v>
      </c>
    </row>
    <row r="300" spans="1:22" s="29" customFormat="1" ht="20" customHeight="1" x14ac:dyDescent="0.35">
      <c r="A300" s="131"/>
      <c r="B300" s="28">
        <v>45901</v>
      </c>
      <c r="C300" s="30">
        <v>2.0113270000000003E-2</v>
      </c>
      <c r="D300" s="30">
        <v>1.9862264000000001E-2</v>
      </c>
      <c r="E300" s="30">
        <v>1.972192E-2</v>
      </c>
      <c r="F300" s="30">
        <v>2.0424339999999999E-2</v>
      </c>
      <c r="G300" s="30">
        <v>2.5382981999999998E-2</v>
      </c>
      <c r="H300" s="31">
        <f t="shared" si="62"/>
        <v>0.99498430332573973</v>
      </c>
      <c r="I300" s="31">
        <f t="shared" si="63"/>
        <v>0.99011801884897743</v>
      </c>
      <c r="J300" s="31">
        <f t="shared" si="64"/>
        <v>0.98047128485598156</v>
      </c>
      <c r="K300" s="31">
        <f t="shared" si="65"/>
        <v>0.95997438228125698</v>
      </c>
      <c r="L300" s="31">
        <f t="shared" si="66"/>
        <v>0.8808086174138402</v>
      </c>
      <c r="M300" s="30">
        <f t="shared" si="67"/>
        <v>-2.2260999999999765E-5</v>
      </c>
      <c r="N300" s="30">
        <f t="shared" si="69"/>
        <v>-4.6893000000063175E-5</v>
      </c>
      <c r="O300" s="30">
        <f t="shared" si="70"/>
        <v>-8.9939999999972349E-5</v>
      </c>
      <c r="P300" s="30">
        <f t="shared" si="71"/>
        <v>-1.2283200000008264E-4</v>
      </c>
      <c r="Q300" s="30">
        <f t="shared" si="72"/>
        <v>-6.7700000000041463E-5</v>
      </c>
      <c r="R300" s="30">
        <f t="shared" si="68"/>
        <v>2.0316904777426759E-2</v>
      </c>
      <c r="S300" s="30">
        <f t="shared" si="73"/>
        <v>2.0060831251766276E-2</v>
      </c>
      <c r="T300" s="30">
        <f t="shared" si="74"/>
        <v>1.9917681879777938E-2</v>
      </c>
      <c r="U300" s="30">
        <f t="shared" si="75"/>
        <v>2.0634344127365312E-2</v>
      </c>
      <c r="V300" s="30">
        <f t="shared" si="76"/>
        <v>2.5707872963674383E-2</v>
      </c>
    </row>
    <row r="301" spans="1:22" s="29" customFormat="1" ht="20" customHeight="1" x14ac:dyDescent="0.35">
      <c r="A301" s="131"/>
      <c r="B301" s="28">
        <v>45908</v>
      </c>
      <c r="C301" s="30">
        <v>2.0070795999999998E-2</v>
      </c>
      <c r="D301" s="30">
        <v>1.9872816000000001E-2</v>
      </c>
      <c r="E301" s="30">
        <v>1.9755829999999999E-2</v>
      </c>
      <c r="F301" s="30">
        <v>2.0355662000000004E-2</v>
      </c>
      <c r="G301" s="30">
        <v>2.4892701999999999E-2</v>
      </c>
      <c r="H301" s="31">
        <f t="shared" si="62"/>
        <v>0.99499486862265829</v>
      </c>
      <c r="I301" s="31">
        <f t="shared" si="63"/>
        <v>0.99011279500009053</v>
      </c>
      <c r="J301" s="31">
        <f t="shared" si="64"/>
        <v>0.98043803763842186</v>
      </c>
      <c r="K301" s="31">
        <f t="shared" si="65"/>
        <v>0.96010624957868451</v>
      </c>
      <c r="L301" s="31">
        <f t="shared" si="66"/>
        <v>0.8829704803713776</v>
      </c>
      <c r="M301" s="30">
        <f t="shared" si="67"/>
        <v>1.0618499999936515E-5</v>
      </c>
      <c r="N301" s="30">
        <f t="shared" si="69"/>
        <v>-5.2759999999731228E-6</v>
      </c>
      <c r="O301" s="30">
        <f t="shared" si="70"/>
        <v>-3.3909999999979602E-5</v>
      </c>
      <c r="P301" s="30">
        <f t="shared" si="71"/>
        <v>1.3735600000000902E-4</v>
      </c>
      <c r="Q301" s="30">
        <f t="shared" si="72"/>
        <v>2.4513999999999829E-3</v>
      </c>
      <c r="R301" s="30">
        <f t="shared" si="68"/>
        <v>2.0273568757546823E-2</v>
      </c>
      <c r="S301" s="30">
        <f t="shared" si="73"/>
        <v>2.0071594990447084E-2</v>
      </c>
      <c r="T301" s="30">
        <f t="shared" si="74"/>
        <v>1.9952267874772556E-2</v>
      </c>
      <c r="U301" s="30">
        <f t="shared" si="75"/>
        <v>2.0564251408820899E-2</v>
      </c>
      <c r="V301" s="30">
        <f t="shared" si="76"/>
        <v>2.5205112164570886E-2</v>
      </c>
    </row>
    <row r="302" spans="1:22" s="29" customFormat="1" ht="20" customHeight="1" x14ac:dyDescent="0.35">
      <c r="A302" s="131"/>
      <c r="B302" s="28">
        <v>45915</v>
      </c>
      <c r="C302" s="30">
        <v>2.0064992000000004E-2</v>
      </c>
      <c r="D302" s="30">
        <v>1.999306E-2</v>
      </c>
      <c r="E302" s="30">
        <v>2.0008916000000002E-2</v>
      </c>
      <c r="F302" s="30">
        <v>2.0723823999999998E-2</v>
      </c>
      <c r="G302" s="30">
        <v>2.5349010000000002E-2</v>
      </c>
      <c r="H302" s="31">
        <f t="shared" si="62"/>
        <v>0.99499631236126007</v>
      </c>
      <c r="I302" s="31">
        <f t="shared" si="63"/>
        <v>0.9900532692280517</v>
      </c>
      <c r="J302" s="31">
        <f t="shared" si="64"/>
        <v>0.9801899338943445</v>
      </c>
      <c r="K302" s="31">
        <f t="shared" si="65"/>
        <v>0.9593995605125587</v>
      </c>
      <c r="L302" s="31">
        <f t="shared" si="66"/>
        <v>0.88095824427304359</v>
      </c>
      <c r="M302" s="30">
        <f t="shared" si="67"/>
        <v>1.4509999999426099E-6</v>
      </c>
      <c r="N302" s="30">
        <f t="shared" si="69"/>
        <v>-6.0121999999957192E-5</v>
      </c>
      <c r="O302" s="30">
        <f t="shared" si="70"/>
        <v>-2.5308600000000143E-4</v>
      </c>
      <c r="P302" s="30">
        <f t="shared" si="71"/>
        <v>-7.3632400000001616E-4</v>
      </c>
      <c r="Q302" s="30">
        <f t="shared" si="72"/>
        <v>-2.2815399999999045E-3</v>
      </c>
      <c r="R302" s="30">
        <f t="shared" si="68"/>
        <v>2.0267647106938291E-2</v>
      </c>
      <c r="S302" s="30">
        <f t="shared" si="73"/>
        <v>2.0194259854024343E-2</v>
      </c>
      <c r="T302" s="30">
        <f t="shared" si="74"/>
        <v>2.0210436182453995E-2</v>
      </c>
      <c r="U302" s="30">
        <f t="shared" si="75"/>
        <v>2.0940053558538674E-2</v>
      </c>
      <c r="V302" s="30">
        <f t="shared" si="76"/>
        <v>2.5673028207690241E-2</v>
      </c>
    </row>
    <row r="303" spans="1:22" s="29" customFormat="1" ht="20" customHeight="1" x14ac:dyDescent="0.35">
      <c r="A303" s="131"/>
      <c r="B303" s="28">
        <v>45922</v>
      </c>
      <c r="C303" s="30">
        <v>2.0089435999999999E-2</v>
      </c>
      <c r="D303" s="30">
        <v>1.9999136000000001E-2</v>
      </c>
      <c r="E303" s="30">
        <v>2.0064788E-2</v>
      </c>
      <c r="F303" s="30">
        <v>2.0934398E-2</v>
      </c>
      <c r="G303" s="30">
        <v>2.5756459999999998E-2</v>
      </c>
      <c r="H303" s="31">
        <f t="shared" si="62"/>
        <v>0.99499023195737391</v>
      </c>
      <c r="I303" s="31">
        <f t="shared" si="63"/>
        <v>0.99005026145078867</v>
      </c>
      <c r="J303" s="31">
        <f t="shared" si="64"/>
        <v>0.98013517025224928</v>
      </c>
      <c r="K303" s="31">
        <f t="shared" si="65"/>
        <v>0.95899559637676268</v>
      </c>
      <c r="L303" s="31">
        <f t="shared" si="66"/>
        <v>0.87916533900812799</v>
      </c>
      <c r="M303" s="30">
        <f t="shared" si="67"/>
        <v>-6.1109999999783892E-6</v>
      </c>
      <c r="N303" s="30">
        <f t="shared" si="69"/>
        <v>-3.037999999975057E-6</v>
      </c>
      <c r="O303" s="30">
        <f t="shared" si="70"/>
        <v>-5.587199999998868E-5</v>
      </c>
      <c r="P303" s="30">
        <f t="shared" si="71"/>
        <v>-4.2114799999994626E-4</v>
      </c>
      <c r="Q303" s="30">
        <f t="shared" si="72"/>
        <v>-2.0372500000001128E-3</v>
      </c>
      <c r="R303" s="30">
        <f t="shared" si="68"/>
        <v>2.0292586834116388E-2</v>
      </c>
      <c r="S303" s="30">
        <f t="shared" si="73"/>
        <v>2.0200458573178759E-2</v>
      </c>
      <c r="T303" s="30">
        <f t="shared" si="74"/>
        <v>2.0267438972359608E-2</v>
      </c>
      <c r="U303" s="30">
        <f t="shared" si="75"/>
        <v>2.1155059625926231E-2</v>
      </c>
      <c r="V303" s="30">
        <f t="shared" si="76"/>
        <v>2.6091023833409555E-2</v>
      </c>
    </row>
    <row r="304" spans="1:22" s="29" customFormat="1" ht="20" customHeight="1" x14ac:dyDescent="0.35">
      <c r="A304" s="131"/>
      <c r="B304" s="28">
        <v>45929</v>
      </c>
      <c r="C304" s="30">
        <v>1.9977228E-2</v>
      </c>
      <c r="D304" s="30">
        <v>1.9922460000000003E-2</v>
      </c>
      <c r="E304" s="30">
        <v>2.0023644000000004E-2</v>
      </c>
      <c r="F304" s="30">
        <v>2.0876097999999999E-2</v>
      </c>
      <c r="G304" s="30">
        <v>2.5505614000000003E-2</v>
      </c>
      <c r="H304" s="31">
        <f t="shared" si="62"/>
        <v>0.99501814381485065</v>
      </c>
      <c r="I304" s="31">
        <f t="shared" si="63"/>
        <v>0.9900882187253105</v>
      </c>
      <c r="J304" s="31">
        <f t="shared" si="64"/>
        <v>0.98017549776330604</v>
      </c>
      <c r="K304" s="31">
        <f t="shared" si="65"/>
        <v>0.95910742178259467</v>
      </c>
      <c r="L304" s="31">
        <f t="shared" si="66"/>
        <v>0.88026870634483789</v>
      </c>
      <c r="M304" s="30">
        <f t="shared" si="67"/>
        <v>2.8052000000011044E-5</v>
      </c>
      <c r="N304" s="30">
        <f t="shared" si="69"/>
        <v>3.833800000003432E-5</v>
      </c>
      <c r="O304" s="30">
        <f t="shared" si="70"/>
        <v>4.1143999999945903E-5</v>
      </c>
      <c r="P304" s="30">
        <f t="shared" si="71"/>
        <v>1.1660000000004612E-4</v>
      </c>
      <c r="Q304" s="30">
        <f t="shared" si="72"/>
        <v>1.2542299999999042E-3</v>
      </c>
      <c r="R304" s="30">
        <f t="shared" si="68"/>
        <v>2.0178108266358574E-2</v>
      </c>
      <c r="S304" s="30">
        <f t="shared" si="73"/>
        <v>2.0122236681726413E-2</v>
      </c>
      <c r="T304" s="30">
        <f t="shared" si="74"/>
        <v>2.0225461952407597E-2</v>
      </c>
      <c r="U304" s="30">
        <f t="shared" si="75"/>
        <v>2.1095528021312981E-2</v>
      </c>
      <c r="V304" s="30">
        <f t="shared" si="76"/>
        <v>2.5833665284475948E-2</v>
      </c>
    </row>
    <row r="305" spans="1:22" s="29" customFormat="1" ht="20" customHeight="1" x14ac:dyDescent="0.35">
      <c r="A305" s="131"/>
      <c r="B305" s="28">
        <v>45936</v>
      </c>
      <c r="C305" s="30">
        <v>1.9943366000000001E-2</v>
      </c>
      <c r="D305" s="30">
        <v>1.9846993999999996E-2</v>
      </c>
      <c r="E305" s="30">
        <v>1.9900126000000001E-2</v>
      </c>
      <c r="F305" s="30">
        <v>2.0730170000000003E-2</v>
      </c>
      <c r="G305" s="30">
        <v>2.5401408E-2</v>
      </c>
      <c r="H305" s="31">
        <f t="shared" si="62"/>
        <v>0.9950265671766011</v>
      </c>
      <c r="I305" s="31">
        <f t="shared" si="63"/>
        <v>0.99012557842891002</v>
      </c>
      <c r="J305" s="31">
        <f t="shared" si="64"/>
        <v>0.98029657455786656</v>
      </c>
      <c r="K305" s="31">
        <f t="shared" si="65"/>
        <v>0.95938738389060974</v>
      </c>
      <c r="L305" s="31">
        <f t="shared" si="66"/>
        <v>0.88072747225392711</v>
      </c>
      <c r="M305" s="30">
        <f t="shared" si="67"/>
        <v>8.4655000001118072E-6</v>
      </c>
      <c r="N305" s="30">
        <f t="shared" si="69"/>
        <v>3.7733000000036896E-5</v>
      </c>
      <c r="O305" s="30">
        <f t="shared" si="70"/>
        <v>1.2351799999999545E-4</v>
      </c>
      <c r="P305" s="30">
        <f t="shared" si="71"/>
        <v>2.9185600000000575E-4</v>
      </c>
      <c r="Q305" s="30">
        <f t="shared" si="72"/>
        <v>5.2103000000001151E-4</v>
      </c>
      <c r="R305" s="30">
        <f t="shared" si="68"/>
        <v>2.0143563580135915E-2</v>
      </c>
      <c r="S305" s="30">
        <f t="shared" si="73"/>
        <v>2.0045255041797772E-2</v>
      </c>
      <c r="T305" s="30">
        <f t="shared" si="74"/>
        <v>2.0099453526112754E-2</v>
      </c>
      <c r="U305" s="30">
        <f t="shared" si="75"/>
        <v>2.094653246467626E-2</v>
      </c>
      <c r="V305" s="30">
        <f t="shared" si="76"/>
        <v>2.5726772831065503E-2</v>
      </c>
    </row>
    <row r="306" spans="1:22" s="29" customFormat="1" ht="20" customHeight="1" x14ac:dyDescent="0.35">
      <c r="A306" s="131"/>
      <c r="B306" s="28">
        <v>45943</v>
      </c>
      <c r="C306" s="30">
        <v>1.9787539999999999E-2</v>
      </c>
      <c r="D306" s="30">
        <v>1.9717065999999998E-2</v>
      </c>
      <c r="E306" s="30">
        <v>1.9553187999999999E-2</v>
      </c>
      <c r="F306" s="30">
        <v>1.9945431999999999E-2</v>
      </c>
      <c r="G306" s="30">
        <v>2.4335165999999998E-2</v>
      </c>
      <c r="H306" s="31">
        <f t="shared" si="62"/>
        <v>0.99506533068410574</v>
      </c>
      <c r="I306" s="31">
        <f t="shared" si="63"/>
        <v>0.99018990303635634</v>
      </c>
      <c r="J306" s="31">
        <f t="shared" si="64"/>
        <v>0.98063673569485077</v>
      </c>
      <c r="K306" s="31">
        <f t="shared" si="65"/>
        <v>0.96089430159058398</v>
      </c>
      <c r="L306" s="31">
        <f t="shared" si="66"/>
        <v>0.88543535356270486</v>
      </c>
      <c r="M306" s="30">
        <f t="shared" si="67"/>
        <v>3.8956500000120792E-5</v>
      </c>
      <c r="N306" s="30">
        <f t="shared" si="69"/>
        <v>6.4964000000000119E-5</v>
      </c>
      <c r="O306" s="30">
        <f t="shared" si="70"/>
        <v>3.4693799999998561E-4</v>
      </c>
      <c r="P306" s="30">
        <f t="shared" si="71"/>
        <v>1.569475999999876E-3</v>
      </c>
      <c r="Q306" s="30">
        <f t="shared" si="72"/>
        <v>5.3312099999998528E-3</v>
      </c>
      <c r="R306" s="30">
        <f t="shared" si="68"/>
        <v>1.9984611073985636E-2</v>
      </c>
      <c r="S306" s="30">
        <f t="shared" si="73"/>
        <v>1.9912731211365164E-2</v>
      </c>
      <c r="T306" s="30">
        <f t="shared" si="74"/>
        <v>1.9745603647439269E-2</v>
      </c>
      <c r="U306" s="30">
        <f t="shared" si="75"/>
        <v>2.0145671198915416E-2</v>
      </c>
      <c r="V306" s="30">
        <f t="shared" si="76"/>
        <v>2.4633682718201211E-2</v>
      </c>
    </row>
    <row r="307" spans="1:22" s="29" customFormat="1" ht="20" customHeight="1" x14ac:dyDescent="0.35">
      <c r="A307" s="131"/>
      <c r="B307" s="28">
        <v>45950</v>
      </c>
      <c r="C307" s="30">
        <v>1.9874871999999998E-2</v>
      </c>
      <c r="D307" s="30">
        <v>1.9803231999999997E-2</v>
      </c>
      <c r="E307" s="30">
        <v>1.962119E-2</v>
      </c>
      <c r="F307" s="30">
        <v>1.9981671999999999E-2</v>
      </c>
      <c r="G307" s="30">
        <v>2.4301794000000002E-2</v>
      </c>
      <c r="H307" s="31">
        <f t="shared" si="62"/>
        <v>0.99504360565990291</v>
      </c>
      <c r="I307" s="31">
        <f t="shared" si="63"/>
        <v>0.99014724360371864</v>
      </c>
      <c r="J307" s="31">
        <f t="shared" si="64"/>
        <v>0.98057005270286413</v>
      </c>
      <c r="K307" s="31">
        <f t="shared" si="65"/>
        <v>0.96082465849550092</v>
      </c>
      <c r="L307" s="31">
        <f t="shared" si="66"/>
        <v>0.88558310963274645</v>
      </c>
      <c r="M307" s="30">
        <f t="shared" si="67"/>
        <v>-2.1833000000109578E-5</v>
      </c>
      <c r="N307" s="30">
        <f t="shared" si="69"/>
        <v>-4.3082999999930849E-5</v>
      </c>
      <c r="O307" s="30">
        <f t="shared" si="70"/>
        <v>-6.8002000000079747E-5</v>
      </c>
      <c r="P307" s="30">
        <f t="shared" si="71"/>
        <v>-7.2480000000076162E-5</v>
      </c>
      <c r="Q307" s="30">
        <f t="shared" si="72"/>
        <v>1.6685999999993938E-4</v>
      </c>
      <c r="R307" s="30">
        <f t="shared" si="68"/>
        <v>2.0073692259802378E-2</v>
      </c>
      <c r="S307" s="30">
        <f t="shared" si="73"/>
        <v>2.0000616798083071E-2</v>
      </c>
      <c r="T307" s="30">
        <f t="shared" si="74"/>
        <v>1.9814950745822513E-2</v>
      </c>
      <c r="U307" s="30">
        <f t="shared" si="75"/>
        <v>2.0182641947945612E-2</v>
      </c>
      <c r="V307" s="30">
        <f t="shared" si="76"/>
        <v>2.4599489213497527E-2</v>
      </c>
    </row>
    <row r="308" spans="1:22" s="29" customFormat="1" ht="20" customHeight="1" x14ac:dyDescent="0.35">
      <c r="A308" s="131"/>
      <c r="B308" s="28">
        <v>45957</v>
      </c>
      <c r="C308" s="30">
        <v>2.0003516000000002E-2</v>
      </c>
      <c r="D308" s="30">
        <v>1.9935330000000001E-2</v>
      </c>
      <c r="E308" s="30">
        <v>1.9891390000000002E-2</v>
      </c>
      <c r="F308" s="30">
        <v>2.0443568000000002E-2</v>
      </c>
      <c r="G308" s="30">
        <v>2.4751229999999999E-2</v>
      </c>
      <c r="H308" s="31">
        <f t="shared" si="62"/>
        <v>0.99501160457709747</v>
      </c>
      <c r="I308" s="31">
        <f t="shared" si="63"/>
        <v>0.99008184752812234</v>
      </c>
      <c r="J308" s="31">
        <f t="shared" si="64"/>
        <v>0.98030513846614897</v>
      </c>
      <c r="K308" s="31">
        <f t="shared" si="65"/>
        <v>0.95993746621623866</v>
      </c>
      <c r="L308" s="31">
        <f t="shared" si="66"/>
        <v>0.88359527932321447</v>
      </c>
      <c r="M308" s="30">
        <f t="shared" si="67"/>
        <v>-3.2161000000020497E-5</v>
      </c>
      <c r="N308" s="30">
        <f t="shared" si="69"/>
        <v>-6.604900000001563E-5</v>
      </c>
      <c r="O308" s="30">
        <f t="shared" si="70"/>
        <v>-2.7019999999998835E-4</v>
      </c>
      <c r="P308" s="30">
        <f t="shared" si="71"/>
        <v>-9.2379199999997029E-4</v>
      </c>
      <c r="Q308" s="30">
        <f t="shared" si="72"/>
        <v>-2.2471800000000092E-3</v>
      </c>
      <c r="R308" s="30">
        <f t="shared" si="68"/>
        <v>2.0204927060973432E-2</v>
      </c>
      <c r="S308" s="30">
        <f t="shared" si="73"/>
        <v>2.0135365739397892E-2</v>
      </c>
      <c r="T308" s="30">
        <f t="shared" si="74"/>
        <v>2.0090541976212517E-2</v>
      </c>
      <c r="U308" s="30">
        <f t="shared" si="75"/>
        <v>2.0653969073207934E-2</v>
      </c>
      <c r="V308" s="30">
        <f t="shared" si="76"/>
        <v>2.5060084605853961E-2</v>
      </c>
    </row>
    <row r="309" spans="1:22" s="29" customFormat="1" ht="20" customHeight="1" x14ac:dyDescent="0.35">
      <c r="A309" s="131"/>
      <c r="B309" s="28">
        <v>45964</v>
      </c>
      <c r="C309" s="30">
        <v>1.9975069999999998E-2</v>
      </c>
      <c r="D309" s="30">
        <v>1.9940608000000002E-2</v>
      </c>
      <c r="E309" s="30">
        <v>1.9942934000000002E-2</v>
      </c>
      <c r="F309" s="30">
        <v>2.0545609999999995E-2</v>
      </c>
      <c r="G309" s="30">
        <v>2.4933908000000001E-2</v>
      </c>
      <c r="H309" s="31">
        <f t="shared" si="62"/>
        <v>0.99501868062728405</v>
      </c>
      <c r="I309" s="31">
        <f t="shared" si="63"/>
        <v>0.99007923470557435</v>
      </c>
      <c r="J309" s="31">
        <f t="shared" si="64"/>
        <v>0.98025461092029897</v>
      </c>
      <c r="K309" s="31">
        <f t="shared" si="65"/>
        <v>0.95974157832785523</v>
      </c>
      <c r="L309" s="31">
        <f t="shared" si="66"/>
        <v>0.88278858070234456</v>
      </c>
      <c r="M309" s="30">
        <f t="shared" si="67"/>
        <v>7.1114999998755323E-6</v>
      </c>
      <c r="N309" s="30">
        <f t="shared" si="69"/>
        <v>-2.6390000000249126E-6</v>
      </c>
      <c r="O309" s="30">
        <f t="shared" si="70"/>
        <v>-5.1544000000022307E-5</v>
      </c>
      <c r="P309" s="30">
        <f t="shared" si="71"/>
        <v>-2.0408399999998828E-4</v>
      </c>
      <c r="Q309" s="30">
        <f t="shared" si="72"/>
        <v>-9.1338999999998898E-4</v>
      </c>
      <c r="R309" s="30">
        <f t="shared" si="68"/>
        <v>2.0175906724376302E-2</v>
      </c>
      <c r="S309" s="30">
        <f t="shared" si="73"/>
        <v>2.0140750028067256E-2</v>
      </c>
      <c r="T309" s="30">
        <f t="shared" si="74"/>
        <v>2.0143122878211628E-2</v>
      </c>
      <c r="U309" s="30">
        <f t="shared" si="75"/>
        <v>2.0758123959516261E-2</v>
      </c>
      <c r="V309" s="30">
        <f t="shared" si="76"/>
        <v>2.5247357636800194E-2</v>
      </c>
    </row>
    <row r="310" spans="1:22" s="29" customFormat="1" ht="20" customHeight="1" x14ac:dyDescent="0.35">
      <c r="A310" s="131"/>
      <c r="B310" s="28">
        <v>45971</v>
      </c>
      <c r="C310" s="30">
        <v>2.0148333999999997E-2</v>
      </c>
      <c r="D310" s="30">
        <v>2.0004964000000004E-2</v>
      </c>
      <c r="E310" s="30">
        <v>1.9976733999999996E-2</v>
      </c>
      <c r="F310" s="30">
        <v>2.0672904000000002E-2</v>
      </c>
      <c r="G310" s="30">
        <v>2.5049208E-2</v>
      </c>
      <c r="H310" s="31">
        <f t="shared" si="62"/>
        <v>0.99497558133156527</v>
      </c>
      <c r="I310" s="31">
        <f t="shared" si="63"/>
        <v>0.99004737644853025</v>
      </c>
      <c r="J310" s="31">
        <f t="shared" si="64"/>
        <v>0.9802214788743846</v>
      </c>
      <c r="K310" s="31">
        <f t="shared" si="65"/>
        <v>0.95949727073912161</v>
      </c>
      <c r="L310" s="31">
        <f t="shared" si="66"/>
        <v>0.88227979975576865</v>
      </c>
      <c r="M310" s="30">
        <f t="shared" si="67"/>
        <v>-4.3315999999986654E-5</v>
      </c>
      <c r="N310" s="30">
        <f t="shared" si="69"/>
        <v>-3.2177999999960633E-5</v>
      </c>
      <c r="O310" s="30">
        <f t="shared" si="70"/>
        <v>-3.3800000000016122E-5</v>
      </c>
      <c r="P310" s="30">
        <f t="shared" si="71"/>
        <v>-2.5458800000010569E-4</v>
      </c>
      <c r="Q310" s="30">
        <f t="shared" si="72"/>
        <v>-5.7650000000011316E-4</v>
      </c>
      <c r="R310" s="30">
        <f t="shared" si="68"/>
        <v>2.0352681796614869E-2</v>
      </c>
      <c r="S310" s="30">
        <f t="shared" si="73"/>
        <v>2.0206404318777293E-2</v>
      </c>
      <c r="T310" s="30">
        <f t="shared" si="74"/>
        <v>2.0177604298497576E-2</v>
      </c>
      <c r="U310" s="30">
        <f t="shared" si="75"/>
        <v>2.0888068614559385E-2</v>
      </c>
      <c r="V310" s="30">
        <f t="shared" si="76"/>
        <v>2.5365575472263036E-2</v>
      </c>
    </row>
    <row r="311" spans="1:22" s="29" customFormat="1" ht="20" customHeight="1" x14ac:dyDescent="0.35">
      <c r="A311" s="131"/>
      <c r="B311" s="28">
        <v>45978</v>
      </c>
      <c r="C311" s="30">
        <v>1.9975448E-2</v>
      </c>
      <c r="D311" s="30">
        <v>1.9954667999999998E-2</v>
      </c>
      <c r="E311" s="30">
        <v>2.0041463999999998E-2</v>
      </c>
      <c r="F311" s="30">
        <v>2.0788401999999997E-2</v>
      </c>
      <c r="G311" s="30">
        <v>2.5237803999999996E-2</v>
      </c>
      <c r="H311" s="31">
        <f t="shared" si="62"/>
        <v>0.99501858659802322</v>
      </c>
      <c r="I311" s="31">
        <f t="shared" si="63"/>
        <v>0.9900722744730196</v>
      </c>
      <c r="J311" s="31">
        <f t="shared" si="64"/>
        <v>0.98015803119156342</v>
      </c>
      <c r="K311" s="31">
        <f t="shared" si="65"/>
        <v>0.95927565630457934</v>
      </c>
      <c r="L311" s="31">
        <f t="shared" si="66"/>
        <v>0.8814482196934994</v>
      </c>
      <c r="M311" s="30">
        <f t="shared" si="67"/>
        <v>4.3221500000029307E-5</v>
      </c>
      <c r="N311" s="30">
        <f t="shared" si="69"/>
        <v>2.5147999999871983E-5</v>
      </c>
      <c r="O311" s="30">
        <f t="shared" si="70"/>
        <v>-6.4730000000095761E-5</v>
      </c>
      <c r="P311" s="30">
        <f t="shared" si="71"/>
        <v>-2.3099599999995991E-4</v>
      </c>
      <c r="Q311" s="30">
        <f t="shared" si="72"/>
        <v>-9.4297999999992319E-4</v>
      </c>
      <c r="R311" s="30">
        <f t="shared" si="68"/>
        <v>2.0176292350942093E-2</v>
      </c>
      <c r="S311" s="30">
        <f t="shared" si="73"/>
        <v>2.0155093307845817E-2</v>
      </c>
      <c r="T311" s="30">
        <f t="shared" si="74"/>
        <v>2.0243642532128181E-2</v>
      </c>
      <c r="U311" s="30">
        <f t="shared" si="75"/>
        <v>2.1005985954185569E-2</v>
      </c>
      <c r="V311" s="30">
        <f t="shared" si="76"/>
        <v>2.5558973554813846E-2</v>
      </c>
    </row>
    <row r="312" spans="1:22" s="29" customFormat="1" ht="20" customHeight="1" x14ac:dyDescent="0.35">
      <c r="A312" s="131"/>
      <c r="B312" s="28">
        <v>45985</v>
      </c>
      <c r="C312" s="30">
        <v>1.9913917999999999E-2</v>
      </c>
      <c r="D312" s="30">
        <v>1.9942022E-2</v>
      </c>
      <c r="E312" s="30">
        <v>2.0068616000000001E-2</v>
      </c>
      <c r="F312" s="30">
        <v>2.0790682000000001E-2</v>
      </c>
      <c r="G312" s="30">
        <v>2.5080602E-2</v>
      </c>
      <c r="H312" s="31">
        <f t="shared" si="62"/>
        <v>0.99503389258915342</v>
      </c>
      <c r="I312" s="31">
        <f t="shared" si="63"/>
        <v>0.99007853471980278</v>
      </c>
      <c r="J312" s="31">
        <f t="shared" si="64"/>
        <v>0.98013141830199879</v>
      </c>
      <c r="K312" s="31">
        <f t="shared" si="65"/>
        <v>0.95927128201755996</v>
      </c>
      <c r="L312" s="31">
        <f t="shared" si="66"/>
        <v>0.88214131916453453</v>
      </c>
      <c r="M312" s="30">
        <f t="shared" si="67"/>
        <v>1.5382499999872983E-5</v>
      </c>
      <c r="N312" s="30">
        <f t="shared" si="69"/>
        <v>6.3229999998332923E-6</v>
      </c>
      <c r="O312" s="30">
        <f t="shared" si="70"/>
        <v>-2.7151999999883211E-5</v>
      </c>
      <c r="P312" s="30">
        <f t="shared" si="71"/>
        <v>-4.5600000000319683E-6</v>
      </c>
      <c r="Q312" s="30">
        <f t="shared" si="72"/>
        <v>7.8600999999993144E-4</v>
      </c>
      <c r="R312" s="30">
        <f t="shared" si="68"/>
        <v>2.0113522834797504E-2</v>
      </c>
      <c r="S312" s="30">
        <f t="shared" si="73"/>
        <v>2.0142192508107781E-2</v>
      </c>
      <c r="T312" s="30">
        <f t="shared" si="74"/>
        <v>2.0271344563591365E-2</v>
      </c>
      <c r="U312" s="30">
        <f t="shared" si="75"/>
        <v>2.1008313850487514E-2</v>
      </c>
      <c r="V312" s="30">
        <f t="shared" si="76"/>
        <v>2.5397766304436242E-2</v>
      </c>
    </row>
    <row r="313" spans="1:22" s="29" customFormat="1" ht="20" customHeight="1" x14ac:dyDescent="0.35">
      <c r="A313" s="131"/>
      <c r="B313" s="28">
        <v>45992</v>
      </c>
      <c r="C313" s="30">
        <v>2.0229500000000001E-2</v>
      </c>
      <c r="D313" s="30">
        <v>2.017979E-2</v>
      </c>
      <c r="E313" s="30">
        <v>2.0295499999999994E-2</v>
      </c>
      <c r="F313" s="30">
        <v>2.1150203999999995E-2</v>
      </c>
      <c r="G313" s="30">
        <v>2.5624221999999999E-2</v>
      </c>
      <c r="H313" s="31">
        <f t="shared" si="62"/>
        <v>0.99495539198939342</v>
      </c>
      <c r="I313" s="31">
        <f t="shared" si="63"/>
        <v>0.9899608372195946</v>
      </c>
      <c r="J313" s="31">
        <f t="shared" si="64"/>
        <v>0.97990906739017469</v>
      </c>
      <c r="K313" s="31">
        <f t="shared" si="65"/>
        <v>0.95858177168169567</v>
      </c>
      <c r="L313" s="31">
        <f t="shared" si="66"/>
        <v>0.87974682655431802</v>
      </c>
      <c r="M313" s="30">
        <f t="shared" si="67"/>
        <v>-7.8895499999989026E-5</v>
      </c>
      <c r="N313" s="30">
        <f t="shared" si="69"/>
        <v>-1.1888399999995805E-4</v>
      </c>
      <c r="O313" s="30">
        <f t="shared" si="70"/>
        <v>-2.2688399999997935E-4</v>
      </c>
      <c r="P313" s="30">
        <f t="shared" si="71"/>
        <v>-7.1904399999998814E-4</v>
      </c>
      <c r="Q313" s="30">
        <f t="shared" si="72"/>
        <v>-2.7180999999998658E-3</v>
      </c>
      <c r="R313" s="30">
        <f t="shared" si="68"/>
        <v>2.0435503103477304E-2</v>
      </c>
      <c r="S313" s="30">
        <f t="shared" si="73"/>
        <v>2.0384778515388113E-2</v>
      </c>
      <c r="T313" s="30">
        <f t="shared" si="74"/>
        <v>2.0502854069239573E-2</v>
      </c>
      <c r="U313" s="30">
        <f t="shared" si="75"/>
        <v>2.1375454795168336E-2</v>
      </c>
      <c r="V313" s="30">
        <f t="shared" si="76"/>
        <v>2.595534457977422E-2</v>
      </c>
    </row>
    <row r="314" spans="1:22" s="29" customFormat="1" ht="20" customHeight="1" x14ac:dyDescent="0.35">
      <c r="A314" s="131"/>
      <c r="B314" s="28">
        <v>45999</v>
      </c>
      <c r="C314" s="30">
        <v>2.0510868000000002E-2</v>
      </c>
      <c r="D314" s="30">
        <v>2.068542E-2</v>
      </c>
      <c r="E314" s="30">
        <v>2.1123738000000003E-2</v>
      </c>
      <c r="F314" s="30">
        <v>2.2264925999999997E-2</v>
      </c>
      <c r="G314" s="30">
        <v>2.6580205999999999E-2</v>
      </c>
      <c r="H314" s="31">
        <f t="shared" si="62"/>
        <v>0.99488540729867059</v>
      </c>
      <c r="I314" s="31">
        <f t="shared" si="63"/>
        <v>0.98971059190475041</v>
      </c>
      <c r="J314" s="31">
        <f t="shared" si="64"/>
        <v>0.97909780546936864</v>
      </c>
      <c r="K314" s="31">
        <f t="shared" si="65"/>
        <v>0.95644704781018031</v>
      </c>
      <c r="L314" s="31">
        <f t="shared" si="66"/>
        <v>0.87555174117669554</v>
      </c>
      <c r="M314" s="30">
        <f t="shared" si="67"/>
        <v>-7.0341999999978463E-5</v>
      </c>
      <c r="N314" s="30">
        <f t="shared" si="69"/>
        <v>-2.5281500000003961E-4</v>
      </c>
      <c r="O314" s="30">
        <f t="shared" si="70"/>
        <v>-8.282379999999598E-4</v>
      </c>
      <c r="P314" s="30">
        <f t="shared" si="71"/>
        <v>-2.2294439999999234E-3</v>
      </c>
      <c r="Q314" s="30">
        <f t="shared" si="72"/>
        <v>-4.7799200000000165E-3</v>
      </c>
      <c r="R314" s="30">
        <f t="shared" si="68"/>
        <v>2.0722661396797237E-2</v>
      </c>
      <c r="S314" s="30">
        <f t="shared" si="73"/>
        <v>2.0900846129587647E-2</v>
      </c>
      <c r="T314" s="30">
        <f t="shared" si="74"/>
        <v>2.1348423430089358E-2</v>
      </c>
      <c r="U314" s="30">
        <f t="shared" si="75"/>
        <v>2.2514639303942374E-2</v>
      </c>
      <c r="V314" s="30">
        <f t="shared" si="76"/>
        <v>2.6936610436404385E-2</v>
      </c>
    </row>
    <row r="315" spans="1:22" s="29" customFormat="1" ht="20" customHeight="1" x14ac:dyDescent="0.35">
      <c r="A315" s="131"/>
      <c r="B315" s="28">
        <v>46006</v>
      </c>
      <c r="C315" s="30">
        <v>2.0802899999999999E-2</v>
      </c>
      <c r="D315" s="30">
        <v>2.0876473999999999E-2</v>
      </c>
      <c r="E315" s="30">
        <v>2.1139714E-2</v>
      </c>
      <c r="F315" s="30">
        <v>2.2033195999999998E-2</v>
      </c>
      <c r="G315" s="30">
        <v>2.6218556E-2</v>
      </c>
      <c r="H315" s="31">
        <f t="shared" si="62"/>
        <v>0.99481277535624313</v>
      </c>
      <c r="I315" s="31">
        <f t="shared" si="63"/>
        <v>0.98961605233665018</v>
      </c>
      <c r="J315" s="31">
        <f t="shared" si="64"/>
        <v>0.97908216352777666</v>
      </c>
      <c r="K315" s="31">
        <f t="shared" si="65"/>
        <v>0.95689042549493297</v>
      </c>
      <c r="L315" s="31">
        <f t="shared" si="66"/>
        <v>0.8771363899014204</v>
      </c>
      <c r="M315" s="30">
        <f t="shared" si="67"/>
        <v>-7.3008000000066939E-5</v>
      </c>
      <c r="N315" s="30">
        <f t="shared" si="69"/>
        <v>-9.5526999999956275E-5</v>
      </c>
      <c r="O315" s="30">
        <f t="shared" si="70"/>
        <v>-1.5975999999941247E-5</v>
      </c>
      <c r="P315" s="30">
        <f t="shared" si="71"/>
        <v>4.6345999999986047E-4</v>
      </c>
      <c r="Q315" s="30">
        <f t="shared" si="72"/>
        <v>1.8082499999999254E-3</v>
      </c>
      <c r="R315" s="30">
        <f t="shared" si="68"/>
        <v>2.1020788606274099E-2</v>
      </c>
      <c r="S315" s="30">
        <f t="shared" si="73"/>
        <v>2.1095911953303847E-2</v>
      </c>
      <c r="T315" s="30">
        <f t="shared" si="74"/>
        <v>2.1364740622843437E-2</v>
      </c>
      <c r="U315" s="30">
        <f t="shared" si="75"/>
        <v>2.2277719438356991E-2</v>
      </c>
      <c r="V315" s="30">
        <f t="shared" si="76"/>
        <v>2.6565285960035601E-2</v>
      </c>
    </row>
    <row r="316" spans="1:22" s="29" customFormat="1" ht="20" customHeight="1" x14ac:dyDescent="0.35">
      <c r="A316" s="131"/>
      <c r="B316" s="28">
        <v>46013</v>
      </c>
      <c r="C316" s="30">
        <v>2.0361506666666664E-2</v>
      </c>
      <c r="D316" s="30">
        <v>2.0506729999999997E-2</v>
      </c>
      <c r="E316" s="30">
        <v>2.0920549999999996E-2</v>
      </c>
      <c r="F316" s="30">
        <v>2.2097443333333331E-2</v>
      </c>
      <c r="G316" s="30">
        <v>2.6689969999999997E-2</v>
      </c>
      <c r="H316" s="31">
        <f t="shared" si="62"/>
        <v>0.99492255734500079</v>
      </c>
      <c r="I316" s="31">
        <f t="shared" si="63"/>
        <v>0.98979902154789856</v>
      </c>
      <c r="J316" s="31">
        <f t="shared" si="64"/>
        <v>0.97929676660683962</v>
      </c>
      <c r="K316" s="31">
        <f t="shared" si="65"/>
        <v>0.95676747807788531</v>
      </c>
      <c r="L316" s="31">
        <f t="shared" si="66"/>
        <v>0.87507135270556125</v>
      </c>
      <c r="M316" s="30">
        <f t="shared" si="67"/>
        <v>1.1034833333345575E-4</v>
      </c>
      <c r="N316" s="30">
        <f t="shared" si="69"/>
        <v>1.8487199999991238E-4</v>
      </c>
      <c r="O316" s="30">
        <f t="shared" si="70"/>
        <v>2.1916400000004577E-4</v>
      </c>
      <c r="P316" s="30">
        <f t="shared" si="71"/>
        <v>-1.2849466666668509E-4</v>
      </c>
      <c r="Q316" s="30">
        <f t="shared" si="72"/>
        <v>-2.3570699999998709E-3</v>
      </c>
      <c r="R316" s="30">
        <f t="shared" si="68"/>
        <v>2.0570216284113485E-2</v>
      </c>
      <c r="S316" s="30">
        <f t="shared" si="73"/>
        <v>2.0718437655163457E-2</v>
      </c>
      <c r="T316" s="30">
        <f t="shared" si="74"/>
        <v>2.1140918768572048E-2</v>
      </c>
      <c r="U316" s="30">
        <f t="shared" si="75"/>
        <v>2.2343400165640181E-2</v>
      </c>
      <c r="V316" s="30">
        <f t="shared" si="76"/>
        <v>2.704933729307446E-2</v>
      </c>
    </row>
    <row r="317" spans="1:22" s="29" customFormat="1" ht="20" customHeight="1" x14ac:dyDescent="0.35">
      <c r="A317" s="131"/>
      <c r="B317" s="28">
        <v>46020</v>
      </c>
      <c r="C317" s="30">
        <v>2.0404129999999999E-2</v>
      </c>
      <c r="D317" s="30">
        <v>2.0369365E-2</v>
      </c>
      <c r="E317" s="30">
        <v>2.0565055000000002E-2</v>
      </c>
      <c r="F317" s="30">
        <v>2.1632799999999997E-2</v>
      </c>
      <c r="G317" s="30">
        <v>2.6440324999999997E-2</v>
      </c>
      <c r="H317" s="31">
        <f t="shared" si="62"/>
        <v>0.9949119556725351</v>
      </c>
      <c r="I317" s="31">
        <f t="shared" si="63"/>
        <v>0.98986700575383191</v>
      </c>
      <c r="J317" s="31">
        <f t="shared" si="64"/>
        <v>0.97964496359836228</v>
      </c>
      <c r="K317" s="31">
        <f t="shared" si="65"/>
        <v>0.95765700258598185</v>
      </c>
      <c r="L317" s="31">
        <f t="shared" si="66"/>
        <v>0.87616432063783112</v>
      </c>
      <c r="M317" s="30">
        <f t="shared" si="67"/>
        <v>-1.0655833333310425E-5</v>
      </c>
      <c r="N317" s="30">
        <f t="shared" si="69"/>
        <v>6.8682499999918182E-5</v>
      </c>
      <c r="O317" s="30">
        <f t="shared" si="70"/>
        <v>3.5549499999998926E-4</v>
      </c>
      <c r="P317" s="30">
        <f t="shared" si="71"/>
        <v>9.2928666666686145E-4</v>
      </c>
      <c r="Q317" s="30">
        <f t="shared" si="72"/>
        <v>1.248224999999975E-3</v>
      </c>
      <c r="R317" s="30">
        <f t="shared" si="68"/>
        <v>2.0613717315705271E-2</v>
      </c>
      <c r="S317" s="30">
        <f t="shared" si="73"/>
        <v>2.0578236296575181E-2</v>
      </c>
      <c r="T317" s="30">
        <f t="shared" si="74"/>
        <v>2.0777972794216115E-2</v>
      </c>
      <c r="U317" s="30">
        <f t="shared" si="75"/>
        <v>2.186848546189557E-2</v>
      </c>
      <c r="V317" s="30">
        <f t="shared" si="76"/>
        <v>2.6792971562808576E-2</v>
      </c>
    </row>
    <row r="318" spans="1:22" s="29" customFormat="1" ht="20" customHeight="1" x14ac:dyDescent="0.35">
      <c r="A318" s="131"/>
      <c r="B318" s="28">
        <v>46027</v>
      </c>
      <c r="C318" s="30">
        <v>2.0355909999999998E-2</v>
      </c>
      <c r="D318" s="30">
        <v>2.0295155999999998E-2</v>
      </c>
      <c r="E318" s="30">
        <v>2.0445214E-2</v>
      </c>
      <c r="F318" s="30">
        <v>2.1471385999999999E-2</v>
      </c>
      <c r="G318" s="30">
        <v>2.6273726000000001E-2</v>
      </c>
      <c r="H318" s="31">
        <f t="shared" si="62"/>
        <v>0.99492394940845275</v>
      </c>
      <c r="I318" s="31">
        <f t="shared" si="63"/>
        <v>0.98990373495555206</v>
      </c>
      <c r="J318" s="31">
        <f t="shared" si="64"/>
        <v>0.97976237226549046</v>
      </c>
      <c r="K318" s="31">
        <f t="shared" si="65"/>
        <v>0.95796621098869228</v>
      </c>
      <c r="L318" s="31">
        <f t="shared" si="66"/>
        <v>0.87689446519726499</v>
      </c>
      <c r="M318" s="30">
        <f t="shared" si="67"/>
        <v>1.2054999999860801E-5</v>
      </c>
      <c r="N318" s="30">
        <f t="shared" si="69"/>
        <v>3.7104500000041027E-5</v>
      </c>
      <c r="O318" s="30">
        <f t="shared" si="70"/>
        <v>1.1984099999995603E-4</v>
      </c>
      <c r="P318" s="30">
        <f t="shared" si="71"/>
        <v>3.2282799999983796E-4</v>
      </c>
      <c r="Q318" s="30">
        <f t="shared" si="72"/>
        <v>8.329949999999021E-4</v>
      </c>
      <c r="R318" s="30">
        <f t="shared" si="68"/>
        <v>2.0564504508786552E-2</v>
      </c>
      <c r="S318" s="30">
        <f t="shared" si="73"/>
        <v>2.0502503016317952E-2</v>
      </c>
      <c r="T318" s="30">
        <f t="shared" si="74"/>
        <v>2.0655649071023685E-2</v>
      </c>
      <c r="U318" s="30">
        <f t="shared" si="75"/>
        <v>2.1703554893592658E-2</v>
      </c>
      <c r="V318" s="30">
        <f t="shared" si="76"/>
        <v>2.6621923129183989E-2</v>
      </c>
    </row>
    <row r="319" spans="1:22" s="29" customFormat="1" ht="20" customHeight="1" x14ac:dyDescent="0.35">
      <c r="A319" s="131"/>
      <c r="B319" s="28">
        <v>46034</v>
      </c>
      <c r="C319" s="30">
        <v>2.0262282E-2</v>
      </c>
      <c r="D319" s="30">
        <v>2.0258162E-2</v>
      </c>
      <c r="E319" s="30">
        <v>2.0436639999999996E-2</v>
      </c>
      <c r="F319" s="30">
        <v>2.1377835999999997E-2</v>
      </c>
      <c r="G319" s="30">
        <v>2.5927361999999999E-2</v>
      </c>
      <c r="H319" s="31">
        <f t="shared" si="62"/>
        <v>0.99494723786589201</v>
      </c>
      <c r="I319" s="31">
        <f t="shared" si="63"/>
        <v>0.98992204537428097</v>
      </c>
      <c r="J319" s="31">
        <f t="shared" si="64"/>
        <v>0.9797707727840832</v>
      </c>
      <c r="K319" s="31">
        <f t="shared" si="65"/>
        <v>0.95814546323529304</v>
      </c>
      <c r="L319" s="31">
        <f t="shared" si="66"/>
        <v>0.87841440432058571</v>
      </c>
      <c r="M319" s="30">
        <f t="shared" si="67"/>
        <v>2.3407000000045921E-5</v>
      </c>
      <c r="N319" s="30">
        <f t="shared" si="69"/>
        <v>1.849700000004907E-5</v>
      </c>
      <c r="O319" s="30">
        <f t="shared" si="70"/>
        <v>8.5739999999601873E-6</v>
      </c>
      <c r="P319" s="30">
        <f t="shared" si="71"/>
        <v>1.8710000000000677E-4</v>
      </c>
      <c r="Q319" s="30">
        <f t="shared" si="72"/>
        <v>1.7318199999999933E-3</v>
      </c>
      <c r="R319" s="30">
        <f t="shared" si="68"/>
        <v>2.0468955568456293E-2</v>
      </c>
      <c r="S319" s="30">
        <f t="shared" si="73"/>
        <v>2.046475124502023E-2</v>
      </c>
      <c r="T319" s="30">
        <f t="shared" si="74"/>
        <v>2.0646898007004477E-2</v>
      </c>
      <c r="U319" s="30">
        <f t="shared" si="75"/>
        <v>2.1607978996664778E-2</v>
      </c>
      <c r="V319" s="30">
        <f t="shared" si="76"/>
        <v>2.6266399827191922E-2</v>
      </c>
    </row>
    <row r="320" spans="1:22" ht="15" customHeight="1" x14ac:dyDescent="0.35">
      <c r="B320" s="1"/>
      <c r="C320" s="2"/>
      <c r="D320" s="2"/>
      <c r="E320" s="2"/>
      <c r="F320" s="2"/>
      <c r="G320" s="2"/>
      <c r="H320" s="2"/>
      <c r="I320" s="2"/>
      <c r="J320" s="2"/>
      <c r="K320" s="2"/>
      <c r="L320" s="2"/>
      <c r="M320" s="2"/>
      <c r="N320" s="2"/>
      <c r="O320" s="2"/>
      <c r="P320" s="2"/>
      <c r="Q320" s="2"/>
      <c r="R320" s="2"/>
      <c r="S320" s="2"/>
      <c r="T320" s="2"/>
      <c r="U320" s="2"/>
      <c r="V320" s="2"/>
    </row>
    <row r="321" spans="2:22" ht="15" customHeight="1" x14ac:dyDescent="0.35">
      <c r="B321" s="1"/>
      <c r="C321" s="2"/>
      <c r="D321" s="2"/>
      <c r="E321" s="2"/>
      <c r="F321" s="2"/>
      <c r="G321" s="2"/>
      <c r="H321" s="2"/>
      <c r="I321" s="2"/>
      <c r="J321" s="2"/>
      <c r="K321" s="2"/>
      <c r="L321" s="2"/>
      <c r="M321" s="2"/>
      <c r="N321" s="2"/>
      <c r="O321" s="2"/>
      <c r="P321" s="2"/>
      <c r="Q321" s="2"/>
      <c r="R321" s="2"/>
      <c r="S321" s="2"/>
      <c r="T321" s="2"/>
      <c r="U321" s="2"/>
      <c r="V321" s="2"/>
    </row>
    <row r="322" spans="2:22" ht="15" customHeight="1" x14ac:dyDescent="0.35">
      <c r="C322" s="2"/>
      <c r="D322" s="2"/>
      <c r="E322" s="2"/>
      <c r="F322" s="2"/>
      <c r="G322" s="2"/>
      <c r="H322" s="2"/>
      <c r="I322" s="2"/>
      <c r="J322" s="2"/>
      <c r="K322" s="2"/>
      <c r="L322" s="2"/>
      <c r="M322" s="7"/>
      <c r="N322" s="7"/>
      <c r="O322" s="7"/>
      <c r="P322" s="7"/>
      <c r="Q322" s="7"/>
      <c r="R322" s="2"/>
      <c r="S322" s="2"/>
      <c r="T322" s="2"/>
      <c r="U322" s="2"/>
      <c r="V322" s="2"/>
    </row>
    <row r="323" spans="2:22" ht="15" customHeight="1" x14ac:dyDescent="0.35">
      <c r="B323" s="1"/>
      <c r="C323" s="2"/>
      <c r="D323" s="2"/>
      <c r="E323" s="2"/>
      <c r="F323" s="2"/>
      <c r="G323" s="2"/>
      <c r="H323" s="2"/>
      <c r="I323" s="2"/>
      <c r="J323" s="2"/>
      <c r="K323" s="2"/>
      <c r="L323" s="2"/>
      <c r="M323" s="2"/>
      <c r="N323" s="2"/>
      <c r="O323" s="2"/>
      <c r="P323" s="2"/>
      <c r="Q323" s="2"/>
      <c r="R323" s="2"/>
      <c r="S323" s="2"/>
      <c r="T323" s="2"/>
      <c r="U323" s="2"/>
      <c r="V323" s="2"/>
    </row>
    <row r="324" spans="2:22" ht="15" customHeight="1" x14ac:dyDescent="0.35">
      <c r="B324" s="1"/>
      <c r="C324" s="2"/>
      <c r="D324" s="2"/>
      <c r="E324" s="2"/>
      <c r="F324" s="2"/>
      <c r="G324" s="2"/>
      <c r="H324" s="2"/>
      <c r="I324" s="2"/>
      <c r="J324" s="2"/>
      <c r="K324" s="2"/>
      <c r="L324" s="2"/>
      <c r="M324" s="2"/>
      <c r="N324" s="2"/>
      <c r="O324" s="2"/>
      <c r="P324" s="2"/>
      <c r="Q324" s="2"/>
      <c r="R324" s="2"/>
      <c r="S324" s="2"/>
      <c r="T324" s="2"/>
      <c r="U324" s="2"/>
      <c r="V324" s="2"/>
    </row>
    <row r="325" spans="2:22" ht="15" customHeight="1" x14ac:dyDescent="0.35">
      <c r="B325" s="1"/>
      <c r="C325" s="2"/>
      <c r="D325" s="2"/>
      <c r="E325" s="2"/>
      <c r="F325" s="2"/>
      <c r="G325" s="2"/>
      <c r="H325" s="2"/>
      <c r="I325" s="2"/>
      <c r="J325" s="2"/>
      <c r="K325" s="2"/>
      <c r="L325" s="2"/>
      <c r="M325" s="2"/>
      <c r="N325" s="2"/>
      <c r="O325" s="2"/>
      <c r="P325" s="2"/>
      <c r="Q325" s="2"/>
      <c r="R325" s="2"/>
      <c r="S325" s="2"/>
      <c r="T325" s="2"/>
      <c r="U325" s="2"/>
      <c r="V325" s="2"/>
    </row>
    <row r="326" spans="2:22" ht="15" customHeight="1" x14ac:dyDescent="0.35">
      <c r="B326" s="1"/>
      <c r="C326" s="2"/>
      <c r="D326" s="2"/>
      <c r="E326" s="2"/>
      <c r="F326" s="2"/>
      <c r="G326" s="2"/>
      <c r="H326" s="2"/>
      <c r="I326" s="2"/>
      <c r="J326" s="2"/>
      <c r="K326" s="2"/>
      <c r="L326" s="2"/>
      <c r="M326" s="2"/>
      <c r="N326" s="2"/>
      <c r="O326" s="2"/>
      <c r="P326" s="2"/>
      <c r="Q326" s="2"/>
      <c r="R326" s="2"/>
      <c r="S326" s="2"/>
      <c r="T326" s="2"/>
      <c r="U326" s="2"/>
      <c r="V326" s="2"/>
    </row>
    <row r="327" spans="2:22" ht="15" customHeight="1" x14ac:dyDescent="0.35">
      <c r="B327" s="1"/>
      <c r="C327" s="2"/>
      <c r="D327" s="2"/>
      <c r="E327" s="2"/>
      <c r="F327" s="2"/>
      <c r="G327" s="2"/>
      <c r="H327" s="2"/>
      <c r="I327" s="2"/>
      <c r="J327" s="2"/>
      <c r="K327" s="2"/>
      <c r="L327" s="2"/>
      <c r="M327" s="2"/>
      <c r="N327" s="2"/>
      <c r="O327" s="2"/>
      <c r="P327" s="2"/>
      <c r="Q327" s="2"/>
      <c r="R327" s="2"/>
      <c r="S327" s="2"/>
      <c r="T327" s="2"/>
      <c r="U327" s="2"/>
      <c r="V327" s="2"/>
    </row>
    <row r="328" spans="2:22" ht="15" customHeight="1" x14ac:dyDescent="0.35">
      <c r="B328" s="1"/>
      <c r="C328" s="2"/>
      <c r="D328" s="2"/>
      <c r="E328" s="2"/>
      <c r="F328" s="2"/>
      <c r="G328" s="2"/>
      <c r="H328" s="2"/>
      <c r="I328" s="2"/>
      <c r="J328" s="2"/>
      <c r="K328" s="2"/>
      <c r="L328" s="2"/>
      <c r="M328" s="2"/>
      <c r="N328" s="2"/>
      <c r="O328" s="2"/>
      <c r="P328" s="2"/>
      <c r="Q328" s="2"/>
      <c r="R328" s="2"/>
      <c r="S328" s="2"/>
      <c r="T328" s="2"/>
      <c r="U328" s="2"/>
      <c r="V328" s="2"/>
    </row>
    <row r="329" spans="2:22" ht="15" customHeight="1" x14ac:dyDescent="0.35">
      <c r="B329" s="1"/>
      <c r="C329" s="2"/>
      <c r="D329" s="2"/>
      <c r="E329" s="2"/>
      <c r="F329" s="2"/>
      <c r="G329" s="2"/>
      <c r="H329" s="2"/>
      <c r="I329" s="2"/>
      <c r="J329" s="2"/>
      <c r="K329" s="2"/>
      <c r="L329" s="2"/>
      <c r="M329" s="2"/>
      <c r="N329" s="2"/>
      <c r="O329" s="2"/>
      <c r="P329" s="2"/>
      <c r="Q329" s="2"/>
      <c r="R329" s="2"/>
      <c r="S329" s="2"/>
      <c r="T329" s="2"/>
      <c r="U329" s="2"/>
      <c r="V329" s="2"/>
    </row>
    <row r="330" spans="2:22" ht="15" customHeight="1" x14ac:dyDescent="0.35">
      <c r="B330" s="1"/>
      <c r="C330" s="2"/>
      <c r="D330" s="2"/>
      <c r="E330" s="2"/>
      <c r="F330" s="2"/>
      <c r="G330" s="2"/>
      <c r="H330" s="2"/>
      <c r="I330" s="2"/>
      <c r="J330" s="2"/>
      <c r="K330" s="2"/>
      <c r="L330" s="2"/>
      <c r="M330" s="2"/>
      <c r="N330" s="2"/>
      <c r="O330" s="2"/>
      <c r="P330" s="2"/>
      <c r="Q330" s="2"/>
      <c r="R330" s="2"/>
      <c r="S330" s="2"/>
      <c r="T330" s="2"/>
      <c r="U330" s="2"/>
      <c r="V330" s="2"/>
    </row>
    <row r="331" spans="2:22" ht="15" customHeight="1" x14ac:dyDescent="0.35">
      <c r="B331" s="1"/>
      <c r="C331" s="2"/>
      <c r="D331" s="2"/>
      <c r="E331" s="2"/>
      <c r="F331" s="2"/>
      <c r="G331" s="2"/>
      <c r="H331" s="2"/>
      <c r="I331" s="2"/>
      <c r="J331" s="2"/>
      <c r="K331" s="2"/>
      <c r="L331" s="2"/>
      <c r="M331" s="2"/>
      <c r="N331" s="2"/>
      <c r="O331" s="2"/>
      <c r="P331" s="2"/>
      <c r="Q331" s="2"/>
      <c r="R331" s="2"/>
      <c r="S331" s="2"/>
      <c r="T331" s="2"/>
      <c r="U331" s="2"/>
      <c r="V331" s="2"/>
    </row>
    <row r="332" spans="2:22" ht="15" customHeight="1" x14ac:dyDescent="0.35">
      <c r="B332" s="1"/>
      <c r="C332" s="2"/>
      <c r="D332" s="2"/>
      <c r="E332" s="2"/>
      <c r="F332" s="2"/>
      <c r="G332" s="2"/>
      <c r="H332" s="2"/>
      <c r="I332" s="2"/>
      <c r="J332" s="2"/>
      <c r="K332" s="2"/>
      <c r="L332" s="2"/>
      <c r="M332" s="2"/>
      <c r="N332" s="2"/>
      <c r="O332" s="2"/>
      <c r="P332" s="2"/>
      <c r="Q332" s="2"/>
      <c r="R332" s="2"/>
      <c r="S332" s="2"/>
      <c r="T332" s="2"/>
      <c r="U332" s="2"/>
      <c r="V332" s="2"/>
    </row>
    <row r="333" spans="2:22" ht="15" customHeight="1" x14ac:dyDescent="0.35">
      <c r="B333" s="1"/>
      <c r="C333" s="2"/>
      <c r="D333" s="2"/>
      <c r="E333" s="2"/>
      <c r="F333" s="2"/>
      <c r="G333" s="2"/>
      <c r="H333" s="2"/>
      <c r="I333" s="2"/>
      <c r="J333" s="2"/>
      <c r="K333" s="2"/>
      <c r="L333" s="2"/>
      <c r="M333" s="2"/>
      <c r="N333" s="2"/>
      <c r="O333" s="2"/>
      <c r="P333" s="2"/>
      <c r="Q333" s="2"/>
      <c r="R333" s="2"/>
      <c r="S333" s="2"/>
      <c r="T333" s="2"/>
      <c r="U333" s="2"/>
      <c r="V333" s="2"/>
    </row>
    <row r="334" spans="2:22" ht="15" customHeight="1" x14ac:dyDescent="0.35">
      <c r="B334" s="1"/>
      <c r="C334" s="2"/>
      <c r="D334" s="2"/>
      <c r="E334" s="2"/>
      <c r="F334" s="2"/>
      <c r="G334" s="2"/>
      <c r="H334" s="2"/>
      <c r="I334" s="2"/>
      <c r="J334" s="2"/>
      <c r="K334" s="2"/>
      <c r="L334" s="2"/>
      <c r="M334" s="2"/>
      <c r="N334" s="2"/>
      <c r="O334" s="2"/>
      <c r="P334" s="2"/>
      <c r="Q334" s="2"/>
      <c r="R334" s="2"/>
      <c r="S334" s="2"/>
      <c r="T334" s="2"/>
      <c r="U334" s="2"/>
      <c r="V334" s="2"/>
    </row>
    <row r="335" spans="2:22" ht="15" customHeight="1" x14ac:dyDescent="0.35">
      <c r="B335" s="1"/>
      <c r="C335" s="2"/>
      <c r="D335" s="2"/>
      <c r="E335" s="2"/>
      <c r="F335" s="2"/>
      <c r="G335" s="2"/>
      <c r="H335" s="2"/>
      <c r="I335" s="2"/>
      <c r="J335" s="2"/>
      <c r="K335" s="2"/>
      <c r="L335" s="2"/>
      <c r="M335" s="2"/>
      <c r="N335" s="2"/>
      <c r="O335" s="2"/>
      <c r="P335" s="2"/>
      <c r="Q335" s="2"/>
      <c r="R335" s="2"/>
      <c r="S335" s="2"/>
      <c r="T335" s="2"/>
      <c r="U335" s="2"/>
      <c r="V335" s="2"/>
    </row>
    <row r="336" spans="2:22" ht="15" customHeight="1" x14ac:dyDescent="0.35">
      <c r="B336" s="1"/>
      <c r="C336" s="2"/>
      <c r="D336" s="2"/>
      <c r="E336" s="2"/>
      <c r="F336" s="2"/>
      <c r="G336" s="2"/>
      <c r="H336" s="2"/>
      <c r="I336" s="2"/>
      <c r="J336" s="2"/>
      <c r="K336" s="2"/>
      <c r="L336" s="2"/>
      <c r="M336" s="2"/>
      <c r="N336" s="2"/>
      <c r="O336" s="2"/>
      <c r="P336" s="2"/>
      <c r="Q336" s="2"/>
      <c r="R336" s="2"/>
      <c r="S336" s="2"/>
      <c r="T336" s="2"/>
      <c r="U336" s="2"/>
      <c r="V336" s="2"/>
    </row>
    <row r="337" spans="2:22" ht="15" customHeight="1" x14ac:dyDescent="0.35">
      <c r="B337" s="1"/>
      <c r="C337" s="2"/>
      <c r="D337" s="2"/>
      <c r="E337" s="2"/>
      <c r="F337" s="2"/>
      <c r="G337" s="2"/>
      <c r="H337" s="2"/>
      <c r="I337" s="2"/>
      <c r="J337" s="2"/>
      <c r="K337" s="2"/>
      <c r="L337" s="2"/>
      <c r="M337" s="2"/>
      <c r="N337" s="2"/>
      <c r="O337" s="2"/>
      <c r="P337" s="2"/>
      <c r="Q337" s="2"/>
      <c r="R337" s="2"/>
      <c r="S337" s="2"/>
      <c r="T337" s="2"/>
      <c r="U337" s="2"/>
      <c r="V337" s="2"/>
    </row>
    <row r="338" spans="2:22" ht="15" customHeight="1" x14ac:dyDescent="0.35">
      <c r="B338" s="1"/>
      <c r="C338" s="2"/>
      <c r="D338" s="2"/>
      <c r="E338" s="2"/>
      <c r="F338" s="2"/>
      <c r="G338" s="2"/>
      <c r="H338" s="2"/>
      <c r="I338" s="2"/>
      <c r="J338" s="2"/>
      <c r="K338" s="2"/>
      <c r="L338" s="2"/>
      <c r="M338" s="2"/>
      <c r="N338" s="2"/>
      <c r="O338" s="2"/>
      <c r="P338" s="2"/>
      <c r="Q338" s="2"/>
      <c r="R338" s="2"/>
      <c r="S338" s="2"/>
      <c r="T338" s="2"/>
      <c r="U338" s="2"/>
      <c r="V338" s="2"/>
    </row>
    <row r="339" spans="2:22" ht="15" customHeight="1" x14ac:dyDescent="0.35">
      <c r="B339" s="1"/>
      <c r="C339" s="2"/>
      <c r="D339" s="2"/>
      <c r="E339" s="2"/>
      <c r="F339" s="2"/>
      <c r="G339" s="2"/>
      <c r="H339" s="2"/>
      <c r="I339" s="2"/>
      <c r="J339" s="2"/>
      <c r="K339" s="2"/>
      <c r="L339" s="2"/>
      <c r="M339" s="2"/>
      <c r="N339" s="2"/>
      <c r="O339" s="2"/>
      <c r="P339" s="2"/>
      <c r="Q339" s="2"/>
      <c r="R339" s="2"/>
      <c r="S339" s="2"/>
      <c r="T339" s="2"/>
      <c r="U339" s="2"/>
      <c r="V339" s="2"/>
    </row>
    <row r="340" spans="2:22" ht="15" customHeight="1" x14ac:dyDescent="0.35">
      <c r="B340" s="1"/>
      <c r="C340" s="2"/>
      <c r="D340" s="2"/>
      <c r="E340" s="2"/>
      <c r="F340" s="2"/>
      <c r="G340" s="2"/>
      <c r="H340" s="2"/>
      <c r="I340" s="2"/>
      <c r="J340" s="2"/>
      <c r="K340" s="2"/>
      <c r="L340" s="2"/>
      <c r="M340" s="2"/>
      <c r="N340" s="2"/>
      <c r="O340" s="2"/>
      <c r="P340" s="2"/>
      <c r="Q340" s="2"/>
      <c r="R340" s="2"/>
      <c r="S340" s="2"/>
      <c r="T340" s="2"/>
      <c r="U340" s="2"/>
      <c r="V340" s="2"/>
    </row>
    <row r="341" spans="2:22" ht="15" customHeight="1" x14ac:dyDescent="0.35">
      <c r="B341" s="1"/>
      <c r="C341" s="2"/>
      <c r="D341" s="2"/>
      <c r="E341" s="2"/>
      <c r="F341" s="2"/>
      <c r="G341" s="2"/>
      <c r="H341" s="2"/>
      <c r="I341" s="2"/>
      <c r="J341" s="2"/>
      <c r="K341" s="2"/>
      <c r="L341" s="2"/>
      <c r="M341" s="2"/>
      <c r="N341" s="2"/>
      <c r="O341" s="2"/>
      <c r="P341" s="2"/>
      <c r="Q341" s="2"/>
      <c r="R341" s="2"/>
      <c r="S341" s="2"/>
      <c r="T341" s="2"/>
      <c r="U341" s="2"/>
      <c r="V341" s="2"/>
    </row>
  </sheetData>
  <conditionalFormatting sqref="B4:V319">
    <cfRule type="expression" dxfId="20" priority="1">
      <formula>ISEVEN($B4)</formula>
    </cfRule>
  </conditionalFormatting>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F151-E204-4BC8-A577-37D444F22A9D}">
  <sheetPr codeName="Sheet10">
    <tabColor rgb="FF044689"/>
  </sheetPr>
  <dimension ref="A1:Q28"/>
  <sheetViews>
    <sheetView showGridLines="0" zoomScaleNormal="100" workbookViewId="0"/>
  </sheetViews>
  <sheetFormatPr defaultColWidth="0" defaultRowHeight="14" zeroHeight="1" x14ac:dyDescent="0.3"/>
  <cols>
    <col min="1" max="1" width="1.453125" style="3" customWidth="1"/>
    <col min="2" max="2" width="5.1796875" style="3" customWidth="1"/>
    <col min="3" max="15" width="8.453125" style="3" customWidth="1"/>
    <col min="16" max="16" width="10.6328125" style="3" hidden="1" customWidth="1"/>
    <col min="17" max="17" width="0" style="3" hidden="1" customWidth="1"/>
    <col min="18" max="16384" width="10.6328125" style="3" hidden="1"/>
  </cols>
  <sheetData>
    <row r="1" spans="1:17" x14ac:dyDescent="0.3">
      <c r="A1" s="88"/>
      <c r="B1" s="88"/>
      <c r="C1" s="88"/>
      <c r="D1" s="88"/>
      <c r="E1" s="88"/>
      <c r="F1" s="88"/>
      <c r="G1" s="88"/>
      <c r="H1" s="88"/>
      <c r="I1" s="88"/>
      <c r="J1" s="88"/>
      <c r="K1" s="88"/>
      <c r="L1" s="88"/>
      <c r="M1" s="88"/>
      <c r="N1" s="88"/>
      <c r="O1" s="88"/>
      <c r="P1" s="88"/>
    </row>
    <row r="2" spans="1:17" x14ac:dyDescent="0.3">
      <c r="A2" s="88"/>
      <c r="B2" s="88"/>
      <c r="C2" s="88"/>
      <c r="D2" s="88"/>
      <c r="E2" s="88"/>
      <c r="F2" s="88"/>
      <c r="G2" s="88"/>
      <c r="H2" s="88"/>
      <c r="I2" s="88"/>
      <c r="J2" s="88"/>
      <c r="K2" s="88"/>
      <c r="L2" s="88"/>
      <c r="M2" s="88"/>
      <c r="N2" s="88"/>
      <c r="O2" s="88"/>
      <c r="P2" s="88"/>
    </row>
    <row r="3" spans="1:17" x14ac:dyDescent="0.3">
      <c r="A3" s="88"/>
      <c r="B3" s="88"/>
      <c r="C3" s="88"/>
      <c r="D3" s="88"/>
      <c r="E3" s="88"/>
      <c r="F3" s="88"/>
      <c r="G3" s="88"/>
      <c r="H3" s="88"/>
      <c r="I3" s="88"/>
      <c r="J3" s="88"/>
      <c r="K3" s="88"/>
      <c r="L3" s="88"/>
      <c r="M3" s="88"/>
      <c r="N3" s="88"/>
      <c r="O3" s="88"/>
      <c r="P3" s="88"/>
    </row>
    <row r="4" spans="1:17" x14ac:dyDescent="0.3">
      <c r="A4" s="88"/>
      <c r="B4" s="88"/>
      <c r="P4" s="84"/>
      <c r="Q4" s="84"/>
    </row>
    <row r="5" spans="1:17" x14ac:dyDescent="0.3">
      <c r="A5" s="88"/>
      <c r="B5" s="88"/>
      <c r="C5" s="84"/>
      <c r="D5" s="84"/>
      <c r="E5" s="84"/>
      <c r="F5" s="84"/>
      <c r="G5" s="84"/>
      <c r="H5" s="84"/>
      <c r="I5" s="84"/>
      <c r="J5" s="84"/>
      <c r="K5" s="84"/>
      <c r="L5" s="84"/>
      <c r="M5" s="84"/>
      <c r="N5" s="84"/>
      <c r="O5" s="84"/>
      <c r="P5" s="84"/>
      <c r="Q5" s="84"/>
    </row>
    <row r="6" spans="1:17" x14ac:dyDescent="0.3">
      <c r="A6" s="88"/>
      <c r="B6" s="88"/>
      <c r="C6" s="84"/>
      <c r="D6" s="84"/>
      <c r="E6" s="84"/>
      <c r="F6" s="84"/>
      <c r="G6" s="84"/>
      <c r="H6" s="84"/>
      <c r="I6" s="84"/>
      <c r="J6" s="84"/>
      <c r="K6" s="84"/>
      <c r="L6" s="84"/>
      <c r="M6" s="84"/>
      <c r="N6" s="84"/>
      <c r="O6" s="84"/>
      <c r="P6" s="84"/>
      <c r="Q6" s="84"/>
    </row>
    <row r="7" spans="1:17" x14ac:dyDescent="0.3">
      <c r="A7" s="88"/>
      <c r="B7" s="88"/>
      <c r="C7" s="84"/>
      <c r="D7" s="84"/>
      <c r="E7" s="84"/>
      <c r="F7" s="84"/>
      <c r="G7" s="84"/>
      <c r="H7" s="84"/>
      <c r="I7" s="84"/>
      <c r="J7" s="84"/>
      <c r="K7" s="84"/>
      <c r="L7" s="84"/>
      <c r="M7" s="84"/>
      <c r="N7" s="84"/>
      <c r="O7" s="84"/>
      <c r="P7" s="84"/>
      <c r="Q7" s="84"/>
    </row>
    <row r="8" spans="1:17" ht="23" x14ac:dyDescent="0.5">
      <c r="A8" s="88"/>
      <c r="B8" s="88"/>
      <c r="D8" s="132"/>
      <c r="E8" s="86"/>
      <c r="F8" s="132"/>
      <c r="G8" s="84"/>
      <c r="H8" s="84"/>
      <c r="I8" s="84"/>
      <c r="J8" s="84"/>
      <c r="K8" s="84"/>
      <c r="L8" s="84"/>
      <c r="M8" s="84"/>
      <c r="N8" s="84"/>
      <c r="O8" s="84"/>
      <c r="P8" s="84"/>
      <c r="Q8" s="84"/>
    </row>
    <row r="9" spans="1:17" ht="25" x14ac:dyDescent="0.5">
      <c r="A9" s="88"/>
      <c r="B9" s="88"/>
      <c r="D9" s="91" t="s">
        <v>27</v>
      </c>
      <c r="E9" s="86"/>
      <c r="F9" s="86"/>
      <c r="G9" s="84"/>
      <c r="H9" s="84"/>
      <c r="I9" s="84"/>
      <c r="J9" s="84"/>
      <c r="K9" s="84"/>
      <c r="L9" s="84"/>
      <c r="M9" s="84"/>
      <c r="N9" s="84"/>
      <c r="O9" s="84"/>
      <c r="P9" s="84"/>
      <c r="Q9" s="84"/>
    </row>
    <row r="10" spans="1:17" ht="14.5" x14ac:dyDescent="0.35">
      <c r="A10" s="88"/>
      <c r="B10" s="88"/>
      <c r="D10"/>
      <c r="E10"/>
      <c r="F10"/>
      <c r="G10"/>
      <c r="H10"/>
      <c r="I10"/>
      <c r="J10"/>
      <c r="K10"/>
      <c r="L10" s="84"/>
      <c r="M10" s="84"/>
      <c r="N10" s="84"/>
      <c r="O10" s="84"/>
      <c r="P10" s="84"/>
      <c r="Q10" s="84"/>
    </row>
    <row r="11" spans="1:17" ht="14.5" x14ac:dyDescent="0.35">
      <c r="A11" s="88"/>
      <c r="B11" s="88"/>
      <c r="C11"/>
      <c r="D11"/>
      <c r="E11"/>
      <c r="F11"/>
      <c r="G11"/>
      <c r="H11"/>
      <c r="I11"/>
      <c r="J11"/>
      <c r="K11"/>
      <c r="L11" s="84"/>
      <c r="M11" s="84"/>
      <c r="N11" s="84"/>
      <c r="O11" s="84"/>
      <c r="P11" s="84"/>
      <c r="Q11" s="84"/>
    </row>
    <row r="12" spans="1:17" ht="14.5" x14ac:dyDescent="0.35">
      <c r="A12" s="88"/>
      <c r="B12" s="88"/>
      <c r="C12"/>
      <c r="D12"/>
      <c r="E12"/>
      <c r="F12"/>
      <c r="G12"/>
      <c r="H12"/>
      <c r="I12"/>
      <c r="J12"/>
      <c r="K12"/>
      <c r="L12" s="84"/>
      <c r="M12" s="84"/>
      <c r="N12" s="84"/>
      <c r="O12" s="84"/>
      <c r="P12" s="84"/>
      <c r="Q12" s="84"/>
    </row>
    <row r="13" spans="1:17" ht="14.5" x14ac:dyDescent="0.35">
      <c r="A13" s="88"/>
      <c r="B13" s="88"/>
      <c r="C13"/>
      <c r="D13"/>
      <c r="E13"/>
      <c r="F13"/>
      <c r="G13"/>
      <c r="H13"/>
      <c r="I13"/>
      <c r="J13"/>
      <c r="K13"/>
    </row>
    <row r="14" spans="1:17" ht="14.5" x14ac:dyDescent="0.35">
      <c r="A14" s="88"/>
      <c r="B14" s="88"/>
      <c r="C14"/>
      <c r="D14"/>
      <c r="E14"/>
      <c r="F14"/>
      <c r="G14"/>
      <c r="H14"/>
      <c r="I14"/>
      <c r="J14"/>
      <c r="K14"/>
    </row>
    <row r="15" spans="1:17" ht="14.5" x14ac:dyDescent="0.35">
      <c r="A15" s="88"/>
      <c r="B15" s="88"/>
      <c r="C15"/>
      <c r="D15"/>
      <c r="E15"/>
      <c r="F15"/>
      <c r="G15"/>
      <c r="H15"/>
      <c r="I15"/>
      <c r="J15"/>
      <c r="K15"/>
    </row>
    <row r="16" spans="1:17" x14ac:dyDescent="0.3">
      <c r="A16" s="88"/>
      <c r="B16" s="88"/>
      <c r="D16" s="84"/>
    </row>
    <row r="17" spans="1:4" x14ac:dyDescent="0.3">
      <c r="A17" s="88"/>
      <c r="B17" s="88"/>
      <c r="D17" s="84"/>
    </row>
    <row r="18" spans="1:4" x14ac:dyDescent="0.3">
      <c r="A18" s="88"/>
      <c r="B18" s="88"/>
      <c r="D18" s="84"/>
    </row>
    <row r="19" spans="1:4" hidden="1" x14ac:dyDescent="0.3">
      <c r="D19" s="84"/>
    </row>
    <row r="20" spans="1:4" hidden="1" x14ac:dyDescent="0.3">
      <c r="D20" s="84"/>
    </row>
    <row r="21" spans="1:4" hidden="1" x14ac:dyDescent="0.3">
      <c r="D21" s="84"/>
    </row>
    <row r="22" spans="1:4" hidden="1" x14ac:dyDescent="0.3">
      <c r="D22" s="84"/>
    </row>
    <row r="23" spans="1:4" hidden="1" x14ac:dyDescent="0.3">
      <c r="D23" s="84"/>
    </row>
    <row r="24" spans="1:4" hidden="1" x14ac:dyDescent="0.3">
      <c r="D24" s="84"/>
    </row>
    <row r="25" spans="1:4" hidden="1" x14ac:dyDescent="0.3">
      <c r="D25" s="84"/>
    </row>
    <row r="26" spans="1:4" hidden="1" x14ac:dyDescent="0.3">
      <c r="D26" s="84"/>
    </row>
    <row r="27" spans="1:4" hidden="1" x14ac:dyDescent="0.3">
      <c r="D27" s="84"/>
    </row>
    <row r="28" spans="1:4" hidden="1" x14ac:dyDescent="0.3">
      <c r="D28" s="8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4A456-3A14-4E7E-AE42-1D668CC547C5}">
  <sheetPr codeName="Sheet2"/>
  <dimension ref="B1:BC1028"/>
  <sheetViews>
    <sheetView showGridLines="0" zoomScaleNormal="100" workbookViewId="0">
      <extLst>
        <ext xmlns:xlsdti="http://schemas.microsoft.com/office/spreadsheetml/2023/showDataTypeIcons" uri="{77bfe23e-c014-4d31-8a63-9c772dbf06b6}">
          <xlsdti:showDataTypeIcons visible="0"/>
        </ext>
      </extLst>
    </sheetView>
  </sheetViews>
  <sheetFormatPr defaultColWidth="8.453125" defaultRowHeight="14" x14ac:dyDescent="0.3"/>
  <cols>
    <col min="1" max="1" width="1.453125" style="3" customWidth="1"/>
    <col min="2" max="2" width="25.453125" style="3" customWidth="1"/>
    <col min="3" max="8" width="17.453125" style="3" customWidth="1"/>
    <col min="9" max="13" width="13.453125" style="3" customWidth="1"/>
    <col min="14" max="14" width="14.6328125" style="3" customWidth="1"/>
    <col min="15" max="15" width="12.1796875" style="3" bestFit="1" customWidth="1"/>
    <col min="16" max="16" width="12" style="3" bestFit="1" customWidth="1"/>
    <col min="17" max="17" width="10.453125" style="3" bestFit="1" customWidth="1"/>
    <col min="18" max="20" width="11.6328125" style="3" customWidth="1"/>
    <col min="21" max="21" width="8.6328125" style="3" customWidth="1"/>
    <col min="22" max="23" width="15.453125" style="3" customWidth="1"/>
    <col min="24" max="24" width="21.453125" style="3" customWidth="1"/>
    <col min="25" max="25" width="8.6328125" style="3" bestFit="1" customWidth="1"/>
    <col min="26" max="28" width="17.453125" style="3" customWidth="1"/>
    <col min="29" max="30" width="18.453125" style="3" customWidth="1"/>
    <col min="31" max="31" width="8.453125" style="3" bestFit="1"/>
    <col min="32" max="46" width="8.453125" style="3"/>
    <col min="47" max="50" width="13.6328125" style="3" customWidth="1"/>
    <col min="51" max="53" width="8.453125" style="3"/>
    <col min="54" max="54" width="12" style="3" bestFit="1" customWidth="1"/>
    <col min="55" max="16384" width="8.453125" style="3"/>
  </cols>
  <sheetData>
    <row r="1" spans="2:16" ht="13" customHeight="1" x14ac:dyDescent="0.35">
      <c r="J1"/>
      <c r="K1"/>
      <c r="L1"/>
      <c r="M1"/>
      <c r="N1"/>
      <c r="O1"/>
      <c r="P1"/>
    </row>
    <row r="2" spans="2:16" ht="13" customHeight="1" x14ac:dyDescent="0.35">
      <c r="J2"/>
      <c r="K2"/>
      <c r="L2"/>
      <c r="M2"/>
      <c r="N2"/>
      <c r="O2"/>
      <c r="P2"/>
    </row>
    <row r="3" spans="2:16" ht="20" customHeight="1" x14ac:dyDescent="0.4">
      <c r="B3" s="83" t="s">
        <v>28</v>
      </c>
      <c r="J3"/>
      <c r="K3"/>
      <c r="L3"/>
      <c r="M3"/>
      <c r="N3"/>
      <c r="O3"/>
      <c r="P3"/>
    </row>
    <row r="4" spans="2:16" ht="13" customHeight="1" x14ac:dyDescent="0.35">
      <c r="J4"/>
      <c r="K4"/>
      <c r="L4"/>
      <c r="M4"/>
      <c r="N4"/>
      <c r="O4"/>
      <c r="P4"/>
    </row>
    <row r="5" spans="2:16" ht="13" customHeight="1" x14ac:dyDescent="0.35">
      <c r="B5" s="80"/>
      <c r="C5"/>
      <c r="D5" s="3" t="s">
        <v>29</v>
      </c>
      <c r="J5"/>
      <c r="K5"/>
      <c r="L5"/>
      <c r="M5"/>
      <c r="N5"/>
      <c r="O5"/>
      <c r="P5"/>
    </row>
    <row r="6" spans="2:16" ht="13" customHeight="1" x14ac:dyDescent="0.35">
      <c r="B6" s="79"/>
      <c r="D6" s="3" t="s">
        <v>30</v>
      </c>
      <c r="J6"/>
      <c r="K6"/>
      <c r="L6"/>
      <c r="M6"/>
      <c r="N6"/>
      <c r="O6"/>
      <c r="P6"/>
    </row>
    <row r="7" spans="2:16" ht="13" customHeight="1" x14ac:dyDescent="0.35">
      <c r="J7"/>
      <c r="K7"/>
      <c r="L7"/>
      <c r="M7"/>
      <c r="N7"/>
      <c r="O7"/>
      <c r="P7"/>
    </row>
    <row r="8" spans="2:16" ht="13" customHeight="1" x14ac:dyDescent="0.35">
      <c r="J8"/>
      <c r="K8"/>
      <c r="L8"/>
      <c r="M8"/>
      <c r="N8"/>
      <c r="O8"/>
      <c r="P8"/>
    </row>
    <row r="9" spans="2:16" ht="18" x14ac:dyDescent="0.4">
      <c r="B9" s="41" t="s">
        <v>31</v>
      </c>
    </row>
    <row r="11" spans="2:16" x14ac:dyDescent="0.3">
      <c r="B11" s="3" t="s">
        <v>32</v>
      </c>
      <c r="C11" s="5">
        <v>45382</v>
      </c>
    </row>
    <row r="13" spans="2:16" x14ac:dyDescent="0.3">
      <c r="B13" s="3" t="s">
        <v>33</v>
      </c>
      <c r="C13" s="5">
        <f>+EOMONTH($C$11,'ZCB rates'!C$3)</f>
        <v>45473</v>
      </c>
      <c r="D13" s="5">
        <f>+EOMONTH($C$11,'ZCB rates'!D$3)</f>
        <v>45565</v>
      </c>
      <c r="E13" s="5">
        <f>+EOMONTH($C$11,'ZCB rates'!E$3)</f>
        <v>45747</v>
      </c>
      <c r="F13" s="5">
        <f>+EOMONTH($C$11,'ZCB rates'!F$3)</f>
        <v>46112</v>
      </c>
      <c r="G13" s="5">
        <f>+EOMONTH($C$11,'ZCB rates'!G$3)</f>
        <v>47208</v>
      </c>
    </row>
    <row r="14" spans="2:16" x14ac:dyDescent="0.3">
      <c r="B14" s="3" t="s">
        <v>109</v>
      </c>
      <c r="C14" s="196">
        <f>+C13-C11</f>
        <v>91</v>
      </c>
      <c r="D14" s="196">
        <f>+D13-$C$11</f>
        <v>183</v>
      </c>
      <c r="E14" s="196">
        <f t="shared" ref="E14:G14" si="0">+E13-$C$11</f>
        <v>365</v>
      </c>
      <c r="F14" s="196">
        <f t="shared" si="0"/>
        <v>730</v>
      </c>
      <c r="G14" s="196">
        <f t="shared" si="0"/>
        <v>1826</v>
      </c>
    </row>
    <row r="15" spans="2:16" x14ac:dyDescent="0.3">
      <c r="B15" s="5"/>
      <c r="C15" s="5"/>
      <c r="D15" s="5"/>
      <c r="E15" s="5"/>
      <c r="F15" s="5"/>
      <c r="G15" s="5"/>
    </row>
    <row r="16" spans="2:16" x14ac:dyDescent="0.3">
      <c r="B16" s="5"/>
      <c r="C16" s="5"/>
      <c r="D16" s="5"/>
      <c r="E16" s="5"/>
      <c r="F16" s="5"/>
      <c r="G16" s="5"/>
    </row>
    <row r="17" spans="2:7" ht="18" x14ac:dyDescent="0.4">
      <c r="B17" s="42" t="s">
        <v>35</v>
      </c>
      <c r="C17" s="5"/>
      <c r="D17" s="5"/>
      <c r="E17" s="5"/>
      <c r="F17" s="5"/>
      <c r="G17" s="5"/>
    </row>
    <row r="18" spans="2:7" x14ac:dyDescent="0.3">
      <c r="B18" s="5"/>
      <c r="C18" s="5"/>
      <c r="D18" s="5"/>
      <c r="E18" s="5"/>
      <c r="F18" s="5"/>
      <c r="G18" s="5"/>
    </row>
    <row r="19" spans="2:7" x14ac:dyDescent="0.3">
      <c r="B19" s="32"/>
      <c r="C19" s="34">
        <f>+'ZCB rates'!C3</f>
        <v>3</v>
      </c>
      <c r="D19" s="34">
        <f>+'ZCB rates'!D3</f>
        <v>6</v>
      </c>
      <c r="E19" s="34">
        <f>+'ZCB rates'!E3</f>
        <v>12</v>
      </c>
      <c r="F19" s="34">
        <f>+'ZCB rates'!F3</f>
        <v>24</v>
      </c>
      <c r="G19" s="34">
        <f>+'ZCB rates'!G3</f>
        <v>60</v>
      </c>
    </row>
    <row r="20" spans="2:7" x14ac:dyDescent="0.3">
      <c r="B20" s="5">
        <f>+C11</f>
        <v>45382</v>
      </c>
      <c r="C20" s="43">
        <f>+'ZCB rates'!R225</f>
        <v>3.9148291864356644E-2</v>
      </c>
      <c r="D20" s="43">
        <f>+'ZCB rates'!S225</f>
        <v>3.7100348347894219E-2</v>
      </c>
      <c r="E20" s="43">
        <f>+'ZCB rates'!T225</f>
        <v>3.3890367084318918E-2</v>
      </c>
      <c r="F20" s="43">
        <f>+'ZCB rates'!U225</f>
        <v>3.0018486357103136E-2</v>
      </c>
      <c r="G20" s="43">
        <f>+'ZCB rates'!V225</f>
        <v>2.7648923912403145E-2</v>
      </c>
    </row>
    <row r="21" spans="2:7" x14ac:dyDescent="0.3">
      <c r="B21" s="5"/>
      <c r="C21" s="5"/>
      <c r="D21" s="5"/>
      <c r="E21" s="5"/>
      <c r="F21" s="5"/>
      <c r="G21" s="5"/>
    </row>
    <row r="22" spans="2:7" x14ac:dyDescent="0.3">
      <c r="B22" s="5"/>
      <c r="C22" s="5"/>
      <c r="D22" s="5"/>
      <c r="E22" s="5"/>
      <c r="F22" s="5"/>
      <c r="G22" s="5"/>
    </row>
    <row r="23" spans="2:7" ht="20" x14ac:dyDescent="0.4">
      <c r="B23" s="47" t="s">
        <v>16</v>
      </c>
    </row>
    <row r="24" spans="2:7" customFormat="1" ht="17" customHeight="1" x14ac:dyDescent="0.35"/>
    <row r="25" spans="2:7" ht="17" customHeight="1" x14ac:dyDescent="0.3">
      <c r="B25" s="9"/>
      <c r="D25" s="5"/>
      <c r="E25" s="5"/>
      <c r="F25" s="5"/>
      <c r="G25" s="5"/>
    </row>
    <row r="26" spans="2:7" ht="17" customHeight="1" x14ac:dyDescent="0.3">
      <c r="B26" s="32"/>
      <c r="C26" s="6">
        <f>+Assumptions!E7</f>
        <v>45657</v>
      </c>
      <c r="D26" s="6">
        <f>+Assumptions!F7</f>
        <v>45838</v>
      </c>
      <c r="E26" s="6">
        <f>+Assumptions!G7</f>
        <v>46022</v>
      </c>
      <c r="F26" s="6">
        <f>+Assumptions!H7</f>
        <v>46203</v>
      </c>
      <c r="G26" s="6">
        <f>+Assumptions!I7</f>
        <v>46387</v>
      </c>
    </row>
    <row r="27" spans="2:7" ht="17" customHeight="1" x14ac:dyDescent="0.3">
      <c r="B27" s="5" t="s">
        <v>36</v>
      </c>
      <c r="C27" s="80">
        <f>+(C26-$C$11)/365</f>
        <v>0.75342465753424659</v>
      </c>
      <c r="D27" s="80">
        <f>+(D26-$C$11)/365</f>
        <v>1.2493150684931507</v>
      </c>
      <c r="E27" s="80">
        <f t="shared" ref="E27:G27" si="1">+(E26-$C$11)/365</f>
        <v>1.7534246575342465</v>
      </c>
      <c r="F27" s="80">
        <f t="shared" si="1"/>
        <v>2.2493150684931509</v>
      </c>
      <c r="G27" s="80">
        <f t="shared" si="1"/>
        <v>2.7534246575342465</v>
      </c>
    </row>
    <row r="28" spans="2:7" ht="17" customHeight="1" x14ac:dyDescent="0.3">
      <c r="B28" s="3" t="s">
        <v>37</v>
      </c>
      <c r="C28" s="15">
        <f>+_xlfn.LET(_xlpm.t_remaining,C27,_xlpm.r_m1,D20,_xlpm.r_m2,E20,_xlpm.mone,D19,_xlpm.mtwo,E19,_xlpm.r_m1+(_xlpm.r_m2-_xlpm.r_m1)/(_xlpm.mtwo/month_in_a_year-_xlpm.mone/month_in_a_year)*(_xlpm.t_remaining-_xlpm.mone/month_in_a_year))</f>
        <v>3.5473371543068379E-2</v>
      </c>
      <c r="D28" s="15">
        <f>+_xlfn.LET(_xlpm.t_rem,D27,_xlpm.r_m1,E20,_xlpm.r_m2,F20,_xlpm.mone,E19,_xlpm.mtwo,F19,_xlpm.r_m1+(_xlpm.r_m2-_xlpm.r_m1)/(_xlpm.mtwo/month_in_a_year-_xlpm.mone/month_in_a_year)*(_xlpm.t_rem-_xlpm.mone/month_in_a_year))</f>
        <v>3.2925048875615807E-2</v>
      </c>
      <c r="E28" s="15">
        <f>+_xlfn.LET(_xlpm.t_rem,E27,_xlpm.r_m1,E20,_xlpm.r_m2,F20,_xlpm.mone,E19,_xlpm.mtwo,F19,_xlpm.r_m1+(_xlpm.r_m2-_xlpm.r_m1)/(_xlpm.mtwo/month_in_a_year-_xlpm.mone/month_in_a_year)*(_xlpm.t_rem-_xlpm.mone/month_in_a_year))</f>
        <v>3.0973196673402918E-2</v>
      </c>
      <c r="F28" s="15">
        <f>+_xlfn.LET(_xlpm.t_rem,F27,_xlpm.r_m1,F20,_xlpm.r_m2,G20,_xlpm.mone,F19,_xlpm.mtwo,G19,_xlpm.r_m1+(_xlpm.r_m2-_xlpm.r_m1)/(_xlpm.mtwo/month_in_a_year-_xlpm.mone/month_in_a_year)*(_xlpm.t_rem-_xlpm.mone/month_in_a_year))</f>
        <v>2.9821563816036744E-2</v>
      </c>
      <c r="G28" s="15">
        <f>+_xlfn.LET(_xlpm.t_rem,G27,_xlpm.r_m1,F20,_xlpm.r_m2,G20,_xlpm.mone,F19,_xlpm.mtwo,G19,_xlpm.r_m1+(_xlpm.r_m2-_xlpm.r_m1)/(_xlpm.mtwo/month_in_a_year-_xlpm.mone/month_in_a_year)*(_xlpm.t_rem-_xlpm.mone/month_in_a_year))</f>
        <v>2.9423390765968435E-2</v>
      </c>
    </row>
    <row r="29" spans="2:7" ht="17" customHeight="1" x14ac:dyDescent="0.3">
      <c r="B29" s="10" t="s">
        <v>38</v>
      </c>
      <c r="C29" s="12">
        <f>+C27/(1+C28)</f>
        <v>0.72761374482425256</v>
      </c>
      <c r="D29" s="12">
        <f>+D27/(1+D28)</f>
        <v>1.2094924698099681</v>
      </c>
      <c r="E29" s="12">
        <f>+E27/(1+E28)</f>
        <v>1.7007470836215208</v>
      </c>
      <c r="F29" s="12">
        <f>+F27/(1+F28)</f>
        <v>2.1841794224605686</v>
      </c>
      <c r="G29" s="12">
        <f>+G27/(1+G28)</f>
        <v>2.6747251735609887</v>
      </c>
    </row>
    <row r="30" spans="2:7" ht="17" customHeight="1" x14ac:dyDescent="0.3"/>
    <row r="31" spans="2:7" ht="17" customHeight="1" x14ac:dyDescent="0.3">
      <c r="B31" s="45" t="s">
        <v>39</v>
      </c>
      <c r="C31" s="44" t="s">
        <v>40</v>
      </c>
      <c r="D31" s="44" t="s">
        <v>41</v>
      </c>
      <c r="E31" s="44" t="s">
        <v>41</v>
      </c>
      <c r="F31" s="44" t="s">
        <v>42</v>
      </c>
      <c r="G31" s="44" t="s">
        <v>42</v>
      </c>
    </row>
    <row r="32" spans="2:7" ht="17" customHeight="1" x14ac:dyDescent="0.3">
      <c r="B32" s="3" t="s">
        <v>43</v>
      </c>
      <c r="C32" s="8">
        <f>+(D$19/month_in_a_year)/(1+D$20)</f>
        <v>0.48211342402545942</v>
      </c>
      <c r="D32" s="8">
        <f>+(E$19/month_in_a_year)/(1+E$20)</f>
        <v>0.96722054082011288</v>
      </c>
      <c r="E32" s="8">
        <f>+(E$19/month_in_a_year)/(1+E$20)</f>
        <v>0.96722054082011288</v>
      </c>
      <c r="F32" s="8">
        <f>+(F$19/month_in_a_year)/(1+F$20)</f>
        <v>1.9417127231118532</v>
      </c>
      <c r="G32" s="8">
        <f>+(F$19/month_in_a_year)/(1+F$20)</f>
        <v>1.9417127231118532</v>
      </c>
    </row>
    <row r="33" spans="2:10" ht="17" customHeight="1" x14ac:dyDescent="0.3">
      <c r="B33" s="3" t="s">
        <v>44</v>
      </c>
      <c r="C33" s="8">
        <f>+(E$19/month_in_a_year)/(1+E$20)</f>
        <v>0.96722054082011288</v>
      </c>
      <c r="D33" s="8">
        <f>+(F$19/month_in_a_year)/(1+F$20)</f>
        <v>1.9417127231118532</v>
      </c>
      <c r="E33" s="8">
        <f>+(F$19/month_in_a_year)/(1+F$20)</f>
        <v>1.9417127231118532</v>
      </c>
      <c r="F33" s="8">
        <f>+(G$19/month_in_a_year)/(1+G$20)</f>
        <v>4.8654748559112004</v>
      </c>
      <c r="G33" s="8">
        <f>+(G$19/month_in_a_year)/(1+G$20)</f>
        <v>4.8654748559112004</v>
      </c>
    </row>
    <row r="34" spans="2:10" ht="17" customHeight="1" x14ac:dyDescent="0.3">
      <c r="C34" s="8"/>
      <c r="D34" s="8"/>
      <c r="E34" s="8"/>
      <c r="F34" s="8"/>
      <c r="G34" s="8"/>
    </row>
    <row r="35" spans="2:10" ht="17" customHeight="1" x14ac:dyDescent="0.3">
      <c r="B35" s="3" t="s">
        <v>45</v>
      </c>
      <c r="C35" s="8">
        <f>+Assumptions!E$8/(1+C28)^C27</f>
        <v>194.81569796750296</v>
      </c>
      <c r="D35" s="8">
        <f>+Assumptions!F8/(1+D28)^D27</f>
        <v>192.06738350441026</v>
      </c>
      <c r="E35" s="8">
        <f>+Assumptions!G8/(1+E28)^E27</f>
        <v>189.58401757020178</v>
      </c>
      <c r="F35" s="8">
        <f>+Assumptions!H8/(1+F28)^F27</f>
        <v>187.20794607790725</v>
      </c>
      <c r="G35" s="8">
        <f>+Assumptions!I8/(1+G28)^G27</f>
        <v>9417.2359768087335</v>
      </c>
    </row>
    <row r="36" spans="2:10" ht="17" customHeight="1" x14ac:dyDescent="0.3">
      <c r="C36" s="8"/>
      <c r="D36" s="8"/>
      <c r="E36" s="8"/>
      <c r="F36" s="8"/>
      <c r="G36" s="8"/>
    </row>
    <row r="37" spans="2:10" ht="17" customHeight="1" x14ac:dyDescent="0.3">
      <c r="B37" s="3" t="s">
        <v>110</v>
      </c>
      <c r="C37" s="8">
        <f>+_xlfn.LET(_xlpm.MDvirt1,C32,_xlpm.MDvirt2,C33,_xlpm.MDreal,C29,_xlpm.Mvreal,C35,(_xlpm.MDvirt2-_xlpm.MDreal)/(_xlpm.MDvirt2-_xlpm.MDvirt1)*_xlpm.Mvreal)</f>
        <v>96.224449371353955</v>
      </c>
      <c r="D37" s="8">
        <f>+_xlfn.LET(_xlpm.MDvirt1,D32,_xlpm.MDvirt2,D33,_xlpm.MDreal,D29,_xlpm.Mvreal,D35,(_xlpm.MDvirt2-_xlpm.MDreal)/(_xlpm.MDvirt2-_xlpm.MDvirt1)*_xlpm.Mvreal)</f>
        <v>144.31683573889006</v>
      </c>
      <c r="E37" s="8">
        <f>+_xlfn.LET(_xlpm.MDvirt1,E32,_xlpm.MDvirt2,E33,_xlpm.MDreal,E29,_xlpm.Mvreal,E35,(_xlpm.MDvirt2-_xlpm.MDreal)/(_xlpm.MDvirt2-_xlpm.MDvirt1)*_xlpm.Mvreal)</f>
        <v>46.879015410380759</v>
      </c>
      <c r="F37" s="8">
        <f>+_xlfn.LET(_xlpm.MDvirt1,F32,_xlpm.MDvirt2,F33,_xlpm.MDreal,F29,_xlpm.Mvreal,F35,(_xlpm.MDvirt2-_xlpm.MDreal)/(_xlpm.MDvirt2-_xlpm.MDvirt1)*_xlpm.Mvreal)</f>
        <v>171.68284837308732</v>
      </c>
      <c r="G37" s="8">
        <f>+_xlfn.LET(_xlpm.MDvirt1,G32,_xlpm.MDvirt2,G33,_xlpm.MDreal,G29,_xlpm.Mvreal,G35,(_xlpm.MDvirt2-_xlpm.MDreal)/(_xlpm.MDvirt2-_xlpm.MDvirt1)*_xlpm.Mvreal)</f>
        <v>7056.2534801891743</v>
      </c>
    </row>
    <row r="38" spans="2:10" ht="17" customHeight="1" x14ac:dyDescent="0.3">
      <c r="B38" s="3" t="s">
        <v>111</v>
      </c>
      <c r="C38" s="8">
        <f>+C35-C37</f>
        <v>98.591248596149001</v>
      </c>
      <c r="D38" s="8">
        <f>+D35-D37</f>
        <v>47.750547765520196</v>
      </c>
      <c r="E38" s="8">
        <f>+E35-E37</f>
        <v>142.70500215982102</v>
      </c>
      <c r="F38" s="8">
        <f t="shared" ref="F38:G38" si="2">+F35-F37</f>
        <v>15.525097704819927</v>
      </c>
      <c r="G38" s="8">
        <f t="shared" si="2"/>
        <v>2360.9824966195592</v>
      </c>
    </row>
    <row r="39" spans="2:10" ht="17" customHeight="1" x14ac:dyDescent="0.3">
      <c r="C39" s="8"/>
      <c r="D39" s="8"/>
      <c r="E39" s="8"/>
      <c r="F39" s="8"/>
      <c r="G39" s="8"/>
    </row>
    <row r="40" spans="2:10" ht="17" customHeight="1" x14ac:dyDescent="0.3">
      <c r="B40" s="3" t="s">
        <v>48</v>
      </c>
      <c r="C40" s="138">
        <f>+C37*(1+D20)^(D19/month_in_a_year)</f>
        <v>97.99317399182371</v>
      </c>
      <c r="D40" s="133">
        <f>+D37*(1+E20)^(E19/month_in_a_year)</f>
        <v>149.2077862785284</v>
      </c>
      <c r="E40" s="133">
        <f>+E37*(1+E20)^(E19/month_in_a_year)</f>
        <v>48.467762451190005</v>
      </c>
      <c r="F40" s="133">
        <f>+F37*(1+F20)^(F19/month_in_a_year)</f>
        <v>182.1448719059938</v>
      </c>
      <c r="G40" s="134">
        <f>+G37*(1+F20)^(F19/month_in_a_year)</f>
        <v>7486.2480350527267</v>
      </c>
    </row>
    <row r="41" spans="2:10" ht="17" customHeight="1" x14ac:dyDescent="0.3">
      <c r="B41" s="3" t="s">
        <v>49</v>
      </c>
      <c r="C41" s="137">
        <f>+C38*(1+E20)^(E19/month_in_a_year)</f>
        <v>101.93254220237384</v>
      </c>
      <c r="D41" s="135">
        <f>+D38*(1+F20)^(F19/month_in_a_year)</f>
        <v>50.660374572135311</v>
      </c>
      <c r="E41" s="135">
        <f>+E38*(1+F20)^(F19/month_in_a_year)</f>
        <v>151.4011713171214</v>
      </c>
      <c r="F41" s="135">
        <f>+F38*(1+G20)^(G19/month_in_a_year)</f>
        <v>17.793369647386125</v>
      </c>
      <c r="G41" s="136">
        <f>+G38*(1+G20)^(G19/month_in_a_year)</f>
        <v>2705.9304290444493</v>
      </c>
    </row>
    <row r="42" spans="2:10" ht="17" customHeight="1" x14ac:dyDescent="0.3"/>
    <row r="43" spans="2:10" ht="17" customHeight="1" x14ac:dyDescent="0.3">
      <c r="B43" s="3" t="s">
        <v>50</v>
      </c>
      <c r="C43" s="11">
        <f>ROUND(+C29-C32*C37/C35-C33*C38/C35,5)</f>
        <v>0</v>
      </c>
      <c r="D43" s="11">
        <f>ROUND(+D29-D32*D37/D35-D33*D38/D35,5)</f>
        <v>0</v>
      </c>
      <c r="E43" s="11">
        <f>ROUND(+E29-E32*E37/E35-E33*E38/E35,5)</f>
        <v>0</v>
      </c>
      <c r="F43" s="11">
        <f>ROUND(+F29-F32*F37/F35-F33*F38/F35,5)</f>
        <v>0</v>
      </c>
      <c r="G43" s="11">
        <f>+G29-G32*G37/G35-G33*G38/G35</f>
        <v>0</v>
      </c>
    </row>
    <row r="44" spans="2:10" ht="17" customHeight="1" x14ac:dyDescent="0.3">
      <c r="C44" s="11"/>
      <c r="D44" s="11"/>
      <c r="E44" s="11"/>
      <c r="F44" s="11"/>
      <c r="G44" s="11"/>
    </row>
    <row r="45" spans="2:10" ht="17" customHeight="1" x14ac:dyDescent="0.35">
      <c r="C45"/>
      <c r="D45" s="11"/>
      <c r="E45" s="11"/>
      <c r="F45" s="13"/>
      <c r="G45"/>
      <c r="H45"/>
      <c r="I45"/>
      <c r="J45"/>
    </row>
    <row r="46" spans="2:10" ht="17" customHeight="1" x14ac:dyDescent="0.35">
      <c r="C46" s="11"/>
      <c r="D46" s="11"/>
      <c r="E46" s="11"/>
      <c r="F46" s="11"/>
      <c r="G46"/>
      <c r="H46"/>
      <c r="I46"/>
      <c r="J46"/>
    </row>
    <row r="47" spans="2:10" ht="17" customHeight="1" x14ac:dyDescent="0.4">
      <c r="B47" s="47" t="s">
        <v>19</v>
      </c>
    </row>
    <row r="48" spans="2:10" ht="17" customHeight="1" x14ac:dyDescent="0.35">
      <c r="C48"/>
      <c r="D48"/>
      <c r="E48"/>
      <c r="F48"/>
      <c r="G48" s="11"/>
    </row>
    <row r="49" spans="2:12" ht="17" customHeight="1" x14ac:dyDescent="0.3">
      <c r="C49" s="11"/>
      <c r="D49" s="11"/>
      <c r="E49" s="11"/>
      <c r="F49" s="11"/>
      <c r="G49" s="11"/>
    </row>
    <row r="50" spans="2:12" ht="17" customHeight="1" x14ac:dyDescent="0.35">
      <c r="B50" s="32"/>
      <c r="C50" s="6">
        <f>+Assumptions!E10</f>
        <v>45747</v>
      </c>
      <c r="D50" s="6">
        <f>+Assumptions!F10</f>
        <v>45838</v>
      </c>
      <c r="E50" s="6">
        <f>+Assumptions!G10</f>
        <v>46022</v>
      </c>
      <c r="F50" s="6">
        <f>+Assumptions!H10</f>
        <v>46203</v>
      </c>
      <c r="G50"/>
    </row>
    <row r="51" spans="2:12" ht="17" customHeight="1" x14ac:dyDescent="0.35">
      <c r="B51" s="5" t="s">
        <v>36</v>
      </c>
      <c r="C51" s="79">
        <f>+(C50-$C$11)/365</f>
        <v>1</v>
      </c>
      <c r="D51" s="80">
        <f>+(D50-$C$11)/365</f>
        <v>1.2493150684931507</v>
      </c>
      <c r="E51" s="80">
        <f t="shared" ref="E51:F51" si="3">+(E50-$C$11)/365</f>
        <v>1.7534246575342465</v>
      </c>
      <c r="F51" s="80">
        <f t="shared" si="3"/>
        <v>2.2493150684931509</v>
      </c>
      <c r="G51"/>
    </row>
    <row r="52" spans="2:12" ht="17" customHeight="1" x14ac:dyDescent="0.35">
      <c r="B52" s="3" t="s">
        <v>37</v>
      </c>
      <c r="C52" s="46"/>
      <c r="D52" s="15">
        <f>+_xlfn.LET(_xlpm.t_rem,D51,_xlpm.r_m1,E20,_xlpm.r_m2,F20,_xlpm.mone,E19,_xlpm.mtwo,F19,_xlpm.r_m1+(_xlpm.r_m2-_xlpm.r_m1)/(_xlpm.mtwo/month_in_a_year-_xlpm.mone/month_in_a_year)*(_xlpm.t_rem-_xlpm.mone/month_in_a_year))</f>
        <v>3.2925048875615807E-2</v>
      </c>
      <c r="E52" s="15">
        <f>+_xlfn.LET(_xlpm.t_rem,E51,_xlpm.r_m1,E20,_xlpm.r_m2,F20,_xlpm.mone,E19,_xlpm.mtwo,F19,_xlpm.r_m1+(_xlpm.r_m2-_xlpm.r_m1)/(_xlpm.mtwo/month_in_a_year-_xlpm.mone/month_in_a_year)*(_xlpm.t_rem-_xlpm.mone/month_in_a_year))</f>
        <v>3.0973196673402918E-2</v>
      </c>
      <c r="F52" s="15">
        <f>+_xlfn.LET(_xlpm.t_rem,F51,_xlpm.r_m1,F20,_xlpm.r_m2,G20,_xlpm.mone,F19,_xlpm.mtwo,G19,_xlpm.r_m1+(_xlpm.r_m2-_xlpm.r_m1)/(_xlpm.mtwo/month_in_a_year-_xlpm.mone/month_in_a_year)*(_xlpm.t_rem-_xlpm.mone/month_in_a_year))</f>
        <v>2.9821563816036744E-2</v>
      </c>
      <c r="G52"/>
    </row>
    <row r="53" spans="2:12" ht="17" customHeight="1" x14ac:dyDescent="0.35">
      <c r="B53" s="10" t="s">
        <v>38</v>
      </c>
      <c r="C53" s="12"/>
      <c r="D53" s="12">
        <f>+D51/(1+D52)</f>
        <v>1.2094924698099681</v>
      </c>
      <c r="E53" s="12">
        <f>+E51/(1+E52)</f>
        <v>1.7007470836215208</v>
      </c>
      <c r="F53" s="12">
        <f>+F51/(1+F52)</f>
        <v>2.1841794224605686</v>
      </c>
      <c r="G53"/>
    </row>
    <row r="54" spans="2:12" ht="17" customHeight="1" x14ac:dyDescent="0.3">
      <c r="C54" s="8"/>
      <c r="D54" s="8"/>
      <c r="E54" s="8"/>
      <c r="F54" s="8"/>
    </row>
    <row r="55" spans="2:12" ht="17" customHeight="1" x14ac:dyDescent="0.35">
      <c r="B55" s="45" t="s">
        <v>39</v>
      </c>
      <c r="C55" s="44" t="s">
        <v>106</v>
      </c>
      <c r="D55" s="44" t="s">
        <v>41</v>
      </c>
      <c r="E55" s="44" t="s">
        <v>41</v>
      </c>
      <c r="F55" s="44" t="s">
        <v>42</v>
      </c>
      <c r="G55"/>
    </row>
    <row r="56" spans="2:12" ht="17" customHeight="1" x14ac:dyDescent="0.3">
      <c r="B56" s="3" t="s">
        <v>43</v>
      </c>
      <c r="C56" s="8"/>
      <c r="D56" s="8">
        <f>+(E$19/12)/(1+E$20)</f>
        <v>0.96722054082011288</v>
      </c>
      <c r="E56" s="8">
        <f>+(E$19/12)/(1+E$20)</f>
        <v>0.96722054082011288</v>
      </c>
      <c r="F56" s="8">
        <f>+(F$19/12)/(1+F$20)</f>
        <v>1.9417127231118532</v>
      </c>
    </row>
    <row r="57" spans="2:12" ht="17" customHeight="1" x14ac:dyDescent="0.35">
      <c r="B57" s="3" t="s">
        <v>44</v>
      </c>
      <c r="C57" s="8"/>
      <c r="D57" s="8">
        <f>+(F$19/12)/(1+F$20)</f>
        <v>1.9417127231118532</v>
      </c>
      <c r="E57" s="8">
        <f>+(F$19/12)/(1+F$20)</f>
        <v>1.9417127231118532</v>
      </c>
      <c r="F57" s="8">
        <f>+(G$19/12)/(1+G$20)</f>
        <v>4.8654748559112004</v>
      </c>
      <c r="G57"/>
    </row>
    <row r="58" spans="2:12" ht="17" customHeight="1" x14ac:dyDescent="0.3">
      <c r="D58" s="8"/>
      <c r="E58" s="8"/>
      <c r="F58" s="8"/>
    </row>
    <row r="59" spans="2:12" ht="17" customHeight="1" x14ac:dyDescent="0.3">
      <c r="B59" s="3" t="s">
        <v>45</v>
      </c>
      <c r="C59" s="8">
        <f>C64/(1+E20)</f>
        <v>145.08308112301694</v>
      </c>
      <c r="D59" s="8">
        <f>+Assumptions!F$11/(1+D52)^D51</f>
        <v>144.05053762830769</v>
      </c>
      <c r="E59" s="8">
        <f>+Assumptions!G$11/(1+E52)^E51</f>
        <v>142.18801317765133</v>
      </c>
      <c r="F59" s="48">
        <f>+Assumptions!H$11/(1+F52)^F51</f>
        <v>4820.6046115061117</v>
      </c>
    </row>
    <row r="60" spans="2:12" ht="17" customHeight="1" x14ac:dyDescent="0.3">
      <c r="C60" s="8"/>
      <c r="D60" s="8"/>
      <c r="E60" s="8"/>
      <c r="F60" s="48"/>
      <c r="J60" s="211"/>
      <c r="K60" s="212"/>
      <c r="L60" s="212"/>
    </row>
    <row r="61" spans="2:12" ht="17" customHeight="1" x14ac:dyDescent="0.35">
      <c r="B61" s="3" t="s">
        <v>112</v>
      </c>
      <c r="D61" s="8">
        <f>+_xlfn.LET(_xlpm.MDvirt1,D56,_xlpm.MDvirt2,D57,_xlpm.MDreal,D53,_xlpm.Mvreal,D59,(_xlpm.MDvirt2-_xlpm.MDreal)/(_xlpm.MDvirt2-_xlpm.MDvirt1)*_xlpm.Mvreal)</f>
        <v>108.23762680416755</v>
      </c>
      <c r="E61" s="8">
        <f>+_xlfn.LET(_xlpm.MDvirt1,E56,_xlpm.MDvirt2,E57,_xlpm.MDreal,E53,_xlpm.Mvreal,E59,(_xlpm.MDvirt2-_xlpm.MDreal)/(_xlpm.MDvirt2-_xlpm.MDvirt1)*_xlpm.Mvreal)</f>
        <v>35.15926155778557</v>
      </c>
      <c r="F61" s="48">
        <f>+_xlfn.LET(_xlpm.MDvirt1,F56,_xlpm.MDvirt2,F57,_xlpm.MDreal,F53,_xlpm.Mvreal,F59,(_xlpm.MDvirt2-_xlpm.MDreal)/(_xlpm.MDvirt2-_xlpm.MDvirt1)*_xlpm.Mvreal)</f>
        <v>4420.8333456069986</v>
      </c>
      <c r="G61"/>
      <c r="J61" s="8"/>
      <c r="K61" s="8"/>
      <c r="L61" s="8"/>
    </row>
    <row r="62" spans="2:12" ht="17" customHeight="1" x14ac:dyDescent="0.35">
      <c r="B62" s="3" t="s">
        <v>111</v>
      </c>
      <c r="C62" s="8"/>
      <c r="D62" s="8">
        <f t="shared" ref="D62" si="4">+D59-D61</f>
        <v>35.812910824140147</v>
      </c>
      <c r="E62" s="8">
        <f t="shared" ref="E62:F62" si="5">+E59-E61</f>
        <v>107.02875161986576</v>
      </c>
      <c r="F62" s="48">
        <f t="shared" si="5"/>
        <v>399.77126589911313</v>
      </c>
      <c r="G62"/>
    </row>
    <row r="63" spans="2:12" ht="17" customHeight="1" x14ac:dyDescent="0.35">
      <c r="C63" s="8"/>
      <c r="D63" s="8"/>
      <c r="E63" s="8"/>
      <c r="F63" s="48"/>
      <c r="G63"/>
      <c r="J63" s="8"/>
      <c r="K63" s="8"/>
      <c r="L63" s="48"/>
    </row>
    <row r="64" spans="2:12" ht="17" customHeight="1" x14ac:dyDescent="0.35">
      <c r="B64" s="3" t="s">
        <v>48</v>
      </c>
      <c r="C64" s="138">
        <f>Assumptions!E11</f>
        <v>150</v>
      </c>
      <c r="D64" s="133">
        <f>+D61*(1+E20)^(E19/month_in_a_year)</f>
        <v>111.90583970889631</v>
      </c>
      <c r="E64" s="133">
        <f>+E61*(1+E20)^(E19/month_in_a_year)</f>
        <v>36.350821838392505</v>
      </c>
      <c r="F64" s="197">
        <f>+F61*(1+F20)^(F19/month_in_a_year)</f>
        <v>4690.2304515793403</v>
      </c>
      <c r="G64"/>
      <c r="H64"/>
    </row>
    <row r="65" spans="2:12" ht="17" customHeight="1" x14ac:dyDescent="0.35">
      <c r="B65" s="3" t="s">
        <v>49</v>
      </c>
      <c r="C65" s="137">
        <v>0</v>
      </c>
      <c r="D65" s="135">
        <f>+D62*(1+F20)^(F19/month_in_a_year)</f>
        <v>37.995280929101483</v>
      </c>
      <c r="E65" s="135">
        <f>+E62*(1+F20)^(F19/month_in_a_year)</f>
        <v>113.55087848784103</v>
      </c>
      <c r="F65" s="198">
        <f>+F62*(1+G20)^(G19/month_in_a_year)</f>
        <v>458.17926842019273</v>
      </c>
      <c r="G65"/>
      <c r="H65"/>
      <c r="J65" s="8"/>
      <c r="K65" s="8"/>
      <c r="L65" s="8"/>
    </row>
    <row r="66" spans="2:12" ht="17" customHeight="1" x14ac:dyDescent="0.35">
      <c r="G66"/>
    </row>
    <row r="67" spans="2:12" ht="17" customHeight="1" x14ac:dyDescent="0.35">
      <c r="B67" s="3" t="s">
        <v>50</v>
      </c>
      <c r="C67" s="11"/>
      <c r="D67" s="11">
        <f>ROUND(+D53-D56*D61/D59-D57*D62/D59,5)</f>
        <v>0</v>
      </c>
      <c r="E67" s="11">
        <f>ROUND(+E53-E56*E61/E59-E57*E62/E59,5)</f>
        <v>0</v>
      </c>
      <c r="F67" s="11">
        <f>ROUND(+F53-F56*F61/F59-F57*F62/F59,5)</f>
        <v>0</v>
      </c>
      <c r="G67"/>
    </row>
    <row r="68" spans="2:12" ht="17" customHeight="1" x14ac:dyDescent="0.3">
      <c r="C68" s="11"/>
      <c r="D68" s="11"/>
      <c r="E68" s="11"/>
      <c r="F68" s="11"/>
      <c r="G68" s="11"/>
    </row>
    <row r="69" spans="2:12" ht="17" customHeight="1" x14ac:dyDescent="0.4">
      <c r="B69" s="47" t="s">
        <v>51</v>
      </c>
    </row>
    <row r="70" spans="2:12" ht="17" customHeight="1" x14ac:dyDescent="0.3">
      <c r="C70" s="11"/>
      <c r="D70" s="11"/>
      <c r="E70" s="11"/>
      <c r="F70" s="11"/>
      <c r="G70" s="11"/>
    </row>
    <row r="71" spans="2:12" ht="17" customHeight="1" x14ac:dyDescent="0.3">
      <c r="C71" s="11">
        <f>+C72-$C$11</f>
        <v>91</v>
      </c>
      <c r="D71" s="11">
        <f>+D72-$C$11</f>
        <v>183</v>
      </c>
      <c r="E71" s="11">
        <f>+E72-$C$11</f>
        <v>365</v>
      </c>
      <c r="F71" s="11">
        <f>+F72-$C$11</f>
        <v>730</v>
      </c>
      <c r="G71" s="11">
        <f>+G72-$C$11</f>
        <v>1826</v>
      </c>
    </row>
    <row r="72" spans="2:12" ht="17" customHeight="1" x14ac:dyDescent="0.3">
      <c r="B72" s="32"/>
      <c r="C72" s="6">
        <f>+C13</f>
        <v>45473</v>
      </c>
      <c r="D72" s="6">
        <f>+D13</f>
        <v>45565</v>
      </c>
      <c r="E72" s="6">
        <f>+E13</f>
        <v>45747</v>
      </c>
      <c r="F72" s="6">
        <f>+F13</f>
        <v>46112</v>
      </c>
      <c r="G72" s="6">
        <f>+G13</f>
        <v>47208</v>
      </c>
      <c r="H72" s="5"/>
    </row>
    <row r="73" spans="2:12" ht="17" customHeight="1" x14ac:dyDescent="0.3">
      <c r="B73" s="3" t="s">
        <v>52</v>
      </c>
      <c r="C73" s="13">
        <v>0</v>
      </c>
      <c r="D73" s="8">
        <f>+C40</f>
        <v>97.99317399182371</v>
      </c>
      <c r="E73" s="48">
        <f>+C41+D40+D64+E64+E40+C64</f>
        <v>597.86475247938108</v>
      </c>
      <c r="F73" s="48">
        <f>+SUM(D65:E65,F64,D41:E41,F40:G40)</f>
        <v>12712.23106384426</v>
      </c>
      <c r="G73" s="48">
        <f>+SUM(F65,F41:G41)</f>
        <v>3181.9030671120281</v>
      </c>
      <c r="I73" s="11"/>
    </row>
    <row r="74" spans="2:12" ht="17" customHeight="1" x14ac:dyDescent="0.3">
      <c r="B74" s="3" t="s">
        <v>53</v>
      </c>
      <c r="C74" s="8">
        <f>+'ZCB rates'!H225</f>
        <v>0.99044557943188682</v>
      </c>
      <c r="D74" s="8">
        <f>+'ZCB rates'!I225</f>
        <v>0.98195053238486452</v>
      </c>
      <c r="E74" s="8">
        <f>+'ZCB rates'!J225</f>
        <v>0.967220540820113</v>
      </c>
      <c r="F74" s="8">
        <f>+'ZCB rates'!K225</f>
        <v>0.9425620747736122</v>
      </c>
      <c r="G74" s="8">
        <f>+'ZCB rates'!L225</f>
        <v>0.87252150730767208</v>
      </c>
    </row>
    <row r="75" spans="2:12" ht="17" customHeight="1" x14ac:dyDescent="0.3">
      <c r="C75" s="8">
        <f>1/(1+C20)^(C71/365)</f>
        <v>0.99047163081840339</v>
      </c>
      <c r="D75" s="8">
        <f>1/(1+D20)^(D71/365)</f>
        <v>0.98190153199927954</v>
      </c>
      <c r="E75" s="8">
        <f>1/(1+E20)^(E71/365)</f>
        <v>0.96722054082011288</v>
      </c>
      <c r="F75" s="8">
        <f>1/(1+F20)^(F71/365)</f>
        <v>0.94256207477361209</v>
      </c>
      <c r="G75" s="8">
        <f>1/(1+G20)^(G71/365)</f>
        <v>0.87245631303598215</v>
      </c>
    </row>
    <row r="76" spans="2:12" ht="17" customHeight="1" x14ac:dyDescent="0.3">
      <c r="C76" s="8"/>
      <c r="D76" s="8"/>
      <c r="E76" s="8"/>
      <c r="F76" s="8"/>
      <c r="G76" s="8"/>
    </row>
    <row r="77" spans="2:12" customFormat="1" ht="17" customHeight="1" x14ac:dyDescent="0.35"/>
    <row r="78" spans="2:12" ht="17" customHeight="1" x14ac:dyDescent="0.3">
      <c r="B78" s="3" t="s">
        <v>54</v>
      </c>
      <c r="C78" s="13">
        <f>+C73*C74</f>
        <v>0</v>
      </c>
      <c r="D78" s="13">
        <f>+D73*D74</f>
        <v>96.224449371353955</v>
      </c>
      <c r="E78" s="13">
        <f>+E73*E74</f>
        <v>578.26706923039001</v>
      </c>
      <c r="F78" s="13">
        <f>+F73*F74</f>
        <v>11982.066886538609</v>
      </c>
      <c r="G78" s="13">
        <f>+G73*G74</f>
        <v>2776.2788602234918</v>
      </c>
    </row>
    <row r="79" spans="2:12" ht="17" customHeight="1" x14ac:dyDescent="0.3">
      <c r="C79" s="13"/>
      <c r="D79" s="13"/>
      <c r="E79" s="13"/>
      <c r="F79" s="13"/>
      <c r="G79" s="13"/>
      <c r="I79" s="11"/>
    </row>
    <row r="80" spans="2:12" ht="17" customHeight="1" x14ac:dyDescent="0.3">
      <c r="B80" s="3" t="s">
        <v>55</v>
      </c>
      <c r="C80" s="13"/>
      <c r="D80" s="13"/>
      <c r="E80" s="13"/>
      <c r="F80" s="13"/>
      <c r="G80" s="11">
        <f>+SUM(C78:G78)</f>
        <v>15432.837265363845</v>
      </c>
      <c r="I80" s="3" t="s">
        <v>50</v>
      </c>
      <c r="J80" s="11">
        <f>ROUND(SUM(C59:F59)+SUM(C35:G35)-G80,1)</f>
        <v>0</v>
      </c>
      <c r="K80" s="11"/>
    </row>
    <row r="81" spans="2:16" ht="17" customHeight="1" x14ac:dyDescent="0.3">
      <c r="C81" s="13"/>
      <c r="D81" s="13"/>
      <c r="E81" s="13"/>
      <c r="F81" s="13"/>
      <c r="G81" s="13"/>
      <c r="I81" s="11"/>
    </row>
    <row r="82" spans="2:16" s="49" customFormat="1" ht="30" customHeight="1" x14ac:dyDescent="0.5">
      <c r="B82" s="50" t="s">
        <v>56</v>
      </c>
    </row>
    <row r="83" spans="2:16" ht="17" customHeight="1" x14ac:dyDescent="0.35">
      <c r="B83" s="18"/>
    </row>
    <row r="84" spans="2:16" ht="17" customHeight="1" x14ac:dyDescent="0.3">
      <c r="B84" s="32"/>
      <c r="C84" s="6">
        <f>+C72</f>
        <v>45473</v>
      </c>
      <c r="D84" s="6">
        <f>+D72</f>
        <v>45565</v>
      </c>
      <c r="E84" s="6">
        <f>+E72</f>
        <v>45747</v>
      </c>
      <c r="F84" s="6">
        <f>+F72</f>
        <v>46112</v>
      </c>
      <c r="G84" s="6">
        <f>+G72</f>
        <v>47208</v>
      </c>
    </row>
    <row r="85" spans="2:16" ht="17" customHeight="1" x14ac:dyDescent="0.3">
      <c r="B85" s="4" t="s">
        <v>57</v>
      </c>
      <c r="C85" s="53">
        <f>C78</f>
        <v>0</v>
      </c>
      <c r="D85" s="54">
        <f>D78</f>
        <v>96.224449371353955</v>
      </c>
      <c r="E85" s="54">
        <f>E78</f>
        <v>578.26706923039001</v>
      </c>
      <c r="F85" s="54">
        <f>F78</f>
        <v>11982.066886538609</v>
      </c>
      <c r="G85" s="55">
        <f>G78</f>
        <v>2776.2788602234918</v>
      </c>
    </row>
    <row r="86" spans="2:16" ht="17" customHeight="1" x14ac:dyDescent="0.3">
      <c r="C86" s="11"/>
      <c r="D86" s="11"/>
      <c r="E86" s="11"/>
      <c r="F86" s="11"/>
      <c r="G86" s="11"/>
    </row>
    <row r="87" spans="2:16" ht="17" customHeight="1" x14ac:dyDescent="0.3">
      <c r="B87" s="4" t="s">
        <v>58</v>
      </c>
      <c r="C87" s="56" cm="1">
        <f t="array" ref="C87:C91">+TRANSPOSE(C85:G85)</f>
        <v>0</v>
      </c>
      <c r="D87" s="11"/>
      <c r="E87" s="11"/>
      <c r="F87" s="11"/>
      <c r="G87" s="11"/>
    </row>
    <row r="88" spans="2:16" ht="17" customHeight="1" x14ac:dyDescent="0.3">
      <c r="C88" s="57">
        <v>96.224449371353955</v>
      </c>
      <c r="D88" s="11"/>
      <c r="E88" s="11"/>
      <c r="F88" s="11"/>
      <c r="G88" s="11"/>
    </row>
    <row r="89" spans="2:16" ht="17" customHeight="1" x14ac:dyDescent="0.3">
      <c r="C89" s="57">
        <v>578.26706923039001</v>
      </c>
      <c r="D89" s="11"/>
      <c r="E89" s="11"/>
      <c r="F89" s="11"/>
      <c r="G89" s="11"/>
    </row>
    <row r="90" spans="2:16" ht="17" customHeight="1" x14ac:dyDescent="0.3">
      <c r="C90" s="57">
        <v>11982.066886538609</v>
      </c>
      <c r="D90" s="11"/>
      <c r="E90" s="11"/>
      <c r="F90" s="11"/>
      <c r="G90" s="11"/>
    </row>
    <row r="91" spans="2:16" ht="17" customHeight="1" x14ac:dyDescent="0.3">
      <c r="C91" s="58">
        <v>2776.2788602234918</v>
      </c>
      <c r="D91" s="11"/>
      <c r="E91" s="11"/>
      <c r="F91" s="11"/>
      <c r="G91" s="11"/>
    </row>
    <row r="92" spans="2:16" ht="17" customHeight="1" x14ac:dyDescent="0.3">
      <c r="C92" s="11"/>
      <c r="D92" s="11"/>
      <c r="E92" s="11"/>
      <c r="F92" s="11"/>
      <c r="G92" s="11"/>
    </row>
    <row r="93" spans="2:16" ht="17" customHeight="1" x14ac:dyDescent="0.3">
      <c r="C93" s="11"/>
      <c r="D93" s="11"/>
      <c r="E93" s="11"/>
      <c r="F93" s="11"/>
      <c r="G93" s="11"/>
    </row>
    <row r="94" spans="2:16" ht="17" customHeight="1" x14ac:dyDescent="0.3">
      <c r="C94" s="107" t="s">
        <v>102</v>
      </c>
      <c r="D94" s="107"/>
      <c r="E94" s="107"/>
      <c r="F94" s="107"/>
      <c r="G94" s="107"/>
      <c r="L94" s="107" t="s">
        <v>103</v>
      </c>
      <c r="M94" s="107"/>
      <c r="N94" s="107"/>
      <c r="O94" s="107"/>
      <c r="P94" s="107"/>
    </row>
    <row r="95" spans="2:16" ht="17" customHeight="1" x14ac:dyDescent="0.3">
      <c r="C95" s="11"/>
      <c r="D95" s="11"/>
      <c r="E95" s="11"/>
      <c r="F95" s="11"/>
      <c r="G95" s="11"/>
    </row>
    <row r="96" spans="2:16" ht="17" customHeight="1" x14ac:dyDescent="0.3">
      <c r="B96" s="4" t="s">
        <v>59</v>
      </c>
      <c r="C96" s="175" cm="1">
        <f t="array" ref="C96:G100">+EWMACovMatrix('ZCB rates'!M174:Q225,Lambda)</f>
        <v>7.0437767030211945E-9</v>
      </c>
      <c r="D96" s="176">
        <v>1.1679187676733482E-8</v>
      </c>
      <c r="E96" s="176">
        <v>1.9861476405700444E-8</v>
      </c>
      <c r="F96" s="176">
        <v>4.1360782317825601E-8</v>
      </c>
      <c r="G96" s="177">
        <v>1.3114266247276992E-7</v>
      </c>
      <c r="H96" s="157"/>
      <c r="I96" s="157"/>
      <c r="J96" s="157"/>
      <c r="K96" s="157"/>
      <c r="L96" s="175" cm="1">
        <f t="array" ref="L96:P100">CovarianceMatrix('ZCB rates'!M174:Q225)</f>
        <v>8.9925446679749551E-9</v>
      </c>
      <c r="M96" s="176">
        <v>1.5202664144002449E-8</v>
      </c>
      <c r="N96" s="176">
        <v>3.0800414395563226E-8</v>
      </c>
      <c r="O96" s="176">
        <v>7.8649448176259088E-8</v>
      </c>
      <c r="P96" s="177">
        <v>2.2344545416829838E-7</v>
      </c>
    </row>
    <row r="97" spans="2:16" ht="17" customHeight="1" x14ac:dyDescent="0.3">
      <c r="C97" s="181">
        <v>1.1679187676733482E-8</v>
      </c>
      <c r="D97" s="182">
        <v>3.6297124736260656E-8</v>
      </c>
      <c r="E97" s="182">
        <v>1.026309301192803E-7</v>
      </c>
      <c r="F97" s="182">
        <v>2.4959426050238519E-7</v>
      </c>
      <c r="G97" s="183">
        <v>6.4809638017887418E-7</v>
      </c>
      <c r="H97" s="157"/>
      <c r="I97" s="157"/>
      <c r="J97" s="157"/>
      <c r="K97" s="157"/>
      <c r="L97" s="181">
        <v>1.5202664144002449E-8</v>
      </c>
      <c r="M97" s="192">
        <v>5.3290244342121505E-8</v>
      </c>
      <c r="N97" s="192">
        <v>1.481656725488525E-7</v>
      </c>
      <c r="O97" s="192">
        <v>3.2312747882152753E-7</v>
      </c>
      <c r="P97" s="183">
        <v>7.6632519387406906E-7</v>
      </c>
    </row>
    <row r="98" spans="2:16" ht="17" customHeight="1" x14ac:dyDescent="0.3">
      <c r="C98" s="181">
        <v>1.9861476405700444E-8</v>
      </c>
      <c r="D98" s="182">
        <v>1.026309301192803E-7</v>
      </c>
      <c r="E98" s="182">
        <v>3.6063340944081135E-7</v>
      </c>
      <c r="F98" s="182">
        <v>9.6555424789094913E-7</v>
      </c>
      <c r="G98" s="183">
        <v>2.4628538516101392E-6</v>
      </c>
      <c r="H98" s="157"/>
      <c r="I98" s="157"/>
      <c r="J98" s="157"/>
      <c r="K98" s="157"/>
      <c r="L98" s="181">
        <v>3.0800414395563226E-8</v>
      </c>
      <c r="M98" s="192">
        <v>1.481656725488525E-7</v>
      </c>
      <c r="N98" s="192">
        <v>4.6826428588153198E-7</v>
      </c>
      <c r="O98" s="192">
        <v>1.0917923802595728E-6</v>
      </c>
      <c r="P98" s="183">
        <v>2.6037108945625947E-6</v>
      </c>
    </row>
    <row r="99" spans="2:16" ht="17" customHeight="1" x14ac:dyDescent="0.3">
      <c r="C99" s="181">
        <v>4.1360782317825614E-8</v>
      </c>
      <c r="D99" s="182">
        <v>2.4959426050238524E-7</v>
      </c>
      <c r="E99" s="182">
        <v>9.6555424789094913E-7</v>
      </c>
      <c r="F99" s="182">
        <v>2.8044212536636149E-6</v>
      </c>
      <c r="G99" s="183">
        <v>7.46149371926559E-6</v>
      </c>
      <c r="H99" s="157"/>
      <c r="I99" s="157"/>
      <c r="J99" s="157"/>
      <c r="K99" s="157"/>
      <c r="L99" s="181">
        <v>7.8649448176259088E-8</v>
      </c>
      <c r="M99" s="192">
        <v>3.2312747882152753E-7</v>
      </c>
      <c r="N99" s="192">
        <v>1.0917923802595728E-6</v>
      </c>
      <c r="O99" s="192">
        <v>2.9410067909588004E-6</v>
      </c>
      <c r="P99" s="183">
        <v>7.7157024060868854E-6</v>
      </c>
    </row>
    <row r="100" spans="2:16" ht="17" customHeight="1" x14ac:dyDescent="0.3">
      <c r="C100" s="187">
        <v>1.3114266247276992E-7</v>
      </c>
      <c r="D100" s="188">
        <v>6.4809638017887418E-7</v>
      </c>
      <c r="E100" s="188">
        <v>2.4628538516101392E-6</v>
      </c>
      <c r="F100" s="188">
        <v>7.46149371926559E-6</v>
      </c>
      <c r="G100" s="189">
        <v>2.1975640325601995E-5</v>
      </c>
      <c r="H100" s="157"/>
      <c r="I100" s="157"/>
      <c r="J100" s="157"/>
      <c r="K100" s="157"/>
      <c r="L100" s="187">
        <v>2.2344545416829838E-7</v>
      </c>
      <c r="M100" s="188">
        <v>7.6632519387406906E-7</v>
      </c>
      <c r="N100" s="188">
        <v>2.6037108945625947E-6</v>
      </c>
      <c r="O100" s="188">
        <v>7.7157024060868854E-6</v>
      </c>
      <c r="P100" s="189">
        <v>2.3333524741579976E-5</v>
      </c>
    </row>
    <row r="101" spans="2:16" ht="17" customHeight="1" x14ac:dyDescent="0.3">
      <c r="C101" s="11"/>
      <c r="D101" s="11"/>
      <c r="E101" s="11"/>
      <c r="F101" s="11"/>
      <c r="G101" s="11"/>
    </row>
    <row r="102" spans="2:16" ht="17" customHeight="1" x14ac:dyDescent="0.3">
      <c r="C102" s="11"/>
      <c r="D102" s="11"/>
      <c r="E102" s="11"/>
      <c r="F102" s="11"/>
      <c r="G102" s="11"/>
    </row>
    <row r="103" spans="2:16" ht="17" customHeight="1" x14ac:dyDescent="0.45">
      <c r="B103" s="4" t="s">
        <v>60</v>
      </c>
      <c r="C103" s="166" cm="1">
        <f t="array" ref="C103">+MMULT(TRANSPOSE(_xlfn.ANCHORARRAY(C87)),MMULT(_xlfn.ANCHORARRAY(C96),_xlfn.ANCHORARRAY(C87)))</f>
        <v>1090.7766358183931</v>
      </c>
      <c r="D103" s="167"/>
      <c r="E103" s="167"/>
      <c r="F103" s="167"/>
      <c r="G103" s="167"/>
      <c r="H103" s="167"/>
      <c r="I103" s="167"/>
      <c r="J103" s="167"/>
      <c r="K103" s="4" t="s">
        <v>60</v>
      </c>
      <c r="L103" s="166" cm="1">
        <f t="array" ref="L103">+MMULT(TRANSPOSE(_xlfn.ANCHORARRAY(C87)),MMULT(_xlfn.ANCHORARRAY(L96),_xlfn.ANCHORARRAY(C87)))</f>
        <v>1140.2407843130932</v>
      </c>
    </row>
    <row r="104" spans="2:16" ht="17" customHeight="1" x14ac:dyDescent="0.3">
      <c r="B104" s="4"/>
      <c r="C104" s="17"/>
      <c r="D104" s="11"/>
      <c r="E104" s="11"/>
      <c r="F104" s="11"/>
      <c r="G104" s="11"/>
    </row>
    <row r="105" spans="2:16" ht="20" customHeight="1" x14ac:dyDescent="0.35">
      <c r="B105" s="4" t="s">
        <v>5</v>
      </c>
      <c r="C105" s="59">
        <v>0.95</v>
      </c>
      <c r="D105" s="60">
        <v>0.99</v>
      </c>
      <c r="E105" s="11"/>
      <c r="F105" s="11"/>
      <c r="G105" s="11"/>
      <c r="K105" s="4" t="s">
        <v>5</v>
      </c>
      <c r="L105" s="59">
        <v>0.95</v>
      </c>
      <c r="M105" s="60">
        <v>0.99</v>
      </c>
    </row>
    <row r="106" spans="2:16" ht="20" customHeight="1" x14ac:dyDescent="0.4">
      <c r="B106" s="4" t="s">
        <v>61</v>
      </c>
      <c r="C106" s="61">
        <f>+SQRT($C$103)*(-1)*_xlfn.NORM.S.INV(1-C105)</f>
        <v>54.324429006835103</v>
      </c>
      <c r="D106" s="62">
        <f>+SQRT($C$103)*(-1)*_xlfn.NORM.S.INV(1-D105)</f>
        <v>76.832076640617686</v>
      </c>
      <c r="E106" s="11"/>
      <c r="F106" s="11"/>
      <c r="G106" s="11"/>
      <c r="K106" s="4" t="s">
        <v>61</v>
      </c>
      <c r="L106" s="61">
        <f>+SQRT($L$103)*(-1)*_xlfn.NORM.S.INV(1-L105)</f>
        <v>55.542515158128246</v>
      </c>
      <c r="M106" s="62">
        <f>+SQRT($L$103)*(-1)*_xlfn.NORM.S.INV(1-M105)</f>
        <v>78.554839129649167</v>
      </c>
    </row>
    <row r="107" spans="2:16" ht="17" customHeight="1" x14ac:dyDescent="0.35">
      <c r="B107" s="16"/>
      <c r="D107" s="11"/>
      <c r="E107" s="11"/>
      <c r="F107" s="11"/>
      <c r="G107" s="11"/>
    </row>
    <row r="108" spans="2:16" s="49" customFormat="1" ht="18" customHeight="1" x14ac:dyDescent="0.5"/>
    <row r="109" spans="2:16" ht="12" customHeight="1" x14ac:dyDescent="0.3"/>
    <row r="110" spans="2:16" ht="23" customHeight="1" x14ac:dyDescent="0.5">
      <c r="B110" s="50" t="s">
        <v>62</v>
      </c>
      <c r="C110" s="49"/>
      <c r="D110" s="49"/>
    </row>
    <row r="111" spans="2:16" ht="17" customHeight="1" x14ac:dyDescent="0.35">
      <c r="B111"/>
      <c r="C111"/>
      <c r="D111"/>
      <c r="E111"/>
      <c r="F111"/>
      <c r="G111"/>
      <c r="H111"/>
    </row>
    <row r="112" spans="2:16" ht="17" customHeight="1" x14ac:dyDescent="0.35">
      <c r="B112" s="32"/>
      <c r="C112" s="6">
        <f t="shared" ref="C112:G114" si="6">+C72</f>
        <v>45473</v>
      </c>
      <c r="D112" s="6">
        <f t="shared" si="6"/>
        <v>45565</v>
      </c>
      <c r="E112" s="6">
        <f t="shared" si="6"/>
        <v>45747</v>
      </c>
      <c r="F112" s="6">
        <f t="shared" si="6"/>
        <v>46112</v>
      </c>
      <c r="G112" s="6">
        <f t="shared" si="6"/>
        <v>47208</v>
      </c>
      <c r="H112"/>
    </row>
    <row r="113" spans="2:50" ht="17" customHeight="1" x14ac:dyDescent="0.35">
      <c r="B113" s="11" t="str">
        <f>+B73</f>
        <v>Cashflows</v>
      </c>
      <c r="C113" s="13">
        <f t="shared" si="6"/>
        <v>0</v>
      </c>
      <c r="D113" s="13">
        <f t="shared" si="6"/>
        <v>97.99317399182371</v>
      </c>
      <c r="E113" s="13">
        <f t="shared" si="6"/>
        <v>597.86475247938108</v>
      </c>
      <c r="F113" s="13">
        <f t="shared" si="6"/>
        <v>12712.23106384426</v>
      </c>
      <c r="G113" s="13">
        <f t="shared" si="6"/>
        <v>3181.9030671120281</v>
      </c>
      <c r="H113"/>
    </row>
    <row r="114" spans="2:50" ht="17" customHeight="1" x14ac:dyDescent="0.35">
      <c r="B114" s="11" t="s">
        <v>63</v>
      </c>
      <c r="C114" s="13">
        <f t="shared" si="6"/>
        <v>0.99044557943188682</v>
      </c>
      <c r="D114" s="13">
        <f t="shared" si="6"/>
        <v>0.98195053238486452</v>
      </c>
      <c r="E114" s="13">
        <f t="shared" si="6"/>
        <v>0.967220540820113</v>
      </c>
      <c r="F114" s="13">
        <f t="shared" si="6"/>
        <v>0.9425620747736122</v>
      </c>
      <c r="G114" s="13">
        <f t="shared" si="6"/>
        <v>0.87252150730767208</v>
      </c>
      <c r="H114"/>
    </row>
    <row r="115" spans="2:50" ht="17" customHeight="1" x14ac:dyDescent="0.35">
      <c r="B115" s="11"/>
      <c r="C115" s="11"/>
      <c r="D115" s="11"/>
      <c r="E115" s="11"/>
      <c r="F115" s="11"/>
      <c r="G115" s="11"/>
      <c r="H115"/>
    </row>
    <row r="116" spans="2:50" ht="17" customHeight="1" x14ac:dyDescent="0.35">
      <c r="B116" s="11" t="s">
        <v>64</v>
      </c>
      <c r="C116" s="13">
        <f>+C114*C113</f>
        <v>0</v>
      </c>
      <c r="D116" s="13">
        <f>+D114*D113</f>
        <v>96.224449371353955</v>
      </c>
      <c r="E116" s="13">
        <f>+E114*E113</f>
        <v>578.26706923039001</v>
      </c>
      <c r="F116" s="13">
        <f>+F114*F113</f>
        <v>11982.066886538609</v>
      </c>
      <c r="G116" s="13">
        <f>+G114*G113</f>
        <v>2776.2788602234918</v>
      </c>
      <c r="H116"/>
    </row>
    <row r="117" spans="2:50" ht="17" customHeight="1" x14ac:dyDescent="0.35">
      <c r="B117" s="11"/>
      <c r="C117" s="13"/>
      <c r="D117" s="13"/>
      <c r="E117" s="13"/>
      <c r="F117" s="13"/>
      <c r="G117" s="11">
        <f>+SUM(C116:G116)</f>
        <v>15432.837265363845</v>
      </c>
      <c r="H117"/>
      <c r="I117" s="13"/>
    </row>
    <row r="118" spans="2:50" customFormat="1" ht="17" customHeight="1" x14ac:dyDescent="0.35">
      <c r="C118" s="3"/>
      <c r="D118" s="3"/>
      <c r="E118" s="3"/>
      <c r="F118" s="3"/>
      <c r="G118" s="3"/>
      <c r="O118" s="3"/>
      <c r="Q118" s="3"/>
      <c r="R118" s="3"/>
      <c r="S118" s="3"/>
      <c r="T118" s="3"/>
      <c r="U118" s="3"/>
      <c r="V118" s="3"/>
      <c r="W118" s="3"/>
      <c r="X118" s="3"/>
      <c r="Y118" s="3"/>
      <c r="Z118" s="3"/>
    </row>
    <row r="119" spans="2:50" customFormat="1" ht="17" customHeight="1" x14ac:dyDescent="0.35">
      <c r="B119" s="4" t="s">
        <v>5</v>
      </c>
      <c r="C119" s="59">
        <v>0.95</v>
      </c>
      <c r="D119" s="60">
        <v>0.99</v>
      </c>
      <c r="N119" s="71" t="s">
        <v>50</v>
      </c>
      <c r="O119" s="71"/>
      <c r="P119" s="71"/>
      <c r="Q119" s="74">
        <f>+SUM(Q129:Q180)-1</f>
        <v>0</v>
      </c>
      <c r="R119" s="74"/>
      <c r="S119" s="74"/>
      <c r="T119" s="74"/>
      <c r="U119" s="74"/>
      <c r="V119" s="74"/>
      <c r="W119" s="74">
        <f>+SUM(W129:W180)-1</f>
        <v>0</v>
      </c>
      <c r="X119" s="3"/>
      <c r="Y119" s="3"/>
      <c r="Z119" s="3"/>
      <c r="AF119" s="3"/>
      <c r="AG119" s="3"/>
      <c r="AH119" s="3"/>
      <c r="AI119" s="3"/>
      <c r="AJ119" s="3"/>
      <c r="AK119" s="3"/>
      <c r="AL119" s="3"/>
      <c r="AM119" s="3"/>
      <c r="AN119" s="3"/>
      <c r="AO119" s="3"/>
      <c r="AP119" s="3"/>
      <c r="AQ119" s="3"/>
      <c r="AR119" s="3"/>
      <c r="AS119" s="3"/>
      <c r="AT119" s="3"/>
    </row>
    <row r="120" spans="2:50" customFormat="1" ht="17" customHeight="1" x14ac:dyDescent="0.35">
      <c r="B120" s="4" t="s">
        <v>65</v>
      </c>
      <c r="C120" s="202" cm="1">
        <f t="array" ref="C120">-(INDEX(_xlfn.ANCHORARRAY(V129),MATCH(TRUE,X129:X181&gt;=1-C119,0))-$C$123)</f>
        <v>51.377142665051657</v>
      </c>
      <c r="D120" s="203" cm="1">
        <f t="array" ref="D120">-(INDEX(_xlfn.ANCHORARRAY(V129),MATCH(TRUE,X129:X349&gt;=1-D119,0))-$C$123)</f>
        <v>60.071147265369952</v>
      </c>
      <c r="O120" s="3"/>
      <c r="Q120" s="3"/>
      <c r="R120" s="3"/>
      <c r="S120" s="3"/>
      <c r="T120" s="3"/>
      <c r="U120" s="3"/>
      <c r="V120" s="3"/>
      <c r="W120" s="3"/>
      <c r="X120" s="3"/>
      <c r="Y120" s="3"/>
      <c r="Z120" s="3"/>
      <c r="AF120" s="3"/>
      <c r="AG120" s="3"/>
      <c r="AH120" s="3"/>
      <c r="AI120" s="3"/>
      <c r="AJ120" s="3"/>
      <c r="AK120" s="3"/>
      <c r="AL120" s="3"/>
      <c r="AM120" s="3"/>
      <c r="AN120" s="3"/>
      <c r="AO120" s="3"/>
      <c r="AP120" s="3"/>
      <c r="AQ120" s="3"/>
      <c r="AR120" s="3"/>
      <c r="AS120" s="3"/>
      <c r="AT120" s="3"/>
    </row>
    <row r="121" spans="2:50" s="14" customFormat="1" ht="17" customHeight="1" x14ac:dyDescent="0.35">
      <c r="B121" s="4" t="s">
        <v>66</v>
      </c>
      <c r="C121" s="204">
        <f>+_xlfn.LET(_xlpm.x_1,V129,_xlpm.x_2,V130,_xlpm.alfa_1,X129,_xlpm.alfa_2,X130,_xlpm.p,(1-C119),_xlpm.mu,C123,(-1)*(_xlpm.x_1*(_xlpm.alfa_2-_xlpm.p)/(_xlpm.alfa_2-_xlpm.alfa_1)+_xlpm.x_2*(_xlpm.p-_xlpm.alfa_1)/(_xlpm.alfa_2-_xlpm.alfa_1)-_xlpm.mu))</f>
        <v>57.303995799738907</v>
      </c>
      <c r="D121" s="195" t="s">
        <v>114</v>
      </c>
      <c r="E121" s="11"/>
      <c r="F121"/>
      <c r="G121" s="13"/>
      <c r="H121" s="20"/>
      <c r="N121"/>
      <c r="P121"/>
      <c r="Q121"/>
      <c r="R121"/>
      <c r="S121"/>
      <c r="T121"/>
      <c r="U121"/>
      <c r="V121"/>
      <c r="W121"/>
      <c r="X121"/>
      <c r="Z121" s="73"/>
    </row>
    <row r="122" spans="2:50" s="14" customFormat="1" ht="17" customHeight="1" x14ac:dyDescent="0.35">
      <c r="D122" s="11"/>
      <c r="E122" s="11"/>
      <c r="F122" s="11"/>
      <c r="G122" s="11"/>
      <c r="H122" s="20"/>
      <c r="N122"/>
      <c r="P122"/>
      <c r="Q122"/>
      <c r="R122"/>
      <c r="S122"/>
      <c r="T122"/>
      <c r="U122"/>
      <c r="V122"/>
      <c r="W122"/>
      <c r="X122"/>
      <c r="Z122" s="8"/>
    </row>
    <row r="123" spans="2:50" s="14" customFormat="1" ht="17" customHeight="1" x14ac:dyDescent="0.35">
      <c r="B123" s="4" t="s">
        <v>67</v>
      </c>
      <c r="C123" s="159">
        <f>+SUMPRODUCT(O129:O180,Q129:Q180)</f>
        <v>1.5994231769516085</v>
      </c>
      <c r="D123" s="11"/>
      <c r="E123" s="11"/>
      <c r="F123" s="11"/>
      <c r="G123" s="11"/>
      <c r="H123" s="20"/>
      <c r="N123"/>
      <c r="P123"/>
      <c r="Q123"/>
      <c r="R123"/>
      <c r="S123"/>
      <c r="T123"/>
      <c r="U123"/>
      <c r="V123"/>
      <c r="W123"/>
      <c r="X123"/>
      <c r="Z123" s="8"/>
    </row>
    <row r="124" spans="2:50" s="14" customFormat="1" ht="17" customHeight="1" x14ac:dyDescent="0.35">
      <c r="B124" s="4" t="s">
        <v>68</v>
      </c>
      <c r="C124" s="199">
        <f>+SUMPRODUCT(Q129:Q180,R129:R180)</f>
        <v>1087.7042071491844</v>
      </c>
      <c r="D124" s="11"/>
      <c r="E124" s="11"/>
      <c r="F124" s="11"/>
      <c r="G124" s="11"/>
      <c r="H124" s="20"/>
      <c r="N124"/>
      <c r="P124"/>
      <c r="Q124"/>
      <c r="R124"/>
      <c r="S124"/>
      <c r="T124"/>
      <c r="U124"/>
      <c r="V124"/>
      <c r="W124"/>
      <c r="X124"/>
      <c r="Z124" s="8"/>
    </row>
    <row r="125" spans="2:50" s="14" customFormat="1" ht="17" customHeight="1" x14ac:dyDescent="0.35">
      <c r="B125" s="4" t="s">
        <v>69</v>
      </c>
      <c r="C125" s="160">
        <f>+(SUMPRODUCT(Q129:Q180,S129:S180)/(C124^(3/2))-3)</f>
        <v>-2.6615197129678791</v>
      </c>
      <c r="D125" s="11"/>
      <c r="E125" s="11"/>
      <c r="F125" s="11"/>
      <c r="G125" s="11"/>
      <c r="H125" s="20"/>
      <c r="N125"/>
      <c r="P125"/>
      <c r="Q125"/>
      <c r="R125"/>
      <c r="S125"/>
      <c r="T125"/>
      <c r="U125"/>
      <c r="V125"/>
      <c r="W125"/>
      <c r="X125"/>
      <c r="Z125" s="8"/>
    </row>
    <row r="126" spans="2:50" s="14" customFormat="1" ht="17" customHeight="1" x14ac:dyDescent="0.35">
      <c r="B126" s="4" t="s">
        <v>70</v>
      </c>
      <c r="C126" s="161">
        <f>+(SUMPRODUCT(Q129:Q180,T129:T180)/(C124^2))-3</f>
        <v>-0.32102462979755053</v>
      </c>
      <c r="D126" s="11"/>
      <c r="E126" s="11"/>
      <c r="F126" s="11"/>
      <c r="G126" s="11"/>
      <c r="H126" s="20"/>
      <c r="N126"/>
      <c r="O126"/>
      <c r="P126"/>
      <c r="Q126"/>
      <c r="R126"/>
      <c r="S126"/>
      <c r="T126"/>
      <c r="U126"/>
      <c r="V126"/>
      <c r="W126"/>
      <c r="Y126" s="8"/>
      <c r="AB126"/>
      <c r="AC126"/>
      <c r="AE126"/>
      <c r="AU126" s="169" t="s">
        <v>72</v>
      </c>
      <c r="AV126" s="170"/>
      <c r="AW126" s="170"/>
      <c r="AX126" s="170"/>
    </row>
    <row r="127" spans="2:50" s="14" customFormat="1" ht="17" customHeight="1" x14ac:dyDescent="0.35">
      <c r="C127" s="11"/>
      <c r="D127" s="11"/>
      <c r="E127" s="11"/>
      <c r="F127" s="11"/>
      <c r="G127" s="11"/>
      <c r="H127" s="20"/>
      <c r="N127"/>
      <c r="O127"/>
      <c r="P127"/>
      <c r="Q127"/>
      <c r="R127"/>
      <c r="S127"/>
      <c r="T127"/>
      <c r="U127"/>
      <c r="V127"/>
      <c r="W127"/>
      <c r="Y127" s="8"/>
      <c r="AA127" s="107" t="s">
        <v>71</v>
      </c>
      <c r="AB127" s="107"/>
      <c r="AC127" s="107"/>
      <c r="AE127"/>
      <c r="AU127" s="107" t="s">
        <v>102</v>
      </c>
      <c r="AV127" s="107"/>
      <c r="AW127" s="107" t="s">
        <v>108</v>
      </c>
      <c r="AX127" s="107"/>
    </row>
    <row r="128" spans="2:50" ht="17" customHeight="1" x14ac:dyDescent="0.35">
      <c r="B128" s="66" t="s">
        <v>73</v>
      </c>
      <c r="C128" s="63" t="s">
        <v>4</v>
      </c>
      <c r="D128" s="70" t="s">
        <v>74</v>
      </c>
      <c r="E128" s="70" t="s">
        <v>75</v>
      </c>
      <c r="F128" s="70" t="s">
        <v>76</v>
      </c>
      <c r="G128" s="70" t="s">
        <v>77</v>
      </c>
      <c r="H128" s="70" t="s">
        <v>78</v>
      </c>
      <c r="I128" s="64" t="s">
        <v>79</v>
      </c>
      <c r="J128" s="64" t="s">
        <v>80</v>
      </c>
      <c r="K128" s="64" t="s">
        <v>81</v>
      </c>
      <c r="L128" s="64" t="s">
        <v>82</v>
      </c>
      <c r="M128" s="64" t="s">
        <v>83</v>
      </c>
      <c r="N128" s="70" t="s">
        <v>84</v>
      </c>
      <c r="O128" s="70" t="s">
        <v>85</v>
      </c>
      <c r="P128" s="70" t="s">
        <v>86</v>
      </c>
      <c r="Q128" s="94" t="s">
        <v>87</v>
      </c>
      <c r="R128" s="94" t="s">
        <v>88</v>
      </c>
      <c r="S128" s="94" t="s">
        <v>89</v>
      </c>
      <c r="T128" s="94" t="s">
        <v>90</v>
      </c>
      <c r="U128"/>
      <c r="V128" s="94" t="s">
        <v>91</v>
      </c>
      <c r="W128" s="94" t="s">
        <v>87</v>
      </c>
      <c r="X128" s="94" t="s">
        <v>92</v>
      </c>
      <c r="AA128" s="94" t="s">
        <v>93</v>
      </c>
      <c r="AB128" s="94" t="s">
        <v>94</v>
      </c>
      <c r="AC128" s="94" t="s">
        <v>87</v>
      </c>
      <c r="AE128" s="164" t="s">
        <v>95</v>
      </c>
      <c r="AF128" s="164"/>
      <c r="AG128" s="164"/>
      <c r="AH128" s="164"/>
      <c r="AI128" s="164"/>
      <c r="AJ128" s="164"/>
      <c r="AK128" s="164"/>
      <c r="AL128" s="164"/>
      <c r="AM128" s="164"/>
      <c r="AN128" s="164"/>
      <c r="AO128" s="164"/>
      <c r="AP128" s="164"/>
      <c r="AQ128" s="164"/>
      <c r="AR128" s="164"/>
      <c r="AU128" s="94" t="s">
        <v>96</v>
      </c>
      <c r="AV128" s="94" t="s">
        <v>97</v>
      </c>
      <c r="AW128" s="168" t="s">
        <v>96</v>
      </c>
      <c r="AX128" s="168" t="s">
        <v>97</v>
      </c>
    </row>
    <row r="129" spans="2:55" ht="20" customHeight="1" x14ac:dyDescent="0.35">
      <c r="B129" s="146">
        <f t="shared" ref="B129:B151" si="7">+B130+1</f>
        <v>52</v>
      </c>
      <c r="C129" s="147">
        <f>+'ZCB rates'!B174</f>
        <v>45019</v>
      </c>
      <c r="D129" s="148">
        <f>+'ZCB rates'!M174</f>
        <v>-1.609974999998916E-4</v>
      </c>
      <c r="E129" s="149">
        <f>+'ZCB rates'!N174</f>
        <v>-2.5245224999998725E-4</v>
      </c>
      <c r="F129" s="149">
        <f>+'ZCB rates'!O174</f>
        <v>-2.6413850000005397E-4</v>
      </c>
      <c r="G129" s="149">
        <f>+'ZCB rates'!P174</f>
        <v>1.8553400000001881E-4</v>
      </c>
      <c r="H129" s="150">
        <f>+'ZCB rates'!Q174</f>
        <v>2.7176975000000022E-3</v>
      </c>
      <c r="I129" s="151">
        <f>+C$114*EXP(D129)</f>
        <v>0.99028613300529478</v>
      </c>
      <c r="J129" s="151">
        <f>+D$114*EXP(E129)</f>
        <v>0.98170266805184592</v>
      </c>
      <c r="K129" s="151">
        <f t="shared" ref="K129:K160" si="8">+E$114*EXP(F129)</f>
        <v>0.96696509437539713</v>
      </c>
      <c r="L129" s="151">
        <f t="shared" ref="L129:L160" si="9">+F$114*EXP(G129)</f>
        <v>0.9427369683094402</v>
      </c>
      <c r="M129" s="151">
        <f t="shared" ref="M129:M160" si="10">+G$114*EXP(H129)</f>
        <v>0.87489598191716822</v>
      </c>
      <c r="N129" s="152">
        <f>+SUMPRODUCT(I129:M129,$C$113:$G$113)</f>
        <v>15442.438889007444</v>
      </c>
      <c r="O129" s="153">
        <f t="shared" ref="O129:O151" si="11">+N129-$G$117</f>
        <v>9.6016236435989413</v>
      </c>
      <c r="P129" s="154">
        <f t="shared" ref="P129:P151" si="12">+Lambda^B129</f>
        <v>4.0054229989060275E-2</v>
      </c>
      <c r="Q129" s="155">
        <f t="shared" ref="Q129:Q160" si="13">+P129/$P$182</f>
        <v>2.6633306358503869E-3</v>
      </c>
      <c r="R129" s="158">
        <f>+($O129-$C$123)^2</f>
        <v>64.035212308410792</v>
      </c>
      <c r="S129" s="158">
        <f>+($O129-$C$123)^3</f>
        <v>512.42260581622588</v>
      </c>
      <c r="T129" s="158">
        <f>+($O129-$C$123)^4</f>
        <v>4100.5084153832449</v>
      </c>
      <c r="U129" s="29"/>
      <c r="V129" s="156" cm="1">
        <f t="array" ref="V129:V180">+_xlfn._xlws.SORT(O129:O180)</f>
        <v>-58.471724088418341</v>
      </c>
      <c r="W129" s="155">
        <f t="shared" ref="W129:W160" si="14">+_xlfn.XLOOKUP(V129,$O$129:$O$180,$Q$129:$Q$180)</f>
        <v>4.0532139280237682E-2</v>
      </c>
      <c r="X129" s="139">
        <f>+SUM($W$129:W129)</f>
        <v>4.0532139280237682E-2</v>
      </c>
      <c r="Y129" s="157"/>
      <c r="Z129" s="157"/>
      <c r="AA129" s="128">
        <f>+AA130-$AA$141/2.5</f>
        <v>-125.5022494667629</v>
      </c>
      <c r="AB129" s="128"/>
      <c r="AC129" s="127"/>
      <c r="AU129" s="106">
        <f>+NORMDIST('31Mar24'!$AA129,0,SQRT('31Mar24'!$C$103),TRUE)</f>
        <v>7.2348043925120125E-5</v>
      </c>
      <c r="AW129" s="106">
        <f>+NORMDIST('31Mar24'!$AA129,0,SQRT($L$103),TRUE)</f>
        <v>1.0093557245357876E-4</v>
      </c>
      <c r="AX129" s="106"/>
      <c r="BB129"/>
      <c r="BC129"/>
    </row>
    <row r="130" spans="2:55" ht="20" customHeight="1" x14ac:dyDescent="0.35">
      <c r="B130" s="146">
        <f t="shared" si="7"/>
        <v>51</v>
      </c>
      <c r="C130" s="147">
        <f>+'ZCB rates'!B175</f>
        <v>45026</v>
      </c>
      <c r="D130" s="148">
        <f>+'ZCB rates'!M175</f>
        <v>-2.1563687500011718E-4</v>
      </c>
      <c r="E130" s="149">
        <f>+'ZCB rates'!N175</f>
        <v>-4.734287499999401E-4</v>
      </c>
      <c r="F130" s="149">
        <f>+'ZCB rates'!O175</f>
        <v>-1.081824999999915E-3</v>
      </c>
      <c r="G130" s="149">
        <f>+'ZCB rates'!P175</f>
        <v>-2.4854050000000334E-3</v>
      </c>
      <c r="H130" s="150">
        <f>+'ZCB rates'!Q175</f>
        <v>-6.1684499999998992E-3</v>
      </c>
      <c r="I130" s="151">
        <f t="shared" ref="I130:I160" si="15">+C$114*EXP(D130)</f>
        <v>0.99023202586811954</v>
      </c>
      <c r="J130" s="151">
        <f t="shared" ref="J130:J160" si="16">+D$114*EXP(E130)</f>
        <v>0.98148575879902566</v>
      </c>
      <c r="K130" s="151">
        <f t="shared" si="8"/>
        <v>0.96617474324551633</v>
      </c>
      <c r="L130" s="151">
        <f t="shared" si="9"/>
        <v>0.94022233508494724</v>
      </c>
      <c r="M130" s="151">
        <f t="shared" si="10"/>
        <v>0.86715596756086677</v>
      </c>
      <c r="N130" s="152">
        <f>+SUMPRODUCT(I130:M130,$C$113:$G$113)</f>
        <v>15385.350536288273</v>
      </c>
      <c r="O130" s="153">
        <f t="shared" si="11"/>
        <v>-47.48672907557193</v>
      </c>
      <c r="P130" s="154">
        <f t="shared" si="12"/>
        <v>4.2610882967085394E-2</v>
      </c>
      <c r="Q130" s="155">
        <f t="shared" si="13"/>
        <v>2.8333304636706238E-3</v>
      </c>
      <c r="R130" s="158">
        <f t="shared" ref="R130:R160" si="17">+($O130-$C$123)^2</f>
        <v>2409.4503429579217</v>
      </c>
      <c r="S130" s="158">
        <f t="shared" ref="S130:S160" si="18">+($O130-$C$123)^3</f>
        <v>-118270.64637932761</v>
      </c>
      <c r="T130" s="158">
        <f t="shared" ref="T130:T160" si="19">+($O130-$C$123)^4</f>
        <v>5805450.9551800471</v>
      </c>
      <c r="U130" s="29"/>
      <c r="V130" s="156">
        <v>-49.777719488100047</v>
      </c>
      <c r="W130" s="155">
        <f t="shared" si="14"/>
        <v>2.9746700054243468E-2</v>
      </c>
      <c r="X130" s="139">
        <f>+SUM($W$129:W130)</f>
        <v>7.0278839334481147E-2</v>
      </c>
      <c r="Y130" s="157"/>
      <c r="Z130" s="157"/>
      <c r="AA130" s="128">
        <f t="shared" ref="AA130:AA140" si="20">+AA131-$AA$141/2.5</f>
        <v>-112.29148636499839</v>
      </c>
      <c r="AB130" s="128">
        <f t="shared" ref="AB130:AB148" si="21">+AVERAGE(AA129:AA130)</f>
        <v>-118.89686791588065</v>
      </c>
      <c r="AC130" s="30">
        <f>SUMIFS($W$129:$W$349,$V$129:$V$349,"&gt;="&amp;AA129,$V$129:$V$349,"&lt;"&amp;AA130)</f>
        <v>0</v>
      </c>
      <c r="AU130" s="106">
        <f>+NORMDIST('31Mar24'!$AA130,0,SQRT('31Mar24'!$C$103),TRUE)</f>
        <v>3.3692926567688151E-4</v>
      </c>
      <c r="AV130" s="105">
        <f>+AU130-AU129</f>
        <v>2.6458122175176138E-4</v>
      </c>
      <c r="AW130" s="106">
        <f>+NORMDIST('31Mar24'!$AA130,0,SQRT($L$103),TRUE)</f>
        <v>4.4140241922147668E-4</v>
      </c>
      <c r="AX130" s="106">
        <f t="shared" ref="AX130:AX148" si="22">+AW130-AW129</f>
        <v>3.4046684676789792E-4</v>
      </c>
      <c r="BB130"/>
      <c r="BC130"/>
    </row>
    <row r="131" spans="2:55" ht="20" customHeight="1" x14ac:dyDescent="0.35">
      <c r="B131" s="146">
        <f t="shared" si="7"/>
        <v>50</v>
      </c>
      <c r="C131" s="147">
        <f>+'ZCB rates'!B176</f>
        <v>45033</v>
      </c>
      <c r="D131" s="148">
        <f>+'ZCB rates'!M176</f>
        <v>-3.1711462500005948E-4</v>
      </c>
      <c r="E131" s="149">
        <f>+'ZCB rates'!N176</f>
        <v>-6.3921200000006094E-4</v>
      </c>
      <c r="F131" s="149">
        <f>+'ZCB rates'!O176</f>
        <v>-1.2925725000001104E-3</v>
      </c>
      <c r="G131" s="149">
        <f>+'ZCB rates'!P176</f>
        <v>-2.6059290000000623E-3</v>
      </c>
      <c r="H131" s="150">
        <f>+'ZCB rates'!Q176</f>
        <v>-6.3132475000001855E-3</v>
      </c>
      <c r="I131" s="151">
        <f t="shared" si="15"/>
        <v>0.990131544448557</v>
      </c>
      <c r="J131" s="151">
        <f t="shared" si="16"/>
        <v>0.98132305838697731</v>
      </c>
      <c r="K131" s="151">
        <f t="shared" si="8"/>
        <v>0.96597114578839505</v>
      </c>
      <c r="L131" s="151">
        <f t="shared" si="9"/>
        <v>0.94010902255681017</v>
      </c>
      <c r="M131" s="151">
        <f t="shared" si="10"/>
        <v>0.86703041463474795</v>
      </c>
      <c r="N131" s="152">
        <f t="shared" ref="N131:N151" si="23">+SUMPRODUCT(I131:M131,$C$113:$G$113)</f>
        <v>15383.37291673437</v>
      </c>
      <c r="O131" s="153">
        <f t="shared" si="11"/>
        <v>-49.464348629475353</v>
      </c>
      <c r="P131" s="154">
        <f t="shared" si="12"/>
        <v>4.5330726560729152E-2</v>
      </c>
      <c r="Q131" s="155">
        <f t="shared" si="13"/>
        <v>3.0141813443304516E-3</v>
      </c>
      <c r="R131" s="158">
        <f t="shared" si="17"/>
        <v>2607.5087910988454</v>
      </c>
      <c r="S131" s="158">
        <f t="shared" si="18"/>
        <v>-133149.23389192368</v>
      </c>
      <c r="T131" s="158">
        <f t="shared" si="19"/>
        <v>6799102.0956577621</v>
      </c>
      <c r="U131" s="29"/>
      <c r="V131" s="156">
        <v>-49.464348629475353</v>
      </c>
      <c r="W131" s="155">
        <f t="shared" si="14"/>
        <v>3.0141813443304516E-3</v>
      </c>
      <c r="X131" s="139">
        <f>+SUM($W$129:W131)</f>
        <v>7.3293020678811605E-2</v>
      </c>
      <c r="Y131" s="157"/>
      <c r="Z131" s="157"/>
      <c r="AA131" s="128">
        <f t="shared" si="20"/>
        <v>-99.080723263233878</v>
      </c>
      <c r="AB131" s="128">
        <f t="shared" si="21"/>
        <v>-105.68610481411613</v>
      </c>
      <c r="AC131" s="30">
        <f>SUMIFS($W$129:$W$349,$V$129:$V$349,"&gt;="&amp;AA130,$V$129:$V$349,"&lt;"&amp;AA131)</f>
        <v>0</v>
      </c>
      <c r="AU131" s="106">
        <f>+NORMDIST('31Mar24'!$AA131,0,SQRT('31Mar24'!$C$103),TRUE)</f>
        <v>1.3498980316300954E-3</v>
      </c>
      <c r="AV131" s="105">
        <f t="shared" ref="AV131:AV148" si="24">+AU131-AU130</f>
        <v>1.012968765953214E-3</v>
      </c>
      <c r="AW131" s="106">
        <f>+NORMDIST('31Mar24'!$AA131,0,SQRT($L$103),TRUE)</f>
        <v>1.6720006731350376E-3</v>
      </c>
      <c r="AX131" s="106">
        <f t="shared" si="22"/>
        <v>1.230598253913561E-3</v>
      </c>
      <c r="BB131"/>
      <c r="BC131"/>
    </row>
    <row r="132" spans="2:55" ht="20" customHeight="1" x14ac:dyDescent="0.35">
      <c r="B132" s="146">
        <f t="shared" si="7"/>
        <v>49</v>
      </c>
      <c r="C132" s="147">
        <f>+'ZCB rates'!B177</f>
        <v>45040</v>
      </c>
      <c r="D132" s="148">
        <f>+'ZCB rates'!M177</f>
        <v>1.1216100000005212E-4</v>
      </c>
      <c r="E132" s="149">
        <f>+'ZCB rates'!N177</f>
        <v>2.3955300000009846E-4</v>
      </c>
      <c r="F132" s="149">
        <f>+'ZCB rates'!O177</f>
        <v>5.3235800000008113E-4</v>
      </c>
      <c r="G132" s="149">
        <f>+'ZCB rates'!P177</f>
        <v>1.2242280000001222E-3</v>
      </c>
      <c r="H132" s="150">
        <f>+'ZCB rates'!Q177</f>
        <v>3.506670000000029E-3</v>
      </c>
      <c r="I132" s="151">
        <f t="shared" si="15"/>
        <v>0.99055667502870171</v>
      </c>
      <c r="J132" s="151">
        <f t="shared" si="16"/>
        <v>0.9821857897579287</v>
      </c>
      <c r="K132" s="151">
        <f t="shared" si="8"/>
        <v>0.96773558549469552</v>
      </c>
      <c r="L132" s="151">
        <f t="shared" si="9"/>
        <v>0.94371669227061739</v>
      </c>
      <c r="M132" s="151">
        <f t="shared" si="10"/>
        <v>0.87558652316046648</v>
      </c>
      <c r="N132" s="152">
        <f t="shared" si="23"/>
        <v>15457.598593792462</v>
      </c>
      <c r="O132" s="153">
        <f t="shared" si="11"/>
        <v>24.761328428616252</v>
      </c>
      <c r="P132" s="154">
        <f t="shared" si="12"/>
        <v>4.8224177192265058E-2</v>
      </c>
      <c r="Q132" s="155">
        <f t="shared" si="13"/>
        <v>3.2065758982238847E-3</v>
      </c>
      <c r="R132" s="158">
        <f t="shared" si="17"/>
        <v>536.47385488709028</v>
      </c>
      <c r="S132" s="158">
        <f t="shared" si="18"/>
        <v>12425.756596890073</v>
      </c>
      <c r="T132" s="158">
        <f t="shared" si="19"/>
        <v>287804.19697741483</v>
      </c>
      <c r="U132" s="29"/>
      <c r="V132" s="156">
        <v>-48.932763594861171</v>
      </c>
      <c r="W132" s="155">
        <f t="shared" si="14"/>
        <v>5.9533715529173064E-3</v>
      </c>
      <c r="X132" s="139">
        <f>+SUM($W$129:W132)</f>
        <v>7.9246392231728913E-2</v>
      </c>
      <c r="Y132" s="157"/>
      <c r="Z132" s="157"/>
      <c r="AA132" s="128">
        <f t="shared" si="20"/>
        <v>-85.869960161469365</v>
      </c>
      <c r="AB132" s="128">
        <f t="shared" si="21"/>
        <v>-92.475341712351621</v>
      </c>
      <c r="AC132" s="30">
        <f>SUMIFS($W$129:$W$349,$V$129:$V$349,"&gt;="&amp;AA131,$V$129:$V$349,"&lt;"&amp;AA132)</f>
        <v>0</v>
      </c>
      <c r="AU132" s="106">
        <f>+NORMDIST('31Mar24'!$AA132,0,SQRT('31Mar24'!$C$103),TRUE)</f>
        <v>4.6611880237187493E-3</v>
      </c>
      <c r="AV132" s="105">
        <f t="shared" si="24"/>
        <v>3.3112899920886537E-3</v>
      </c>
      <c r="AW132" s="106">
        <f>+NORMDIST('31Mar24'!$AA132,0,SQRT($L$103),TRUE)</f>
        <v>5.495573113425677E-3</v>
      </c>
      <c r="AX132" s="106">
        <f t="shared" si="22"/>
        <v>3.8235724402906394E-3</v>
      </c>
      <c r="BB132"/>
      <c r="BC132"/>
    </row>
    <row r="133" spans="2:55" ht="20" customHeight="1" x14ac:dyDescent="0.35">
      <c r="B133" s="146">
        <f t="shared" si="7"/>
        <v>48</v>
      </c>
      <c r="C133" s="147">
        <f>+'ZCB rates'!B178</f>
        <v>45047</v>
      </c>
      <c r="D133" s="148">
        <f>+'ZCB rates'!M178</f>
        <v>3.6056125000048142E-5</v>
      </c>
      <c r="E133" s="149">
        <f>+'ZCB rates'!N178</f>
        <v>1.7831150000013161E-4</v>
      </c>
      <c r="F133" s="149">
        <f>+'ZCB rates'!O178</f>
        <v>7.1334200000013103E-4</v>
      </c>
      <c r="G133" s="149">
        <f>+'ZCB rates'!P178</f>
        <v>2.4010559999998911E-3</v>
      </c>
      <c r="H133" s="150">
        <f>+'ZCB rates'!Q178</f>
        <v>7.7575275000000493E-3</v>
      </c>
      <c r="I133" s="151">
        <f t="shared" si="15"/>
        <v>0.99048129170532384</v>
      </c>
      <c r="J133" s="151">
        <f t="shared" si="16"/>
        <v>0.98212564106870204</v>
      </c>
      <c r="K133" s="151">
        <f t="shared" si="8"/>
        <v>0.9679107460020473</v>
      </c>
      <c r="L133" s="151">
        <f t="shared" si="9"/>
        <v>0.94482793824258671</v>
      </c>
      <c r="M133" s="151">
        <f t="shared" si="10"/>
        <v>0.87931643875261256</v>
      </c>
      <c r="N133" s="152">
        <f t="shared" si="23"/>
        <v>15483.692067352024</v>
      </c>
      <c r="O133" s="153">
        <f t="shared" si="11"/>
        <v>50.854801988178224</v>
      </c>
      <c r="P133" s="154">
        <f t="shared" si="12"/>
        <v>5.13023161619841E-2</v>
      </c>
      <c r="Q133" s="155">
        <f t="shared" si="13"/>
        <v>3.411250955557324E-3</v>
      </c>
      <c r="R133" s="158">
        <f t="shared" si="17"/>
        <v>2426.0923418374318</v>
      </c>
      <c r="S133" s="158">
        <f t="shared" si="18"/>
        <v>119498.09732821859</v>
      </c>
      <c r="T133" s="158">
        <f t="shared" si="19"/>
        <v>5885924.0511222342</v>
      </c>
      <c r="U133" s="29"/>
      <c r="V133" s="156">
        <v>-47.48672907557193</v>
      </c>
      <c r="W133" s="155">
        <f t="shared" si="14"/>
        <v>2.8333304636706238E-3</v>
      </c>
      <c r="X133" s="139">
        <f>+SUM($W$129:W133)</f>
        <v>8.2079722695399537E-2</v>
      </c>
      <c r="Y133" s="157"/>
      <c r="Z133" s="157"/>
      <c r="AA133" s="128">
        <f t="shared" si="20"/>
        <v>-72.659197059704852</v>
      </c>
      <c r="AB133" s="128">
        <f t="shared" si="21"/>
        <v>-79.264578610587108</v>
      </c>
      <c r="AC133" s="30">
        <f t="shared" ref="AC133:AC148" si="25">SUMIFS($W$129:$W$349,$V$129:$V$349,"&gt;="&amp;AA132,$V$129:$V$349,"&lt;"&amp;AA133)</f>
        <v>0</v>
      </c>
      <c r="AU133" s="106">
        <f>+NORMDIST('31Mar24'!$AA133,0,SQRT('31Mar24'!$C$103),TRUE)</f>
        <v>1.3903447513498621E-2</v>
      </c>
      <c r="AV133" s="105">
        <f t="shared" si="24"/>
        <v>9.2422594897798721E-3</v>
      </c>
      <c r="AW133" s="106">
        <f>+NORMDIST('31Mar24'!$AA133,0,SQRT($L$103),TRUE)</f>
        <v>1.5708427835185515E-2</v>
      </c>
      <c r="AX133" s="106">
        <f t="shared" si="22"/>
        <v>1.0212854721759838E-2</v>
      </c>
      <c r="BB133"/>
      <c r="BC133"/>
    </row>
    <row r="134" spans="2:55" ht="20" customHeight="1" x14ac:dyDescent="0.35">
      <c r="B134" s="146">
        <f t="shared" si="7"/>
        <v>47</v>
      </c>
      <c r="C134" s="147">
        <f>+'ZCB rates'!B179</f>
        <v>45054</v>
      </c>
      <c r="D134" s="148">
        <f>+'ZCB rates'!M179</f>
        <v>-2.3091625000034989E-5</v>
      </c>
      <c r="E134" s="149">
        <f>+'ZCB rates'!N179</f>
        <v>-1.2032499999958343E-5</v>
      </c>
      <c r="F134" s="149">
        <f>+'ZCB rates'!O179</f>
        <v>8.7231999999849792E-5</v>
      </c>
      <c r="G134" s="149">
        <f>+'ZCB rates'!P179</f>
        <v>4.5270400000012269E-4</v>
      </c>
      <c r="H134" s="150">
        <f>+'ZCB rates'!Q179</f>
        <v>1.2225325000000406E-3</v>
      </c>
      <c r="I134" s="151">
        <f t="shared" si="15"/>
        <v>0.99042270869804583</v>
      </c>
      <c r="J134" s="151">
        <f t="shared" si="16"/>
        <v>0.98193871713616732</v>
      </c>
      <c r="K134" s="151">
        <f t="shared" si="8"/>
        <v>0.96730491708243127</v>
      </c>
      <c r="L134" s="151">
        <f t="shared" si="9"/>
        <v>0.94298887299445244</v>
      </c>
      <c r="M134" s="151">
        <f t="shared" si="10"/>
        <v>0.87358884550218463</v>
      </c>
      <c r="N134" s="152">
        <f t="shared" si="23"/>
        <v>15441.708277419031</v>
      </c>
      <c r="O134" s="153">
        <f t="shared" si="11"/>
        <v>8.8710120551859291</v>
      </c>
      <c r="P134" s="154">
        <f t="shared" si="12"/>
        <v>5.4576932087217124E-2</v>
      </c>
      <c r="Q134" s="155">
        <f t="shared" si="13"/>
        <v>3.6289903782524722E-3</v>
      </c>
      <c r="R134" s="158">
        <f t="shared" si="17"/>
        <v>52.876004814061062</v>
      </c>
      <c r="S134" s="158">
        <f t="shared" si="18"/>
        <v>384.49256853139082</v>
      </c>
      <c r="T134" s="158">
        <f t="shared" si="19"/>
        <v>2795.8718850966088</v>
      </c>
      <c r="U134" s="29"/>
      <c r="V134" s="156">
        <v>-42.798878633409913</v>
      </c>
      <c r="W134" s="155">
        <f t="shared" si="14"/>
        <v>4.1070511297560796E-3</v>
      </c>
      <c r="X134" s="139">
        <f>+SUM($W$129:W134)</f>
        <v>8.6186773825155619E-2</v>
      </c>
      <c r="Y134" s="157"/>
      <c r="Z134" s="157"/>
      <c r="AA134" s="128">
        <f t="shared" si="20"/>
        <v>-59.448433957940338</v>
      </c>
      <c r="AB134" s="128">
        <f t="shared" si="21"/>
        <v>-66.053815508822595</v>
      </c>
      <c r="AC134" s="30">
        <f>SUMIFS($W$129:$W$349,$V$129:$V$349,"&gt;="&amp;AA133,$V$129:$V$349,"&lt;"&amp;AA134)</f>
        <v>0</v>
      </c>
      <c r="AU134" s="106">
        <f>+NORMDIST('31Mar24'!$AA134,0,SQRT('31Mar24'!$C$103),TRUE)</f>
        <v>3.5930319112925789E-2</v>
      </c>
      <c r="AV134" s="105">
        <f t="shared" si="24"/>
        <v>2.2026871599427168E-2</v>
      </c>
      <c r="AW134" s="106">
        <f>+NORMDIST('31Mar24'!$AA134,0,SQRT($L$103),TRUE)</f>
        <v>3.915943804176928E-2</v>
      </c>
      <c r="AX134" s="106">
        <f t="shared" si="22"/>
        <v>2.3451010206583765E-2</v>
      </c>
      <c r="BB134"/>
      <c r="BC134"/>
    </row>
    <row r="135" spans="2:55" ht="20" customHeight="1" x14ac:dyDescent="0.35">
      <c r="B135" s="146">
        <f t="shared" si="7"/>
        <v>46</v>
      </c>
      <c r="C135" s="147">
        <f>+'ZCB rates'!B180</f>
        <v>45061</v>
      </c>
      <c r="D135" s="148">
        <f>+'ZCB rates'!M180</f>
        <v>-1.2926149999998627E-4</v>
      </c>
      <c r="E135" s="149">
        <f>+'ZCB rates'!N180</f>
        <v>-2.9051600000009551E-4</v>
      </c>
      <c r="F135" s="149">
        <f>+'ZCB rates'!O180</f>
        <v>-6.8878599999996112E-4</v>
      </c>
      <c r="G135" s="149">
        <f>+'ZCB rates'!P180</f>
        <v>-1.6759600000000262E-3</v>
      </c>
      <c r="H135" s="150">
        <f>+'ZCB rates'!Q180</f>
        <v>-4.8552099999999605E-3</v>
      </c>
      <c r="I135" s="151">
        <f t="shared" si="15"/>
        <v>0.99031756122471215</v>
      </c>
      <c r="J135" s="151">
        <f t="shared" si="16"/>
        <v>0.98166530147807529</v>
      </c>
      <c r="K135" s="151">
        <f t="shared" si="8"/>
        <v>0.96655456223737557</v>
      </c>
      <c r="L135" s="151">
        <f t="shared" si="9"/>
        <v>0.94098370145349941</v>
      </c>
      <c r="M135" s="151">
        <f t="shared" si="10"/>
        <v>0.86829549953942453</v>
      </c>
      <c r="N135" s="152">
        <f t="shared" si="23"/>
        <v>15398.899756131736</v>
      </c>
      <c r="O135" s="153">
        <f t="shared" si="11"/>
        <v>-33.937509232109733</v>
      </c>
      <c r="P135" s="154">
        <f t="shared" si="12"/>
        <v>5.8060566050230994E-2</v>
      </c>
      <c r="Q135" s="155">
        <f t="shared" si="13"/>
        <v>3.8606280619707159E-3</v>
      </c>
      <c r="R135" s="158">
        <f t="shared" si="17"/>
        <v>1262.8735650461945</v>
      </c>
      <c r="S135" s="158">
        <f t="shared" si="18"/>
        <v>-44878.652522236946</v>
      </c>
      <c r="T135" s="158">
        <f t="shared" si="19"/>
        <v>1594849.6412924847</v>
      </c>
      <c r="U135" s="29"/>
      <c r="V135" s="156">
        <v>-42.647919384322449</v>
      </c>
      <c r="W135" s="155">
        <f t="shared" si="14"/>
        <v>5.2603991041577317E-3</v>
      </c>
      <c r="X135" s="139">
        <f>+SUM($W$129:W135)</f>
        <v>9.1447172929313356E-2</v>
      </c>
      <c r="Y135" s="157"/>
      <c r="Z135" s="157"/>
      <c r="AA135" s="128">
        <f t="shared" si="20"/>
        <v>-46.237670856175818</v>
      </c>
      <c r="AB135" s="128">
        <f t="shared" si="21"/>
        <v>-52.843052407058082</v>
      </c>
      <c r="AC135" s="30">
        <f t="shared" si="25"/>
        <v>8.2079722695399537E-2</v>
      </c>
      <c r="AU135" s="106">
        <f>+NORMDIST('31Mar24'!$AA135,0,SQRT('31Mar24'!$C$103),TRUE)</f>
        <v>8.0756659233771025E-2</v>
      </c>
      <c r="AV135" s="105">
        <f t="shared" si="24"/>
        <v>4.4826340120845236E-2</v>
      </c>
      <c r="AW135" s="106">
        <f>+NORMDIST('31Mar24'!$AA135,0,SQRT($L$103),TRUE)</f>
        <v>8.5453224231211794E-2</v>
      </c>
      <c r="AX135" s="106">
        <f t="shared" si="22"/>
        <v>4.6293786189442514E-2</v>
      </c>
      <c r="BB135"/>
      <c r="BC135"/>
    </row>
    <row r="136" spans="2:55" ht="20" customHeight="1" x14ac:dyDescent="0.35">
      <c r="B136" s="146">
        <f t="shared" si="7"/>
        <v>45</v>
      </c>
      <c r="C136" s="147">
        <f>+'ZCB rates'!B181</f>
        <v>45068</v>
      </c>
      <c r="D136" s="148">
        <f>+'ZCB rates'!M181</f>
        <v>-1.3898099999999969E-4</v>
      </c>
      <c r="E136" s="149">
        <f>+'ZCB rates'!N181</f>
        <v>-3.2990500000004951E-4</v>
      </c>
      <c r="F136" s="149">
        <f>+'ZCB rates'!O181</f>
        <v>-8.3317800000000126E-4</v>
      </c>
      <c r="G136" s="149">
        <f>+'ZCB rates'!P181</f>
        <v>-2.132008000000022E-3</v>
      </c>
      <c r="H136" s="150">
        <f>+'ZCB rates'!Q181</f>
        <v>-6.0576500000001044E-3</v>
      </c>
      <c r="I136" s="151">
        <f t="shared" si="15"/>
        <v>0.99030793587995258</v>
      </c>
      <c r="J136" s="151">
        <f t="shared" si="16"/>
        <v>0.98162663542502893</v>
      </c>
      <c r="K136" s="151">
        <f t="shared" si="8"/>
        <v>0.96641500956641202</v>
      </c>
      <c r="L136" s="151">
        <f t="shared" si="9"/>
        <v>0.94055466555633627</v>
      </c>
      <c r="M136" s="151">
        <f t="shared" si="10"/>
        <v>0.8672520537651498</v>
      </c>
      <c r="N136" s="152">
        <f t="shared" si="23"/>
        <v>15390.038386730435</v>
      </c>
      <c r="O136" s="153">
        <f t="shared" si="11"/>
        <v>-42.798878633409913</v>
      </c>
      <c r="P136" s="154">
        <f t="shared" si="12"/>
        <v>6.1766559627905303E-2</v>
      </c>
      <c r="Q136" s="155">
        <f t="shared" si="13"/>
        <v>4.1070511297560796E-3</v>
      </c>
      <c r="R136" s="158">
        <f t="shared" si="17"/>
        <v>1971.2092036439512</v>
      </c>
      <c r="S136" s="158">
        <f t="shared" si="18"/>
        <v>-87518.341154746537</v>
      </c>
      <c r="T136" s="158">
        <f t="shared" si="19"/>
        <v>3885665.7245306205</v>
      </c>
      <c r="U136" s="29"/>
      <c r="V136" s="156">
        <v>-42.105413432214846</v>
      </c>
      <c r="W136" s="155">
        <f t="shared" si="14"/>
        <v>8.6297033388016229E-3</v>
      </c>
      <c r="X136" s="139">
        <f>+SUM($W$129:W136)</f>
        <v>0.10007687626811498</v>
      </c>
      <c r="Y136" s="157"/>
      <c r="Z136" s="157"/>
      <c r="AA136" s="128">
        <f t="shared" si="20"/>
        <v>-33.026907754411297</v>
      </c>
      <c r="AB136" s="128">
        <f t="shared" si="21"/>
        <v>-39.632289305293554</v>
      </c>
      <c r="AC136" s="30">
        <f t="shared" si="25"/>
        <v>3.3616408206292775E-2</v>
      </c>
      <c r="AU136" s="106">
        <f>+NORMDIST('31Mar24'!$AA136,0,SQRT('31Mar24'!$C$103),TRUE)</f>
        <v>0.15865525393145699</v>
      </c>
      <c r="AV136" s="105">
        <f t="shared" si="24"/>
        <v>7.7898594697685966E-2</v>
      </c>
      <c r="AW136" s="106">
        <f>+NORMDIST('31Mar24'!$AA136,0,SQRT($L$103),TRUE)</f>
        <v>0.16402002482051736</v>
      </c>
      <c r="AX136" s="106">
        <f t="shared" si="22"/>
        <v>7.8566800589305569E-2</v>
      </c>
      <c r="BB136"/>
      <c r="BC136"/>
    </row>
    <row r="137" spans="2:55" ht="20" customHeight="1" x14ac:dyDescent="0.35">
      <c r="B137" s="146">
        <f t="shared" si="7"/>
        <v>44</v>
      </c>
      <c r="C137" s="147">
        <f>+'ZCB rates'!B182</f>
        <v>45075</v>
      </c>
      <c r="D137" s="148">
        <f>+'ZCB rates'!M182</f>
        <v>-9.0783000000011928E-5</v>
      </c>
      <c r="E137" s="149">
        <f>+'ZCB rates'!N182</f>
        <v>-9.1309000000001697E-5</v>
      </c>
      <c r="F137" s="149">
        <f>+'ZCB rates'!O182</f>
        <v>1.3674800000009315E-4</v>
      </c>
      <c r="G137" s="149">
        <f>+'ZCB rates'!P182</f>
        <v>1.2684720000000545E-3</v>
      </c>
      <c r="H137" s="150">
        <f>+'ZCB rates'!Q182</f>
        <v>6.9265799999999366E-3</v>
      </c>
      <c r="I137" s="151">
        <f t="shared" si="15"/>
        <v>0.9903556678921307</v>
      </c>
      <c r="J137" s="151">
        <f t="shared" si="16"/>
        <v>0.98186087555700297</v>
      </c>
      <c r="K137" s="151">
        <f t="shared" si="8"/>
        <v>0.96735281533856099</v>
      </c>
      <c r="L137" s="151">
        <f t="shared" si="9"/>
        <v>0.94375844699564138</v>
      </c>
      <c r="M137" s="151">
        <f t="shared" si="10"/>
        <v>0.8785860764445137</v>
      </c>
      <c r="N137" s="152">
        <f t="shared" si="23"/>
        <v>15467.412993140973</v>
      </c>
      <c r="O137" s="153">
        <f t="shared" si="11"/>
        <v>34.575727777128122</v>
      </c>
      <c r="P137" s="154">
        <f t="shared" si="12"/>
        <v>6.5709105987133309E-2</v>
      </c>
      <c r="Q137" s="155">
        <f t="shared" si="13"/>
        <v>4.3692033295277448E-3</v>
      </c>
      <c r="R137" s="158">
        <f t="shared" si="17"/>
        <v>1087.4366650836225</v>
      </c>
      <c r="S137" s="158">
        <f t="shared" si="18"/>
        <v>35859.642701197663</v>
      </c>
      <c r="T137" s="158">
        <f t="shared" si="19"/>
        <v>1182518.5005681906</v>
      </c>
      <c r="U137" s="29"/>
      <c r="V137" s="156">
        <v>-34.656661695367802</v>
      </c>
      <c r="W137" s="155">
        <f t="shared" si="14"/>
        <v>1.1758626571606624E-2</v>
      </c>
      <c r="X137" s="139">
        <f>+SUM($W$129:W137)</f>
        <v>0.1118355028397216</v>
      </c>
      <c r="Y137" s="157"/>
      <c r="Z137" s="157"/>
      <c r="AA137" s="128">
        <f t="shared" si="20"/>
        <v>-19.816144652646777</v>
      </c>
      <c r="AB137" s="128">
        <f t="shared" si="21"/>
        <v>-26.421526203529037</v>
      </c>
      <c r="AC137" s="30">
        <f t="shared" si="25"/>
        <v>0.15927096305558389</v>
      </c>
      <c r="AU137" s="106">
        <f>+NORMDIST('31Mar24'!$AA137,0,SQRT('31Mar24'!$C$103),TRUE)</f>
        <v>0.27425311775007355</v>
      </c>
      <c r="AV137" s="105">
        <f t="shared" si="24"/>
        <v>0.11559786381861656</v>
      </c>
      <c r="AW137" s="106">
        <f>+NORMDIST('31Mar24'!$AA137,0,SQRT($L$103),TRUE)</f>
        <v>0.27865505383345729</v>
      </c>
      <c r="AX137" s="106">
        <f t="shared" si="22"/>
        <v>0.11463502901293993</v>
      </c>
      <c r="BB137"/>
      <c r="BC137"/>
    </row>
    <row r="138" spans="2:55" ht="20" customHeight="1" x14ac:dyDescent="0.35">
      <c r="B138" s="146">
        <f t="shared" si="7"/>
        <v>43</v>
      </c>
      <c r="C138" s="147">
        <f>+'ZCB rates'!B183</f>
        <v>45082</v>
      </c>
      <c r="D138" s="148">
        <f>+'ZCB rates'!M183</f>
        <v>-1.9209949999992519E-4</v>
      </c>
      <c r="E138" s="149">
        <f>+'ZCB rates'!N183</f>
        <v>-3.8955199999999885E-4</v>
      </c>
      <c r="F138" s="149">
        <f>+'ZCB rates'!O183</f>
        <v>-7.9035400000005524E-4</v>
      </c>
      <c r="G138" s="149">
        <f>+'ZCB rates'!P183</f>
        <v>-1.5622640000000549E-3</v>
      </c>
      <c r="H138" s="150">
        <f>+'ZCB rates'!Q183</f>
        <v>-3.1418599999999833E-3</v>
      </c>
      <c r="I138" s="151">
        <f t="shared" si="15"/>
        <v>0.99025533360494999</v>
      </c>
      <c r="J138" s="151">
        <f t="shared" si="16"/>
        <v>0.98156808608726942</v>
      </c>
      <c r="K138" s="151">
        <f t="shared" si="8"/>
        <v>0.96645639620894608</v>
      </c>
      <c r="L138" s="151">
        <f t="shared" si="9"/>
        <v>0.94109069361859521</v>
      </c>
      <c r="M138" s="151">
        <f t="shared" si="10"/>
        <v>0.8697844688320816</v>
      </c>
      <c r="N138" s="152">
        <f t="shared" si="23"/>
        <v>15404.929404762601</v>
      </c>
      <c r="O138" s="153">
        <f t="shared" si="11"/>
        <v>-27.907860601244465</v>
      </c>
      <c r="P138" s="154">
        <f t="shared" si="12"/>
        <v>6.9903304241631187E-2</v>
      </c>
      <c r="Q138" s="155">
        <f t="shared" si="13"/>
        <v>4.6480886484337718E-3</v>
      </c>
      <c r="R138" s="158">
        <f t="shared" si="17"/>
        <v>870.67979596699308</v>
      </c>
      <c r="S138" s="158">
        <f t="shared" si="18"/>
        <v>-25691.395819539921</v>
      </c>
      <c r="T138" s="158">
        <f t="shared" si="19"/>
        <v>758083.3071051247</v>
      </c>
      <c r="U138" s="29"/>
      <c r="V138" s="156">
        <v>-33.937509232109733</v>
      </c>
      <c r="W138" s="155">
        <f t="shared" si="14"/>
        <v>3.8606280619707159E-3</v>
      </c>
      <c r="X138" s="139">
        <f>+SUM($W$129:W138)</f>
        <v>0.11569613090169231</v>
      </c>
      <c r="Y138" s="157"/>
      <c r="Z138" s="157"/>
      <c r="AA138" s="128">
        <f t="shared" si="20"/>
        <v>-6.6053815508822602</v>
      </c>
      <c r="AB138" s="128">
        <f t="shared" si="21"/>
        <v>-13.210763101764519</v>
      </c>
      <c r="AC138" s="30">
        <f t="shared" si="25"/>
        <v>0.16118935763091669</v>
      </c>
      <c r="AU138" s="106">
        <f>+NORMDIST('31Mar24'!$AA138,0,SQRT('31Mar24'!$C$103),TRUE)</f>
        <v>0.42074029056089696</v>
      </c>
      <c r="AV138" s="105">
        <f t="shared" si="24"/>
        <v>0.14648717281082341</v>
      </c>
      <c r="AW138" s="106">
        <f>+NORMDIST('31Mar24'!$AA138,0,SQRT($L$103),TRUE)</f>
        <v>0.42245620545526863</v>
      </c>
      <c r="AX138" s="106">
        <f t="shared" si="22"/>
        <v>0.14380115162181134</v>
      </c>
      <c r="BB138"/>
      <c r="BC138"/>
    </row>
    <row r="139" spans="2:55" ht="20" customHeight="1" x14ac:dyDescent="0.35">
      <c r="B139" s="146">
        <f t="shared" si="7"/>
        <v>42</v>
      </c>
      <c r="C139" s="147">
        <f>+'ZCB rates'!B184</f>
        <v>45089</v>
      </c>
      <c r="D139" s="148">
        <f>+'ZCB rates'!M184</f>
        <v>6.9876500000029369E-5</v>
      </c>
      <c r="E139" s="149">
        <f>+'ZCB rates'!N184</f>
        <v>-7.6218699999995945E-4</v>
      </c>
      <c r="F139" s="149">
        <f>+'ZCB rates'!O184</f>
        <v>-2.2407840000000291E-3</v>
      </c>
      <c r="G139" s="149">
        <f>+'ZCB rates'!P184</f>
        <v>-2.0557119999998941E-3</v>
      </c>
      <c r="H139" s="150">
        <f>+'ZCB rates'!Q184</f>
        <v>-1.0782399999999252E-3</v>
      </c>
      <c r="I139" s="151">
        <f t="shared" si="15"/>
        <v>0.99051479072051118</v>
      </c>
      <c r="J139" s="151">
        <f t="shared" si="16"/>
        <v>0.9812023876037691</v>
      </c>
      <c r="K139" s="151">
        <f t="shared" si="8"/>
        <v>0.96505563495683488</v>
      </c>
      <c r="L139" s="151">
        <f t="shared" si="9"/>
        <v>0.9406264288526911</v>
      </c>
      <c r="M139" s="151">
        <f t="shared" si="10"/>
        <v>0.87158122673279392</v>
      </c>
      <c r="N139" s="152">
        <f t="shared" si="23"/>
        <v>15403.871371524361</v>
      </c>
      <c r="O139" s="153">
        <f t="shared" si="11"/>
        <v>-28.965893839484124</v>
      </c>
      <c r="P139" s="154">
        <f t="shared" si="12"/>
        <v>7.436521727833105E-2</v>
      </c>
      <c r="Q139" s="155">
        <f t="shared" si="13"/>
        <v>4.9447751579082683E-3</v>
      </c>
      <c r="R139" s="158">
        <f t="shared" si="17"/>
        <v>934.23860431521564</v>
      </c>
      <c r="S139" s="158">
        <f t="shared" si="18"/>
        <v>-28555.29910988703</v>
      </c>
      <c r="T139" s="158">
        <f t="shared" si="19"/>
        <v>872801.7697928421</v>
      </c>
      <c r="U139" s="29"/>
      <c r="V139" s="156">
        <v>-30.65551751959174</v>
      </c>
      <c r="W139" s="155">
        <f t="shared" si="14"/>
        <v>4.3119297106635826E-2</v>
      </c>
      <c r="X139" s="139">
        <f>+SUM($W$129:W139)</f>
        <v>0.15881542800832815</v>
      </c>
      <c r="Y139" s="157"/>
      <c r="Z139" s="157"/>
      <c r="AA139" s="128">
        <f t="shared" si="20"/>
        <v>6.6053815508822584</v>
      </c>
      <c r="AB139" s="128">
        <f t="shared" si="21"/>
        <v>0</v>
      </c>
      <c r="AC139" s="30">
        <f t="shared" si="25"/>
        <v>0.13107239604442367</v>
      </c>
      <c r="AU139" s="106">
        <f>+NORMDIST('31Mar24'!$AA139,0,SQRT('31Mar24'!$C$103),TRUE)</f>
        <v>0.57925970943910299</v>
      </c>
      <c r="AV139" s="105">
        <f>+AU139-AU138</f>
        <v>0.15851941887820603</v>
      </c>
      <c r="AW139" s="106">
        <f>+NORMDIST('31Mar24'!$AA139,0,SQRT($L$103),TRUE)</f>
        <v>0.57754379454473137</v>
      </c>
      <c r="AX139" s="106">
        <f t="shared" si="22"/>
        <v>0.15508758908946274</v>
      </c>
      <c r="BB139"/>
      <c r="BC139"/>
    </row>
    <row r="140" spans="2:55" ht="20" customHeight="1" x14ac:dyDescent="0.35">
      <c r="B140" s="146">
        <f t="shared" si="7"/>
        <v>41</v>
      </c>
      <c r="C140" s="147">
        <f>+'ZCB rates'!B185</f>
        <v>45096</v>
      </c>
      <c r="D140" s="148">
        <f>+'ZCB rates'!M185</f>
        <v>-1.4851550000004161E-4</v>
      </c>
      <c r="E140" s="149">
        <f>+'ZCB rates'!N185</f>
        <v>-3.7854499999994356E-4</v>
      </c>
      <c r="F140" s="149">
        <f>+'ZCB rates'!O185</f>
        <v>-1.146489999999997E-3</v>
      </c>
      <c r="G140" s="149">
        <f>+'ZCB rates'!P185</f>
        <v>-2.7305640000000707E-3</v>
      </c>
      <c r="H140" s="150">
        <f>+'ZCB rates'!Q185</f>
        <v>-3.3466599999999328E-3</v>
      </c>
      <c r="I140" s="151">
        <f t="shared" si="15"/>
        <v>0.99029849383395063</v>
      </c>
      <c r="J140" s="151">
        <f t="shared" si="16"/>
        <v>0.98157889026665368</v>
      </c>
      <c r="K140" s="151">
        <f t="shared" si="8"/>
        <v>0.96611226757576063</v>
      </c>
      <c r="L140" s="151">
        <f t="shared" si="9"/>
        <v>0.93999185937025231</v>
      </c>
      <c r="M140" s="151">
        <f t="shared" si="10"/>
        <v>0.86960635521232199</v>
      </c>
      <c r="N140" s="152">
        <f t="shared" si="23"/>
        <v>15390.189345979523</v>
      </c>
      <c r="O140" s="153">
        <f t="shared" si="11"/>
        <v>-42.647919384322449</v>
      </c>
      <c r="P140" s="154">
        <f t="shared" si="12"/>
        <v>7.9111933274820259E-2</v>
      </c>
      <c r="Q140" s="155">
        <f t="shared" si="13"/>
        <v>5.2603991041577317E-3</v>
      </c>
      <c r="R140" s="158">
        <f t="shared" si="17"/>
        <v>1957.8273237347348</v>
      </c>
      <c r="S140" s="158">
        <f t="shared" si="18"/>
        <v>-86628.656269113213</v>
      </c>
      <c r="T140" s="158">
        <f t="shared" si="19"/>
        <v>3833087.8295623143</v>
      </c>
      <c r="U140" s="29"/>
      <c r="V140" s="156">
        <v>-29.660908106559873</v>
      </c>
      <c r="W140" s="155">
        <f t="shared" si="14"/>
        <v>1.5060700909043316E-2</v>
      </c>
      <c r="X140" s="139">
        <f>+SUM($W$129:W140)</f>
        <v>0.17387612891737148</v>
      </c>
      <c r="Y140" s="157"/>
      <c r="Z140" s="157"/>
      <c r="AA140" s="128">
        <f t="shared" si="20"/>
        <v>19.816144652646777</v>
      </c>
      <c r="AB140" s="128">
        <f t="shared" si="21"/>
        <v>13.210763101764517</v>
      </c>
      <c r="AC140" s="30">
        <f t="shared" si="25"/>
        <v>0.16932551547755129</v>
      </c>
      <c r="AU140" s="106">
        <f>+NORMDIST('31Mar24'!$AA140,0,SQRT('31Mar24'!$C$103),TRUE)</f>
        <v>0.72574688224992645</v>
      </c>
      <c r="AV140" s="105">
        <f t="shared" si="24"/>
        <v>0.14648717281082346</v>
      </c>
      <c r="AW140" s="106">
        <f>+NORMDIST('31Mar24'!$AA140,0,SQRT($L$103),TRUE)</f>
        <v>0.72134494616654266</v>
      </c>
      <c r="AX140" s="106">
        <f t="shared" si="22"/>
        <v>0.14380115162181129</v>
      </c>
      <c r="BB140"/>
      <c r="BC140"/>
    </row>
    <row r="141" spans="2:55" ht="20" customHeight="1" x14ac:dyDescent="0.35">
      <c r="B141" s="146">
        <f t="shared" si="7"/>
        <v>40</v>
      </c>
      <c r="C141" s="147">
        <f>+'ZCB rates'!B186</f>
        <v>45103</v>
      </c>
      <c r="D141" s="148">
        <f>+'ZCB rates'!M186</f>
        <v>-1.0300049999999843E-4</v>
      </c>
      <c r="E141" s="149">
        <f>+'ZCB rates'!N186</f>
        <v>-2.3312100000010295E-4</v>
      </c>
      <c r="F141" s="149">
        <f>+'ZCB rates'!O186</f>
        <v>-4.3941599999999369E-4</v>
      </c>
      <c r="G141" s="149">
        <f>+'ZCB rates'!P186</f>
        <v>-4.2691199999993326E-4</v>
      </c>
      <c r="H141" s="150">
        <f>+'ZCB rates'!Q186</f>
        <v>1.5829299999999668E-3</v>
      </c>
      <c r="I141" s="151">
        <f t="shared" si="15"/>
        <v>0.99034356829567172</v>
      </c>
      <c r="J141" s="151">
        <f t="shared" si="16"/>
        <v>0.98172164577497856</v>
      </c>
      <c r="K141" s="151">
        <f t="shared" si="8"/>
        <v>0.9667956220038485</v>
      </c>
      <c r="L141" s="151">
        <f t="shared" si="9"/>
        <v>0.94215976959371117</v>
      </c>
      <c r="M141" s="151">
        <f t="shared" si="10"/>
        <v>0.87390374147858441</v>
      </c>
      <c r="N141" s="152">
        <f t="shared" si="23"/>
        <v>15431.844730798357</v>
      </c>
      <c r="O141" s="153">
        <f t="shared" si="11"/>
        <v>-0.99253456548831309</v>
      </c>
      <c r="P141" s="154">
        <f t="shared" si="12"/>
        <v>8.4161631143425814E-2</v>
      </c>
      <c r="Q141" s="155">
        <f t="shared" si="13"/>
        <v>5.5961692597422683E-3</v>
      </c>
      <c r="R141" s="158">
        <f t="shared" si="17"/>
        <v>6.718244938594256</v>
      </c>
      <c r="S141" s="158">
        <f t="shared" si="18"/>
        <v>-17.413406984197199</v>
      </c>
      <c r="T141" s="158">
        <f t="shared" si="19"/>
        <v>45.134815054947339</v>
      </c>
      <c r="U141" s="29"/>
      <c r="V141" s="156">
        <v>-28.965893839484124</v>
      </c>
      <c r="W141" s="155">
        <f t="shared" si="14"/>
        <v>4.9447751579082683E-3</v>
      </c>
      <c r="X141" s="139">
        <f>+SUM($W$129:W141)</f>
        <v>0.17882090407527973</v>
      </c>
      <c r="Y141" s="157"/>
      <c r="Z141" s="157"/>
      <c r="AA141" s="129">
        <f>+SQRT(C103)</f>
        <v>33.026907754411297</v>
      </c>
      <c r="AB141" s="128">
        <f t="shared" si="21"/>
        <v>26.421526203529037</v>
      </c>
      <c r="AC141" s="30">
        <f t="shared" si="25"/>
        <v>4.2566192463197941E-2</v>
      </c>
      <c r="AU141" s="106">
        <f>+NORMDIST('31Mar24'!$AA141,0,SQRT('31Mar24'!$C$103),TRUE)</f>
        <v>0.84134474606854304</v>
      </c>
      <c r="AV141" s="105">
        <f t="shared" si="24"/>
        <v>0.11559786381861659</v>
      </c>
      <c r="AW141" s="106">
        <f>+NORMDIST('31Mar24'!$AA141,0,SQRT($L$103),TRUE)</f>
        <v>0.83597997517948264</v>
      </c>
      <c r="AX141" s="106">
        <f t="shared" si="22"/>
        <v>0.11463502901293998</v>
      </c>
      <c r="BB141"/>
      <c r="BC141"/>
    </row>
    <row r="142" spans="2:55" ht="20" customHeight="1" x14ac:dyDescent="0.35">
      <c r="B142" s="146">
        <f t="shared" si="7"/>
        <v>39</v>
      </c>
      <c r="C142" s="147">
        <f>+'ZCB rates'!B187</f>
        <v>45110</v>
      </c>
      <c r="D142" s="148">
        <f>+'ZCB rates'!M187</f>
        <v>-1.7396049999998507E-4</v>
      </c>
      <c r="E142" s="149">
        <f>+'ZCB rates'!N187</f>
        <v>-2.7584000000008583E-4</v>
      </c>
      <c r="F142" s="149">
        <f>+'ZCB rates'!O187</f>
        <v>-6.9788599999998124E-4</v>
      </c>
      <c r="G142" s="149">
        <f>+'ZCB rates'!P187</f>
        <v>-2.3372520000000539E-3</v>
      </c>
      <c r="H142" s="150">
        <f>+'ZCB rates'!Q187</f>
        <v>-7.4224100000001231E-3</v>
      </c>
      <c r="I142" s="151">
        <f t="shared" si="15"/>
        <v>0.99027329600935576</v>
      </c>
      <c r="J142" s="151">
        <f t="shared" si="16"/>
        <v>0.9816797085037583</v>
      </c>
      <c r="K142" s="151">
        <f t="shared" si="8"/>
        <v>0.96654576663087921</v>
      </c>
      <c r="L142" s="151">
        <f t="shared" si="9"/>
        <v>0.94036164216368301</v>
      </c>
      <c r="M142" s="151">
        <f t="shared" si="10"/>
        <v>0.86606927014372559</v>
      </c>
      <c r="N142" s="152">
        <f t="shared" si="23"/>
        <v>15383.904501768984</v>
      </c>
      <c r="O142" s="153">
        <f t="shared" si="11"/>
        <v>-48.932763594861171</v>
      </c>
      <c r="P142" s="154">
        <f t="shared" si="12"/>
        <v>8.9533650152580649E-2</v>
      </c>
      <c r="Q142" s="155">
        <f t="shared" si="13"/>
        <v>5.9533715529173064E-3</v>
      </c>
      <c r="R142" s="158">
        <f t="shared" si="17"/>
        <v>2553.5018999413705</v>
      </c>
      <c r="S142" s="158">
        <f t="shared" si="18"/>
        <v>-129034.03493001613</v>
      </c>
      <c r="T142" s="158">
        <f t="shared" si="19"/>
        <v>6520371.9530041888</v>
      </c>
      <c r="U142" s="29"/>
      <c r="V142" s="156">
        <v>-27.907860601244465</v>
      </c>
      <c r="W142" s="155">
        <f t="shared" si="14"/>
        <v>4.6480886484337718E-3</v>
      </c>
      <c r="X142" s="139">
        <f>+SUM($W$129:W142)</f>
        <v>0.1834689927237135</v>
      </c>
      <c r="Y142" s="157"/>
      <c r="Z142" s="157"/>
      <c r="AA142" s="128">
        <f t="shared" ref="AA142:AA148" si="26">+AA141+$AA$141/2.5</f>
        <v>46.237670856175818</v>
      </c>
      <c r="AB142" s="128">
        <f t="shared" si="21"/>
        <v>39.632289305293554</v>
      </c>
      <c r="AC142" s="30">
        <f t="shared" si="25"/>
        <v>0.12908337683489426</v>
      </c>
      <c r="AU142" s="106">
        <f>+NORMDIST('31Mar24'!$AA142,0,SQRT('31Mar24'!$C$103),TRUE)</f>
        <v>0.91924334076622893</v>
      </c>
      <c r="AV142" s="105">
        <f t="shared" si="24"/>
        <v>7.7898594697685897E-2</v>
      </c>
      <c r="AW142" s="106">
        <f>+NORMDIST('31Mar24'!$AA142,0,SQRT($L$103),TRUE)</f>
        <v>0.91454677576878818</v>
      </c>
      <c r="AX142" s="106">
        <f t="shared" si="22"/>
        <v>7.8566800589305541E-2</v>
      </c>
      <c r="BB142"/>
      <c r="BC142"/>
    </row>
    <row r="143" spans="2:55" ht="20" customHeight="1" x14ac:dyDescent="0.35">
      <c r="B143" s="146">
        <f t="shared" si="7"/>
        <v>38</v>
      </c>
      <c r="C143" s="147">
        <f>+'ZCB rates'!B188</f>
        <v>45117</v>
      </c>
      <c r="D143" s="148">
        <f>+'ZCB rates'!M188</f>
        <v>-1.4745050000000365E-4</v>
      </c>
      <c r="E143" s="149">
        <f>+'ZCB rates'!N188</f>
        <v>-1.7787699999989611E-4</v>
      </c>
      <c r="F143" s="149">
        <f>+'ZCB rates'!O188</f>
        <v>7.7099999998703623E-6</v>
      </c>
      <c r="G143" s="149">
        <f>+'ZCB rates'!P188</f>
        <v>4.2886000000011767E-4</v>
      </c>
      <c r="H143" s="150">
        <f>+'ZCB rates'!Q188</f>
        <v>-1.075860000000074E-3</v>
      </c>
      <c r="I143" s="151">
        <f t="shared" si="15"/>
        <v>0.9902995485024082</v>
      </c>
      <c r="J143" s="151">
        <f t="shared" si="16"/>
        <v>0.98177588150366346</v>
      </c>
      <c r="K143" s="151">
        <f t="shared" si="8"/>
        <v>0.96722799811923044</v>
      </c>
      <c r="L143" s="151">
        <f t="shared" si="9"/>
        <v>0.94296638863582438</v>
      </c>
      <c r="M143" s="151">
        <f t="shared" si="10"/>
        <v>0.87158330109858184</v>
      </c>
      <c r="N143" s="152">
        <f t="shared" si="23"/>
        <v>15434.979059250414</v>
      </c>
      <c r="O143" s="153">
        <f t="shared" si="11"/>
        <v>2.1417938865688484</v>
      </c>
      <c r="P143" s="154">
        <f t="shared" si="12"/>
        <v>9.5248563992107085E-2</v>
      </c>
      <c r="Q143" s="155">
        <f t="shared" si="13"/>
        <v>6.33337399246522E-3</v>
      </c>
      <c r="R143" s="158">
        <f t="shared" si="17"/>
        <v>0.29416598665070837</v>
      </c>
      <c r="S143" s="158">
        <f t="shared" si="18"/>
        <v>0.1595470149250002</v>
      </c>
      <c r="T143" s="158">
        <f t="shared" si="19"/>
        <v>8.6533627702184729E-2</v>
      </c>
      <c r="U143" s="29"/>
      <c r="V143" s="156">
        <v>-27.840523157768985</v>
      </c>
      <c r="W143" s="155">
        <f t="shared" si="14"/>
        <v>1.1053108977310225E-2</v>
      </c>
      <c r="X143" s="139">
        <f>+SUM($W$129:W143)</f>
        <v>0.19452210170102374</v>
      </c>
      <c r="Y143" s="157"/>
      <c r="Z143" s="157"/>
      <c r="AA143" s="128">
        <f t="shared" si="26"/>
        <v>59.448433957940338</v>
      </c>
      <c r="AB143" s="128">
        <f t="shared" si="21"/>
        <v>52.843052407058082</v>
      </c>
      <c r="AC143" s="30">
        <f t="shared" si="25"/>
        <v>4.2287178293028124E-2</v>
      </c>
      <c r="AU143" s="106">
        <f>+NORMDIST('31Mar24'!$AA143,0,SQRT('31Mar24'!$C$103),TRUE)</f>
        <v>0.96406968088707423</v>
      </c>
      <c r="AV143" s="105">
        <f t="shared" si="24"/>
        <v>4.4826340120845298E-2</v>
      </c>
      <c r="AW143" s="106">
        <f>+NORMDIST('31Mar24'!$AA143,0,SQRT($L$103),TRUE)</f>
        <v>0.96084056195823075</v>
      </c>
      <c r="AX143" s="106">
        <f t="shared" si="22"/>
        <v>4.6293786189442576E-2</v>
      </c>
      <c r="BB143"/>
      <c r="BC143"/>
    </row>
    <row r="144" spans="2:55" ht="20" customHeight="1" x14ac:dyDescent="0.35">
      <c r="B144" s="146">
        <f t="shared" si="7"/>
        <v>37</v>
      </c>
      <c r="C144" s="147">
        <f>+'ZCB rates'!B189</f>
        <v>45124</v>
      </c>
      <c r="D144" s="148">
        <f>+'ZCB rates'!M189</f>
        <v>2.7486999999983632E-5</v>
      </c>
      <c r="E144" s="149">
        <f>+'ZCB rates'!N189</f>
        <v>9.4339999999492541E-6</v>
      </c>
      <c r="F144" s="149">
        <f>+'ZCB rates'!O189</f>
        <v>3.6703200000007816E-4</v>
      </c>
      <c r="G144" s="149">
        <f>+'ZCB rates'!P189</f>
        <v>2.1172520000000816E-3</v>
      </c>
      <c r="H144" s="150">
        <f>+'ZCB rates'!Q189</f>
        <v>7.2955199999999564E-3</v>
      </c>
      <c r="I144" s="151">
        <f t="shared" si="15"/>
        <v>0.99047280418369033</v>
      </c>
      <c r="J144" s="151">
        <f t="shared" si="16"/>
        <v>0.98195979614988405</v>
      </c>
      <c r="K144" s="151">
        <f t="shared" si="8"/>
        <v>0.96757560686596589</v>
      </c>
      <c r="L144" s="151">
        <f t="shared" si="9"/>
        <v>0.94455983034124891</v>
      </c>
      <c r="M144" s="151">
        <f t="shared" si="10"/>
        <v>0.87891028179404052</v>
      </c>
      <c r="N144" s="152">
        <f t="shared" si="23"/>
        <v>15478.774846141341</v>
      </c>
      <c r="O144" s="153">
        <f t="shared" si="11"/>
        <v>45.937580777495896</v>
      </c>
      <c r="P144" s="154">
        <f t="shared" si="12"/>
        <v>0.10132825956607136</v>
      </c>
      <c r="Q144" s="155">
        <f t="shared" si="13"/>
        <v>6.7376319068778931E-3</v>
      </c>
      <c r="R144" s="158">
        <f t="shared" si="17"/>
        <v>1965.8722194107029</v>
      </c>
      <c r="S144" s="158">
        <f t="shared" si="18"/>
        <v>87163.152286763521</v>
      </c>
      <c r="T144" s="158">
        <f t="shared" si="19"/>
        <v>3864653.5830507628</v>
      </c>
      <c r="U144" s="29"/>
      <c r="V144" s="156">
        <v>-26.545662584912861</v>
      </c>
      <c r="W144" s="155">
        <f t="shared" si="14"/>
        <v>3.1645425589620711E-2</v>
      </c>
      <c r="X144" s="139">
        <f>+SUM($W$129:W144)</f>
        <v>0.22616752729064446</v>
      </c>
      <c r="Y144" s="157"/>
      <c r="Z144" s="157"/>
      <c r="AA144" s="128">
        <f t="shared" si="26"/>
        <v>72.659197059704852</v>
      </c>
      <c r="AB144" s="128">
        <f t="shared" si="21"/>
        <v>66.053815508822595</v>
      </c>
      <c r="AC144" s="30">
        <f t="shared" si="25"/>
        <v>0</v>
      </c>
      <c r="AU144" s="106">
        <f>+NORMDIST('31Mar24'!$AA144,0,SQRT('31Mar24'!$C$103),TRUE)</f>
        <v>0.98609655248650141</v>
      </c>
      <c r="AV144" s="105">
        <f t="shared" si="24"/>
        <v>2.2026871599427178E-2</v>
      </c>
      <c r="AW144" s="106">
        <f>+NORMDIST('31Mar24'!$AA144,0,SQRT($L$103),TRUE)</f>
        <v>0.98429157216481444</v>
      </c>
      <c r="AX144" s="106">
        <f t="shared" si="22"/>
        <v>2.3451010206583689E-2</v>
      </c>
      <c r="BB144"/>
      <c r="BC144"/>
    </row>
    <row r="145" spans="2:55" ht="20" customHeight="1" x14ac:dyDescent="0.35">
      <c r="B145" s="146">
        <f t="shared" si="7"/>
        <v>36</v>
      </c>
      <c r="C145" s="147">
        <f>+'ZCB rates'!B190</f>
        <v>45131</v>
      </c>
      <c r="D145" s="148">
        <f>+'ZCB rates'!M190</f>
        <v>-6.1505500000084374E-5</v>
      </c>
      <c r="E145" s="149">
        <f>+'ZCB rates'!N190</f>
        <v>1.2188000000081687E-5</v>
      </c>
      <c r="F145" s="149">
        <f>+'ZCB rates'!O190</f>
        <v>2.4451199999987332E-4</v>
      </c>
      <c r="G145" s="149">
        <f>+'ZCB rates'!P190</f>
        <v>4.7195200000001278E-4</v>
      </c>
      <c r="H145" s="150">
        <f>+'ZCB rates'!Q190</f>
        <v>1.1640000000014783E-4</v>
      </c>
      <c r="I145" s="151">
        <f t="shared" si="15"/>
        <v>0.99038466345465404</v>
      </c>
      <c r="J145" s="151">
        <f t="shared" si="16"/>
        <v>0.98196250047088662</v>
      </c>
      <c r="K145" s="151">
        <f t="shared" si="8"/>
        <v>0.96745706676452736</v>
      </c>
      <c r="L145" s="151">
        <f t="shared" si="9"/>
        <v>0.94300702381896273</v>
      </c>
      <c r="M145" s="151">
        <f t="shared" si="10"/>
        <v>0.87262307472223166</v>
      </c>
      <c r="N145" s="152">
        <f t="shared" si="23"/>
        <v>15438.95932142383</v>
      </c>
      <c r="O145" s="153">
        <f t="shared" si="11"/>
        <v>6.1220560599849705</v>
      </c>
      <c r="P145" s="154">
        <f t="shared" si="12"/>
        <v>0.10779602081496954</v>
      </c>
      <c r="Q145" s="155">
        <f t="shared" si="13"/>
        <v>7.1676935179552058E-3</v>
      </c>
      <c r="R145" s="158">
        <f t="shared" si="17"/>
        <v>20.454208194694658</v>
      </c>
      <c r="S145" s="158">
        <f t="shared" si="18"/>
        <v>92.506874577736511</v>
      </c>
      <c r="T145" s="158">
        <f t="shared" si="19"/>
        <v>418.37463287191412</v>
      </c>
      <c r="U145" s="29"/>
      <c r="V145" s="156">
        <v>-24.848618119785897</v>
      </c>
      <c r="W145" s="155">
        <f t="shared" si="14"/>
        <v>4.8799566666631766E-2</v>
      </c>
      <c r="X145" s="139">
        <f>+SUM($W$129:W145)</f>
        <v>0.27496709395727625</v>
      </c>
      <c r="Y145" s="157"/>
      <c r="Z145" s="157"/>
      <c r="AA145" s="128">
        <f t="shared" si="26"/>
        <v>85.869960161469365</v>
      </c>
      <c r="AB145" s="128">
        <f t="shared" si="21"/>
        <v>79.264578610587108</v>
      </c>
      <c r="AC145" s="30">
        <f>SUMIFS($W$129:$W$349,$V$129:$V$349,"&gt;="&amp;AA144,$V$129:$V$349,"&lt;"&amp;AA145)</f>
        <v>4.9508889298712055E-2</v>
      </c>
      <c r="AU145" s="106">
        <f>+NORMDIST('31Mar24'!$AA145,0,SQRT('31Mar24'!$C$103),TRUE)</f>
        <v>0.99533881197628127</v>
      </c>
      <c r="AV145" s="105">
        <f t="shared" si="24"/>
        <v>9.2422594897798582E-3</v>
      </c>
      <c r="AW145" s="106">
        <f>+NORMDIST('31Mar24'!$AA145,0,SQRT($L$103),TRUE)</f>
        <v>0.99450442688657437</v>
      </c>
      <c r="AX145" s="106">
        <f t="shared" si="22"/>
        <v>1.0212854721759923E-2</v>
      </c>
      <c r="BB145"/>
      <c r="BC145"/>
    </row>
    <row r="146" spans="2:55" ht="20" customHeight="1" x14ac:dyDescent="0.35">
      <c r="B146" s="146">
        <f t="shared" si="7"/>
        <v>35</v>
      </c>
      <c r="C146" s="147">
        <f>+'ZCB rates'!B191</f>
        <v>45138</v>
      </c>
      <c r="D146" s="148">
        <f>+'ZCB rates'!M191</f>
        <v>-2.1033499999943453E-5</v>
      </c>
      <c r="E146" s="149">
        <f>+'ZCB rates'!N191</f>
        <v>8.4767999999995554E-5</v>
      </c>
      <c r="F146" s="149">
        <f>+'ZCB rates'!O191</f>
        <v>3.6628000000004968E-4</v>
      </c>
      <c r="G146" s="149">
        <f>+'ZCB rates'!P191</f>
        <v>4.6864400000007957E-4</v>
      </c>
      <c r="H146" s="150">
        <f>+'ZCB rates'!Q191</f>
        <v>-2.2430800000000197E-3</v>
      </c>
      <c r="I146" s="151">
        <f t="shared" si="15"/>
        <v>0.99042474711388095</v>
      </c>
      <c r="J146" s="151">
        <f t="shared" si="16"/>
        <v>0.98203377389565205</v>
      </c>
      <c r="K146" s="151">
        <f t="shared" si="8"/>
        <v>0.96757487924938301</v>
      </c>
      <c r="L146" s="151">
        <f t="shared" si="9"/>
        <v>0.94300390435688763</v>
      </c>
      <c r="M146" s="151">
        <f t="shared" si="10"/>
        <v>0.8705665651305855</v>
      </c>
      <c r="N146" s="152">
        <f t="shared" si="23"/>
        <v>15432.453472165145</v>
      </c>
      <c r="O146" s="153">
        <f t="shared" si="11"/>
        <v>-0.38379319870000472</v>
      </c>
      <c r="P146" s="154">
        <f t="shared" si="12"/>
        <v>0.11467661788826546</v>
      </c>
      <c r="Q146" s="155">
        <f t="shared" si="13"/>
        <v>7.6252058701651122E-3</v>
      </c>
      <c r="R146" s="158">
        <f t="shared" si="17"/>
        <v>3.9331471926527208</v>
      </c>
      <c r="S146" s="158">
        <f t="shared" si="18"/>
        <v>-7.8002819203170466</v>
      </c>
      <c r="T146" s="158">
        <f t="shared" si="19"/>
        <v>15.469646839071979</v>
      </c>
      <c r="U146" s="29"/>
      <c r="V146" s="156">
        <v>-18.040699076267629</v>
      </c>
      <c r="W146" s="155">
        <f t="shared" si="14"/>
        <v>3.3665346371936931E-2</v>
      </c>
      <c r="X146" s="139">
        <f>+SUM($W$129:W146)</f>
        <v>0.30863244032921316</v>
      </c>
      <c r="Y146" s="157"/>
      <c r="Z146" s="157"/>
      <c r="AA146" s="128">
        <f t="shared" si="26"/>
        <v>99.080723263233878</v>
      </c>
      <c r="AB146" s="128">
        <f t="shared" si="21"/>
        <v>92.475341712351621</v>
      </c>
      <c r="AC146" s="30">
        <f>SUMIFS($W$129:$W$349,$V$129:$V$349,"&gt;="&amp;AA145,$V$129:$V$349,"&lt;"&amp;AA146)</f>
        <v>0</v>
      </c>
      <c r="AU146" s="106">
        <f>+NORMDIST('31Mar24'!$AA146,0,SQRT('31Mar24'!$C$103),TRUE)</f>
        <v>0.9986501019683699</v>
      </c>
      <c r="AV146" s="105">
        <f t="shared" si="24"/>
        <v>3.3112899920886285E-3</v>
      </c>
      <c r="AW146" s="106">
        <f>+NORMDIST('31Mar24'!$AA146,0,SQRT($L$103),TRUE)</f>
        <v>0.998327999326865</v>
      </c>
      <c r="AX146" s="106">
        <f t="shared" si="22"/>
        <v>3.8235724402906346E-3</v>
      </c>
      <c r="BB146"/>
      <c r="BC146"/>
    </row>
    <row r="147" spans="2:55" ht="20" customHeight="1" x14ac:dyDescent="0.35">
      <c r="B147" s="146">
        <f t="shared" si="7"/>
        <v>34</v>
      </c>
      <c r="C147" s="147">
        <f>+'ZCB rates'!B192</f>
        <v>45145</v>
      </c>
      <c r="D147" s="148">
        <f>+'ZCB rates'!M192</f>
        <v>5.7901499999942904E-5</v>
      </c>
      <c r="E147" s="149">
        <f>+'ZCB rates'!N192</f>
        <v>1.0849600000007263E-4</v>
      </c>
      <c r="F147" s="149">
        <f>+'ZCB rates'!O192</f>
        <v>2.7518800000007182E-4</v>
      </c>
      <c r="G147" s="149">
        <f>+'ZCB rates'!P192</f>
        <v>6.7964399999986098E-4</v>
      </c>
      <c r="H147" s="150">
        <f>+'ZCB rates'!Q192</f>
        <v>9.7356999999988582E-4</v>
      </c>
      <c r="I147" s="151">
        <f t="shared" si="15"/>
        <v>0.99050292937691209</v>
      </c>
      <c r="J147" s="151">
        <f t="shared" si="16"/>
        <v>0.98205707586949265</v>
      </c>
      <c r="K147" s="151">
        <f t="shared" si="8"/>
        <v>0.96748674493270903</v>
      </c>
      <c r="L147" s="151">
        <f t="shared" si="9"/>
        <v>0.94320289917392164</v>
      </c>
      <c r="M147" s="151">
        <f t="shared" si="10"/>
        <v>0.87337138171052409</v>
      </c>
      <c r="N147" s="152">
        <f t="shared" si="23"/>
        <v>15443.857385771136</v>
      </c>
      <c r="O147" s="153">
        <f t="shared" si="11"/>
        <v>11.02012040729096</v>
      </c>
      <c r="P147" s="154">
        <f t="shared" si="12"/>
        <v>0.12199640200879305</v>
      </c>
      <c r="Q147" s="155">
        <f t="shared" si="13"/>
        <v>8.1119211384735237E-3</v>
      </c>
      <c r="R147" s="158">
        <f t="shared" si="17"/>
        <v>88.749536305723538</v>
      </c>
      <c r="S147" s="158">
        <f t="shared" si="18"/>
        <v>836.08251086923144</v>
      </c>
      <c r="T147" s="158">
        <f t="shared" si="19"/>
        <v>7876.4801944809406</v>
      </c>
      <c r="U147" s="29"/>
      <c r="V147" s="156">
        <v>-17.573404438278885</v>
      </c>
      <c r="W147" s="155">
        <f t="shared" si="14"/>
        <v>1.2509177203836833E-2</v>
      </c>
      <c r="X147" s="139">
        <f>+SUM($W$129:W147)</f>
        <v>0.32114161753304998</v>
      </c>
      <c r="Y147" s="157"/>
      <c r="Z147" s="157"/>
      <c r="AA147" s="128">
        <f t="shared" si="26"/>
        <v>112.29148636499839</v>
      </c>
      <c r="AB147" s="128">
        <f t="shared" si="21"/>
        <v>105.68610481411613</v>
      </c>
      <c r="AC147" s="30">
        <f t="shared" si="25"/>
        <v>0</v>
      </c>
      <c r="AU147" s="106">
        <f>+NORMDIST('31Mar24'!$AA147,0,SQRT('31Mar24'!$C$103),TRUE)</f>
        <v>0.99966307073432314</v>
      </c>
      <c r="AV147" s="105">
        <f t="shared" si="24"/>
        <v>1.0129687659532483E-3</v>
      </c>
      <c r="AW147" s="106">
        <f>+NORMDIST('31Mar24'!$AA147,0,SQRT($L$103),TRUE)</f>
        <v>0.99955859758077847</v>
      </c>
      <c r="AX147" s="106">
        <f t="shared" si="22"/>
        <v>1.230598253913473E-3</v>
      </c>
      <c r="BB147"/>
      <c r="BC147"/>
    </row>
    <row r="148" spans="2:55" ht="20" customHeight="1" x14ac:dyDescent="0.35">
      <c r="B148" s="146">
        <f t="shared" si="7"/>
        <v>33</v>
      </c>
      <c r="C148" s="147">
        <f>+'ZCB rates'!B193</f>
        <v>45152</v>
      </c>
      <c r="D148" s="148">
        <f>+'ZCB rates'!M193</f>
        <v>-1.0374450000006697E-4</v>
      </c>
      <c r="E148" s="149">
        <f>+'ZCB rates'!N193</f>
        <v>-2.1548200000008708E-4</v>
      </c>
      <c r="F148" s="149">
        <f>+'ZCB rates'!O193</f>
        <v>-6.6905400000001863E-4</v>
      </c>
      <c r="G148" s="149">
        <f>+'ZCB rates'!P193</f>
        <v>-2.0352119999999074E-3</v>
      </c>
      <c r="H148" s="150">
        <f>+'ZCB rates'!Q193</f>
        <v>-6.2641499999999935E-3</v>
      </c>
      <c r="I148" s="151">
        <f t="shared" si="15"/>
        <v>0.99034283148033098</v>
      </c>
      <c r="J148" s="151">
        <f t="shared" si="16"/>
        <v>0.98173896251581294</v>
      </c>
      <c r="K148" s="151">
        <f t="shared" si="8"/>
        <v>0.96657363448016365</v>
      </c>
      <c r="L148" s="151">
        <f t="shared" si="9"/>
        <v>0.94064571189213309</v>
      </c>
      <c r="M148" s="151">
        <f t="shared" si="10"/>
        <v>0.86707298470556415</v>
      </c>
      <c r="N148" s="152">
        <f t="shared" si="23"/>
        <v>15390.73185193163</v>
      </c>
      <c r="O148" s="153">
        <f t="shared" si="11"/>
        <v>-42.105413432214846</v>
      </c>
      <c r="P148" s="154">
        <f t="shared" si="12"/>
        <v>0.12978340639233304</v>
      </c>
      <c r="Q148" s="155">
        <f t="shared" si="13"/>
        <v>8.6297033388016229E-3</v>
      </c>
      <c r="R148" s="158">
        <f t="shared" si="17"/>
        <v>1910.1127430339366</v>
      </c>
      <c r="S148" s="158">
        <f t="shared" si="18"/>
        <v>-83481.165339384956</v>
      </c>
      <c r="T148" s="158">
        <f t="shared" si="19"/>
        <v>3648530.6911006295</v>
      </c>
      <c r="U148" s="29"/>
      <c r="V148" s="156">
        <v>-13.85572524064446</v>
      </c>
      <c r="W148" s="155">
        <f t="shared" si="14"/>
        <v>1.0389922438671612E-2</v>
      </c>
      <c r="X148" s="139">
        <f>+SUM($W$129:W148)</f>
        <v>0.33153153997172158</v>
      </c>
      <c r="Y148" s="157"/>
      <c r="Z148" s="157"/>
      <c r="AA148" s="128">
        <f t="shared" si="26"/>
        <v>125.5022494667629</v>
      </c>
      <c r="AB148" s="128">
        <f t="shared" si="21"/>
        <v>118.89686791588065</v>
      </c>
      <c r="AC148" s="30">
        <f t="shared" si="25"/>
        <v>0</v>
      </c>
      <c r="AU148" s="106">
        <f>+NORMDIST('31Mar24'!$AA148,0,SQRT('31Mar24'!$C$103),TRUE)</f>
        <v>0.99992765195607491</v>
      </c>
      <c r="AV148" s="105">
        <f t="shared" si="24"/>
        <v>2.6458122175176957E-4</v>
      </c>
      <c r="AW148" s="106">
        <f>+NORMDIST('31Mar24'!$AA148,0,SQRT($L$103),TRUE)</f>
        <v>0.99989906442754639</v>
      </c>
      <c r="AX148" s="106">
        <f t="shared" si="22"/>
        <v>3.4046684676791727E-4</v>
      </c>
      <c r="BB148"/>
      <c r="BC148"/>
    </row>
    <row r="149" spans="2:55" ht="20" customHeight="1" x14ac:dyDescent="0.35">
      <c r="B149" s="146">
        <f t="shared" si="7"/>
        <v>32</v>
      </c>
      <c r="C149" s="147">
        <f>+'ZCB rates'!B194</f>
        <v>45159</v>
      </c>
      <c r="D149" s="148">
        <f>+'ZCB rates'!M194</f>
        <v>-6.6814999999652017E-6</v>
      </c>
      <c r="E149" s="149">
        <f>+'ZCB rates'!N194</f>
        <v>4.1621000000015592E-5</v>
      </c>
      <c r="F149" s="149">
        <f>+'ZCB rates'!O194</f>
        <v>3.2355600000008187E-4</v>
      </c>
      <c r="G149" s="149">
        <f>+'ZCB rates'!P194</f>
        <v>1.1139519999999233E-3</v>
      </c>
      <c r="H149" s="150">
        <f>+'ZCB rates'!Q194</f>
        <v>3.0779599999998042E-3</v>
      </c>
      <c r="I149" s="151">
        <f t="shared" si="15"/>
        <v>0.99043896179185575</v>
      </c>
      <c r="J149" s="151">
        <f t="shared" si="16"/>
        <v>0.98199140299850496</v>
      </c>
      <c r="K149" s="151">
        <f t="shared" si="8"/>
        <v>0.96753354146330606</v>
      </c>
      <c r="L149" s="151">
        <f t="shared" si="9"/>
        <v>0.94361262870662266</v>
      </c>
      <c r="M149" s="151">
        <f t="shared" si="10"/>
        <v>0.87521123091363962</v>
      </c>
      <c r="N149" s="152">
        <f t="shared" si="23"/>
        <v>15454.941726590037</v>
      </c>
      <c r="O149" s="153">
        <f t="shared" si="11"/>
        <v>22.104461226192143</v>
      </c>
      <c r="P149" s="154">
        <f t="shared" si="12"/>
        <v>0.13806745360886494</v>
      </c>
      <c r="Q149" s="155">
        <f t="shared" si="13"/>
        <v>9.1805354668102364E-3</v>
      </c>
      <c r="R149" s="158">
        <f t="shared" si="17"/>
        <v>420.45658540080211</v>
      </c>
      <c r="S149" s="158">
        <f t="shared" si="18"/>
        <v>8621.4782816972001</v>
      </c>
      <c r="T149" s="158">
        <f t="shared" si="19"/>
        <v>176783.740206902</v>
      </c>
      <c r="U149" s="29"/>
      <c r="V149" s="156">
        <v>-12.39456437012268</v>
      </c>
      <c r="W149" s="155">
        <f t="shared" si="14"/>
        <v>5.875331894983743E-2</v>
      </c>
      <c r="X149" s="139">
        <f>+SUM($W$129:W149)</f>
        <v>0.39028485892155901</v>
      </c>
      <c r="Y149" s="157"/>
      <c r="Z149" s="29"/>
      <c r="AA149" s="128"/>
      <c r="AB149" s="128"/>
      <c r="AC149" s="157"/>
      <c r="AD149" s="46"/>
      <c r="AE149" s="106"/>
      <c r="AF149" s="105"/>
      <c r="BB149"/>
      <c r="BC149"/>
    </row>
    <row r="150" spans="2:55" ht="20" customHeight="1" x14ac:dyDescent="0.35">
      <c r="B150" s="146">
        <f t="shared" si="7"/>
        <v>31</v>
      </c>
      <c r="C150" s="147">
        <f>+'ZCB rates'!B195</f>
        <v>45166</v>
      </c>
      <c r="D150" s="148">
        <f>+'ZCB rates'!M195</f>
        <v>-1.8691000000004501E-5</v>
      </c>
      <c r="E150" s="149">
        <f>+'ZCB rates'!N195</f>
        <v>-7.7828000000013215E-5</v>
      </c>
      <c r="F150" s="149">
        <f>+'ZCB rates'!O195</f>
        <v>-1.2486400000008102E-4</v>
      </c>
      <c r="G150" s="149">
        <f>+'ZCB rates'!P195</f>
        <v>1.5232399999997906E-4</v>
      </c>
      <c r="H150" s="150">
        <f>+'ZCB rates'!Q195</f>
        <v>2.0438999999999349E-3</v>
      </c>
      <c r="I150" s="151">
        <f t="shared" si="15"/>
        <v>0.99042706718656837</v>
      </c>
      <c r="J150" s="151">
        <f t="shared" si="16"/>
        <v>0.98187411211268705</v>
      </c>
      <c r="K150" s="151">
        <f t="shared" si="8"/>
        <v>0.96709977733416685</v>
      </c>
      <c r="L150" s="151">
        <f t="shared" si="9"/>
        <v>0.94270566053459115</v>
      </c>
      <c r="M150" s="151">
        <f t="shared" si="10"/>
        <v>0.87430667774992521</v>
      </c>
      <c r="N150" s="152">
        <f t="shared" si="23"/>
        <v>15440.263111143748</v>
      </c>
      <c r="O150" s="153">
        <f t="shared" si="11"/>
        <v>7.4258457799023745</v>
      </c>
      <c r="P150" s="154">
        <f t="shared" si="12"/>
        <v>0.14688026979666483</v>
      </c>
      <c r="Q150" s="155">
        <f t="shared" si="13"/>
        <v>9.7665270923513146E-3</v>
      </c>
      <c r="R150" s="158">
        <f t="shared" si="17"/>
        <v>33.947200348175578</v>
      </c>
      <c r="S150" s="158">
        <f t="shared" si="18"/>
        <v>197.79073541550829</v>
      </c>
      <c r="T150" s="158">
        <f t="shared" si="19"/>
        <v>1152.4124114791721</v>
      </c>
      <c r="U150" s="29"/>
      <c r="V150" s="156">
        <v>-11.955047316985656</v>
      </c>
      <c r="W150" s="155">
        <f t="shared" si="14"/>
        <v>4.5871592666633862E-2</v>
      </c>
      <c r="X150" s="139">
        <f>+SUM($W$129:W150)</f>
        <v>0.43615645158819288</v>
      </c>
      <c r="Y150" s="157"/>
      <c r="Z150" s="157"/>
      <c r="AA150" s="157"/>
      <c r="AB150" s="157"/>
      <c r="AC150" s="157"/>
      <c r="BB150"/>
      <c r="BC150"/>
    </row>
    <row r="151" spans="2:55" ht="20" customHeight="1" x14ac:dyDescent="0.35">
      <c r="B151" s="146">
        <f t="shared" si="7"/>
        <v>30</v>
      </c>
      <c r="C151" s="147">
        <f>+'ZCB rates'!B196</f>
        <v>45173</v>
      </c>
      <c r="D151" s="148">
        <f>+'ZCB rates'!M196</f>
        <v>-4.0550500000030687E-5</v>
      </c>
      <c r="E151" s="149">
        <f>+'ZCB rates'!N196</f>
        <v>-1.0070399999995893E-4</v>
      </c>
      <c r="F151" s="149">
        <f>+'ZCB rates'!O196</f>
        <v>-2.169679999999685E-4</v>
      </c>
      <c r="G151" s="149">
        <f>+'ZCB rates'!P196</f>
        <v>-5.4627599999999474E-4</v>
      </c>
      <c r="H151" s="150">
        <f>+'ZCB rates'!Q196</f>
        <v>-2.5884099999999564E-3</v>
      </c>
      <c r="I151" s="151">
        <f t="shared" si="15"/>
        <v>0.99040541718272324</v>
      </c>
      <c r="J151" s="151">
        <f t="shared" si="16"/>
        <v>0.98185165101740945</v>
      </c>
      <c r="K151" s="151">
        <f t="shared" si="8"/>
        <v>0.9670107076781741</v>
      </c>
      <c r="L151" s="151">
        <f t="shared" si="9"/>
        <v>0.94204731634654149</v>
      </c>
      <c r="M151" s="151">
        <f t="shared" si="10"/>
        <v>0.87026598428142843</v>
      </c>
      <c r="N151" s="152">
        <f t="shared" si="23"/>
        <v>15418.981540123201</v>
      </c>
      <c r="O151" s="153">
        <f t="shared" si="11"/>
        <v>-13.85572524064446</v>
      </c>
      <c r="P151" s="154">
        <f t="shared" si="12"/>
        <v>0.15625560616666473</v>
      </c>
      <c r="Q151" s="155">
        <f t="shared" si="13"/>
        <v>1.0389922438671612E-2</v>
      </c>
      <c r="R151" s="158">
        <f t="shared" si="17"/>
        <v>238.86161260992228</v>
      </c>
      <c r="S151" s="158">
        <f t="shared" si="18"/>
        <v>-3691.6416741526855</v>
      </c>
      <c r="T151" s="158">
        <f t="shared" si="19"/>
        <v>57054.86997861258</v>
      </c>
      <c r="U151" s="29"/>
      <c r="V151" s="156">
        <v>-5.5520004898771731</v>
      </c>
      <c r="W151" s="155">
        <f t="shared" si="14"/>
        <v>1.3307635323230673E-2</v>
      </c>
      <c r="X151" s="139">
        <f>+SUM($W$129:W151)</f>
        <v>0.44946408691142353</v>
      </c>
      <c r="Y151" s="157"/>
      <c r="Z151" s="157"/>
      <c r="AA151" s="157"/>
      <c r="AB151" s="157"/>
      <c r="AC151" s="157"/>
      <c r="BB151"/>
      <c r="BC151"/>
    </row>
    <row r="152" spans="2:55" ht="20" customHeight="1" x14ac:dyDescent="0.35">
      <c r="B152" s="146">
        <f t="shared" ref="B152:B179" si="27">+B153+1</f>
        <v>29</v>
      </c>
      <c r="C152" s="147">
        <f>+'ZCB rates'!B197</f>
        <v>45180</v>
      </c>
      <c r="D152" s="148">
        <f>+'ZCB rates'!M197</f>
        <v>-2.0234050000000507E-4</v>
      </c>
      <c r="E152" s="149">
        <f>+'ZCB rates'!N197</f>
        <v>-3.7019200000007756E-4</v>
      </c>
      <c r="F152" s="149">
        <f>+'ZCB rates'!O197</f>
        <v>-7.6631200000005627E-4</v>
      </c>
      <c r="G152" s="149">
        <f>+'ZCB rates'!P197</f>
        <v>-1.5848840000000791E-3</v>
      </c>
      <c r="H152" s="150">
        <f>+'ZCB rates'!Q197</f>
        <v>-3.0254500000001338E-3</v>
      </c>
      <c r="I152" s="151">
        <f t="shared" si="15"/>
        <v>0.99024519245200626</v>
      </c>
      <c r="J152" s="151">
        <f t="shared" si="16"/>
        <v>0.98158708942936768</v>
      </c>
      <c r="K152" s="151">
        <f t="shared" si="8"/>
        <v>0.96647963203294052</v>
      </c>
      <c r="L152" s="151">
        <f t="shared" si="9"/>
        <v>0.94106940638786507</v>
      </c>
      <c r="M152" s="151">
        <f t="shared" si="10"/>
        <v>0.86988572633567685</v>
      </c>
      <c r="N152" s="152">
        <f t="shared" ref="N152:N180" si="28">+SUMPRODUCT(I152:M152,$C$113:$G$113)</f>
        <v>15404.996742206076</v>
      </c>
      <c r="O152" s="153">
        <f t="shared" ref="O152:O180" si="29">+N152-$G$117</f>
        <v>-27.840523157768985</v>
      </c>
      <c r="P152" s="154">
        <f t="shared" ref="P152:P179" si="30">+Lambda^B152</f>
        <v>0.16622936826240925</v>
      </c>
      <c r="Q152" s="155">
        <f t="shared" si="13"/>
        <v>1.1053108977310225E-2</v>
      </c>
      <c r="R152" s="158">
        <f t="shared" si="17"/>
        <v>866.71044019122837</v>
      </c>
      <c r="S152" s="158">
        <f t="shared" si="18"/>
        <v>-25515.908846971823</v>
      </c>
      <c r="T152" s="158">
        <f t="shared" si="19"/>
        <v>751186.98713647283</v>
      </c>
      <c r="U152" s="29"/>
      <c r="V152" s="156">
        <v>-5.0574378330948093</v>
      </c>
      <c r="W152" s="155">
        <f t="shared" si="14"/>
        <v>3.5814198268018009E-2</v>
      </c>
      <c r="X152" s="139">
        <f>+SUM($W$129:W152)</f>
        <v>0.48527828517944155</v>
      </c>
      <c r="Y152" s="157"/>
      <c r="Z152" s="29"/>
      <c r="AA152" s="157"/>
      <c r="AB152" s="157"/>
      <c r="AC152" s="157"/>
      <c r="BB152"/>
      <c r="BC152"/>
    </row>
    <row r="153" spans="2:55" ht="20" customHeight="1" x14ac:dyDescent="0.35">
      <c r="B153" s="146">
        <f t="shared" si="27"/>
        <v>28</v>
      </c>
      <c r="C153" s="147">
        <f>+'ZCB rates'!B198</f>
        <v>45187</v>
      </c>
      <c r="D153" s="148">
        <f>+'ZCB rates'!M198</f>
        <v>-1.7009900000004139E-4</v>
      </c>
      <c r="E153" s="149">
        <f>+'ZCB rates'!N198</f>
        <v>-3.3436499999989585E-4</v>
      </c>
      <c r="F153" s="149">
        <f>+'ZCB rates'!O198</f>
        <v>-7.6204799999998957E-4</v>
      </c>
      <c r="G153" s="149">
        <f>+'ZCB rates'!P198</f>
        <v>-1.779571999999896E-3</v>
      </c>
      <c r="H153" s="150">
        <f>+'ZCB rates'!Q198</f>
        <v>-4.6500999999999661E-3</v>
      </c>
      <c r="I153" s="151">
        <f t="shared" si="15"/>
        <v>0.99027711995707124</v>
      </c>
      <c r="J153" s="151">
        <f t="shared" si="16"/>
        <v>0.9816222573799982</v>
      </c>
      <c r="K153" s="151">
        <f t="shared" si="8"/>
        <v>0.96648375311087764</v>
      </c>
      <c r="L153" s="151">
        <f t="shared" si="9"/>
        <v>0.94088620930099021</v>
      </c>
      <c r="M153" s="151">
        <f t="shared" si="10"/>
        <v>0.86847361389522837</v>
      </c>
      <c r="N153" s="152">
        <f t="shared" si="28"/>
        <v>15398.180603668477</v>
      </c>
      <c r="O153" s="153">
        <f t="shared" si="29"/>
        <v>-34.656661695367802</v>
      </c>
      <c r="P153" s="154">
        <f t="shared" si="30"/>
        <v>0.17683975347064818</v>
      </c>
      <c r="Q153" s="155">
        <f t="shared" si="13"/>
        <v>1.1758626571606624E-2</v>
      </c>
      <c r="R153" s="158">
        <f t="shared" si="17"/>
        <v>1314.5036902688284</v>
      </c>
      <c r="S153" s="158">
        <f t="shared" si="18"/>
        <v>-47658.757359363713</v>
      </c>
      <c r="T153" s="158">
        <f t="shared" si="19"/>
        <v>1727919.9517303682</v>
      </c>
      <c r="U153" s="29"/>
      <c r="V153" s="156">
        <v>-0.99253456548831309</v>
      </c>
      <c r="W153" s="155">
        <f t="shared" si="14"/>
        <v>5.5961692597422683E-3</v>
      </c>
      <c r="X153" s="139">
        <f>+SUM($W$129:W153)</f>
        <v>0.49087445443918382</v>
      </c>
      <c r="Y153" s="157"/>
      <c r="Z153" s="29"/>
      <c r="AA153" s="157"/>
      <c r="AB153" s="157"/>
      <c r="AC153" s="157"/>
      <c r="BB153"/>
      <c r="BC153"/>
    </row>
    <row r="154" spans="2:55" ht="20" customHeight="1" x14ac:dyDescent="0.35">
      <c r="B154" s="146">
        <f t="shared" si="27"/>
        <v>27</v>
      </c>
      <c r="C154" s="147">
        <f>+'ZCB rates'!B199</f>
        <v>45194</v>
      </c>
      <c r="D154" s="148">
        <f>+'ZCB rates'!M199</f>
        <v>1.3341000000000164E-5</v>
      </c>
      <c r="E154" s="149">
        <f>+'ZCB rates'!N199</f>
        <v>3.3976999999873382E-5</v>
      </c>
      <c r="F154" s="149">
        <f>+'ZCB rates'!O199</f>
        <v>-1.9415999999967171E-5</v>
      </c>
      <c r="G154" s="149">
        <f>+'ZCB rates'!P199</f>
        <v>-5.2893599999999049E-4</v>
      </c>
      <c r="H154" s="150">
        <f>+'ZCB rates'!Q199</f>
        <v>-4.0529599999999909E-3</v>
      </c>
      <c r="I154" s="151">
        <f t="shared" si="15"/>
        <v>0.99045879305450335</v>
      </c>
      <c r="J154" s="151">
        <f t="shared" si="16"/>
        <v>0.98198389668490949</v>
      </c>
      <c r="K154" s="151">
        <f t="shared" si="8"/>
        <v>0.9672017614484032</v>
      </c>
      <c r="L154" s="151">
        <f t="shared" si="9"/>
        <v>0.94206365158863314</v>
      </c>
      <c r="M154" s="151">
        <f t="shared" si="10"/>
        <v>0.86899236909835609</v>
      </c>
      <c r="N154" s="152">
        <f t="shared" si="28"/>
        <v>15415.263860925566</v>
      </c>
      <c r="O154" s="153">
        <f t="shared" si="29"/>
        <v>-17.573404438278885</v>
      </c>
      <c r="P154" s="154">
        <f t="shared" si="30"/>
        <v>0.18812739730920017</v>
      </c>
      <c r="Q154" s="155">
        <f t="shared" si="13"/>
        <v>1.2509177203836833E-2</v>
      </c>
      <c r="R154" s="158">
        <f t="shared" si="17"/>
        <v>367.59731876334496</v>
      </c>
      <c r="S154" s="158">
        <f t="shared" si="18"/>
        <v>-7047.8800244705462</v>
      </c>
      <c r="T154" s="158">
        <f t="shared" si="19"/>
        <v>135127.78876200024</v>
      </c>
      <c r="U154" s="29"/>
      <c r="V154" s="156">
        <v>-0.38379319870000472</v>
      </c>
      <c r="W154" s="155">
        <f t="shared" si="14"/>
        <v>7.6252058701651122E-3</v>
      </c>
      <c r="X154" s="139">
        <f>+SUM($W$129:W154)</f>
        <v>0.49849966030934895</v>
      </c>
      <c r="Y154" s="157"/>
      <c r="Z154" s="29"/>
      <c r="AA154" s="157"/>
      <c r="AB154" s="157"/>
      <c r="AC154" s="157"/>
      <c r="BB154"/>
      <c r="BC154"/>
    </row>
    <row r="155" spans="2:55" ht="20" customHeight="1" x14ac:dyDescent="0.35">
      <c r="B155" s="146">
        <f t="shared" si="27"/>
        <v>26</v>
      </c>
      <c r="C155" s="147">
        <f>+'ZCB rates'!B200</f>
        <v>45201</v>
      </c>
      <c r="D155" s="148">
        <f>+'ZCB rates'!M200</f>
        <v>-1.168520000000145E-4</v>
      </c>
      <c r="E155" s="149">
        <f>+'ZCB rates'!N200</f>
        <v>-6.0600000000362797E-6</v>
      </c>
      <c r="F155" s="149">
        <f>+'ZCB rates'!O200</f>
        <v>3.0459600000004751E-4</v>
      </c>
      <c r="G155" s="149">
        <f>+'ZCB rates'!P200</f>
        <v>2.4326799999996898E-4</v>
      </c>
      <c r="H155" s="150">
        <f>+'ZCB rates'!Q200</f>
        <v>-3.1179400000000612E-3</v>
      </c>
      <c r="I155" s="151">
        <f t="shared" si="15"/>
        <v>0.99032985064674073</v>
      </c>
      <c r="J155" s="151">
        <f t="shared" si="16"/>
        <v>0.98194458178266852</v>
      </c>
      <c r="K155" s="151">
        <f t="shared" si="8"/>
        <v>0.96751519720126411</v>
      </c>
      <c r="L155" s="151">
        <f t="shared" si="9"/>
        <v>0.94279139785677113</v>
      </c>
      <c r="M155" s="151">
        <f t="shared" si="10"/>
        <v>0.86980527432540866</v>
      </c>
      <c r="N155" s="152">
        <f t="shared" si="28"/>
        <v>15427.285264873968</v>
      </c>
      <c r="O155" s="153">
        <f t="shared" si="29"/>
        <v>-5.5520004898771731</v>
      </c>
      <c r="P155" s="154">
        <f t="shared" si="30"/>
        <v>0.20013552905234061</v>
      </c>
      <c r="Q155" s="155">
        <f t="shared" si="13"/>
        <v>1.3307635323230673E-2</v>
      </c>
      <c r="R155" s="158">
        <f t="shared" si="17"/>
        <v>51.142860462478822</v>
      </c>
      <c r="S155" s="158">
        <f t="shared" si="18"/>
        <v>-365.74426270069301</v>
      </c>
      <c r="T155" s="158">
        <f t="shared" si="19"/>
        <v>2615.5921762845796</v>
      </c>
      <c r="U155" s="29"/>
      <c r="V155" s="156">
        <v>2.1020718761501485</v>
      </c>
      <c r="W155" s="155">
        <f t="shared" si="14"/>
        <v>5.5228119812847178E-2</v>
      </c>
      <c r="X155" s="139">
        <f>+SUM($W$129:W155)</f>
        <v>0.55372778012219614</v>
      </c>
      <c r="Y155" s="157"/>
      <c r="Z155" s="29"/>
      <c r="AA155" s="157"/>
      <c r="AB155" s="157"/>
      <c r="AC155" s="157"/>
      <c r="BB155"/>
      <c r="BC155"/>
    </row>
    <row r="156" spans="2:55" ht="20" customHeight="1" x14ac:dyDescent="0.35">
      <c r="B156" s="146">
        <f t="shared" si="27"/>
        <v>25</v>
      </c>
      <c r="C156" s="147">
        <f>+'ZCB rates'!B201</f>
        <v>45208</v>
      </c>
      <c r="D156" s="148">
        <f>+'ZCB rates'!M201</f>
        <v>-6.3799999999971735E-5</v>
      </c>
      <c r="E156" s="149">
        <f>+'ZCB rates'!N201</f>
        <v>9.8378999999923375E-5</v>
      </c>
      <c r="F156" s="149">
        <f>+'ZCB rates'!O201</f>
        <v>4.7493800000001024E-4</v>
      </c>
      <c r="G156" s="149">
        <f>+'ZCB rates'!P201</f>
        <v>1.024112000000077E-3</v>
      </c>
      <c r="H156" s="150">
        <f>+'ZCB rates'!Q201</f>
        <v>4.399319999999934E-3</v>
      </c>
      <c r="I156" s="151">
        <f t="shared" si="15"/>
        <v>0.99038239101965087</v>
      </c>
      <c r="J156" s="151">
        <f t="shared" si="16"/>
        <v>0.98204714044831432</v>
      </c>
      <c r="K156" s="151">
        <f t="shared" si="8"/>
        <v>0.96768001971268525</v>
      </c>
      <c r="L156" s="151">
        <f t="shared" si="9"/>
        <v>0.94352785835600095</v>
      </c>
      <c r="M156" s="151">
        <f t="shared" si="10"/>
        <v>0.87636846441837501</v>
      </c>
      <c r="N156" s="152">
        <f t="shared" si="28"/>
        <v>15457.63934721558</v>
      </c>
      <c r="O156" s="153">
        <f t="shared" si="29"/>
        <v>24.802081851734329</v>
      </c>
      <c r="P156" s="154">
        <f t="shared" si="30"/>
        <v>0.21291013728972405</v>
      </c>
      <c r="Q156" s="155">
        <f t="shared" si="13"/>
        <v>1.4157058854500717E-2</v>
      </c>
      <c r="R156" s="158">
        <f t="shared" si="17"/>
        <v>538.36336957846993</v>
      </c>
      <c r="S156" s="158">
        <f t="shared" si="18"/>
        <v>12491.461507335142</v>
      </c>
      <c r="T156" s="158">
        <f t="shared" si="19"/>
        <v>289835.1177038842</v>
      </c>
      <c r="U156" s="29"/>
      <c r="V156" s="156">
        <v>2.1417938865688484</v>
      </c>
      <c r="W156" s="155">
        <f t="shared" si="14"/>
        <v>6.33337399246522E-3</v>
      </c>
      <c r="X156" s="139">
        <f>+SUM($W$129:W156)</f>
        <v>0.5600611541146614</v>
      </c>
      <c r="Y156" s="157"/>
      <c r="Z156" s="29"/>
      <c r="AA156" s="157"/>
      <c r="AB156" s="157"/>
      <c r="AC156" s="157"/>
      <c r="BB156"/>
      <c r="BC156"/>
    </row>
    <row r="157" spans="2:55" ht="20" customHeight="1" x14ac:dyDescent="0.35">
      <c r="B157" s="146">
        <f t="shared" si="27"/>
        <v>24</v>
      </c>
      <c r="C157" s="147">
        <f>+'ZCB rates'!B202</f>
        <v>45215</v>
      </c>
      <c r="D157" s="148">
        <f>+'ZCB rates'!M202</f>
        <v>4.0046000000005837E-5</v>
      </c>
      <c r="E157" s="149">
        <f>+'ZCB rates'!N202</f>
        <v>-4.6793999999980193E-5</v>
      </c>
      <c r="F157" s="149">
        <f>+'ZCB rates'!O202</f>
        <v>-4.4230199999993435E-4</v>
      </c>
      <c r="G157" s="149">
        <f>+'ZCB rates'!P202</f>
        <v>-1.4589279999999772E-3</v>
      </c>
      <c r="H157" s="150">
        <f>+'ZCB rates'!Q202</f>
        <v>-4.3072700000000574E-3</v>
      </c>
      <c r="I157" s="151">
        <f t="shared" si="15"/>
        <v>0.99048524360975132</v>
      </c>
      <c r="J157" s="151">
        <f t="shared" si="16"/>
        <v>0.98190458406671333</v>
      </c>
      <c r="K157" s="151">
        <f t="shared" si="8"/>
        <v>0.96679283183570963</v>
      </c>
      <c r="L157" s="151">
        <f t="shared" si="9"/>
        <v>0.94118794719132215</v>
      </c>
      <c r="M157" s="151">
        <f t="shared" si="10"/>
        <v>0.86877140374701078</v>
      </c>
      <c r="N157" s="152">
        <f t="shared" si="28"/>
        <v>15403.176357257285</v>
      </c>
      <c r="O157" s="153">
        <f t="shared" si="29"/>
        <v>-29.660908106559873</v>
      </c>
      <c r="P157" s="154">
        <f t="shared" si="30"/>
        <v>0.22650014605289795</v>
      </c>
      <c r="Q157" s="155">
        <f t="shared" si="13"/>
        <v>1.5060700909043316E-2</v>
      </c>
      <c r="R157" s="158">
        <f t="shared" si="17"/>
        <v>977.20831195488654</v>
      </c>
      <c r="S157" s="158">
        <f t="shared" si="18"/>
        <v>-30547.855564710786</v>
      </c>
      <c r="T157" s="158">
        <f t="shared" si="19"/>
        <v>954936.08495371882</v>
      </c>
      <c r="U157" s="29"/>
      <c r="V157" s="156">
        <v>6.1220560599849705</v>
      </c>
      <c r="W157" s="155">
        <f t="shared" si="14"/>
        <v>7.1676935179552058E-3</v>
      </c>
      <c r="X157" s="139">
        <f>+SUM($W$129:W157)</f>
        <v>0.56722884763261661</v>
      </c>
      <c r="Y157" s="157"/>
      <c r="Z157" s="29"/>
      <c r="AA157" s="157"/>
      <c r="AB157" s="157"/>
      <c r="AC157" s="157"/>
      <c r="BB157"/>
      <c r="BC157"/>
    </row>
    <row r="158" spans="2:55" ht="20" customHeight="1" x14ac:dyDescent="0.35">
      <c r="B158" s="146">
        <f t="shared" si="27"/>
        <v>23</v>
      </c>
      <c r="C158" s="147">
        <f>+'ZCB rates'!B203</f>
        <v>45222</v>
      </c>
      <c r="D158" s="148">
        <f>+'ZCB rates'!M203</f>
        <v>-8.8548500000026849E-5</v>
      </c>
      <c r="E158" s="149">
        <f>+'ZCB rates'!N203</f>
        <v>7.3673000000027211E-5</v>
      </c>
      <c r="F158" s="149">
        <f>+'ZCB rates'!O203</f>
        <v>6.3129600000011974E-4</v>
      </c>
      <c r="G158" s="149">
        <f>+'ZCB rates'!P203</f>
        <v>1.4366200000000811E-3</v>
      </c>
      <c r="H158" s="150">
        <f>+'ZCB rates'!Q203</f>
        <v>1.5716399999999918E-3</v>
      </c>
      <c r="I158" s="151">
        <f t="shared" si="15"/>
        <v>0.99035788084434295</v>
      </c>
      <c r="J158" s="151">
        <f t="shared" si="16"/>
        <v>0.98202287829137425</v>
      </c>
      <c r="K158" s="151">
        <f t="shared" si="8"/>
        <v>0.96783133605465965</v>
      </c>
      <c r="L158" s="151">
        <f t="shared" si="9"/>
        <v>0.94391715143352983</v>
      </c>
      <c r="M158" s="151">
        <f t="shared" si="10"/>
        <v>0.87389387516103867</v>
      </c>
      <c r="N158" s="152">
        <f t="shared" si="28"/>
        <v>15454.802316802494</v>
      </c>
      <c r="O158" s="153">
        <f t="shared" si="29"/>
        <v>21.965051438648516</v>
      </c>
      <c r="P158" s="154">
        <f t="shared" si="30"/>
        <v>0.24095760218393397</v>
      </c>
      <c r="Q158" s="155">
        <f t="shared" si="13"/>
        <v>1.60220222436631E-2</v>
      </c>
      <c r="R158" s="158">
        <f t="shared" si="17"/>
        <v>414.75881449362782</v>
      </c>
      <c r="S158" s="158">
        <f t="shared" si="18"/>
        <v>8446.8238342393324</v>
      </c>
      <c r="T158" s="158">
        <f t="shared" si="19"/>
        <v>172024.87420015957</v>
      </c>
      <c r="U158" s="29"/>
      <c r="V158" s="156">
        <v>7.4258457799023745</v>
      </c>
      <c r="W158" s="155">
        <f t="shared" si="14"/>
        <v>9.7665270923513146E-3</v>
      </c>
      <c r="X158" s="139">
        <f>+SUM($W$129:W158)</f>
        <v>0.57699537472496787</v>
      </c>
      <c r="Y158" s="157"/>
      <c r="Z158" s="29"/>
      <c r="AA158" s="157"/>
      <c r="AB158" s="157"/>
      <c r="AC158" s="157"/>
      <c r="BB158"/>
      <c r="BC158"/>
    </row>
    <row r="159" spans="2:55" ht="20" customHeight="1" x14ac:dyDescent="0.35">
      <c r="B159" s="146">
        <f t="shared" si="27"/>
        <v>22</v>
      </c>
      <c r="C159" s="147">
        <f>+'ZCB rates'!B204</f>
        <v>45229</v>
      </c>
      <c r="D159" s="148">
        <f>+'ZCB rates'!M204</f>
        <v>-9.9949999998978817E-6</v>
      </c>
      <c r="E159" s="149">
        <f>+'ZCB rates'!N204</f>
        <v>2.1358849999980449E-4</v>
      </c>
      <c r="F159" s="149">
        <f>+'ZCB rates'!O204</f>
        <v>9.5639499999984005E-4</v>
      </c>
      <c r="G159" s="149">
        <f>+'ZCB rates'!P204</f>
        <v>2.547300999999955E-3</v>
      </c>
      <c r="H159" s="150">
        <f>+'ZCB rates'!Q204</f>
        <v>6.5319975000000087E-3</v>
      </c>
      <c r="I159" s="151">
        <f t="shared" si="15"/>
        <v>0.99043567997779314</v>
      </c>
      <c r="J159" s="151">
        <f t="shared" si="16"/>
        <v>0.98216028812606027</v>
      </c>
      <c r="K159" s="151">
        <f t="shared" si="8"/>
        <v>0.96814602820445939</v>
      </c>
      <c r="L159" s="151">
        <f t="shared" si="9"/>
        <v>0.94496612470870867</v>
      </c>
      <c r="M159" s="151">
        <f t="shared" si="10"/>
        <v>0.8782394701408931</v>
      </c>
      <c r="N159" s="152">
        <f t="shared" si="28"/>
        <v>15482.165978021276</v>
      </c>
      <c r="O159" s="153">
        <f t="shared" si="29"/>
        <v>49.328712657430515</v>
      </c>
      <c r="P159" s="154">
        <f t="shared" si="30"/>
        <v>0.25633787466375957</v>
      </c>
      <c r="Q159" s="155">
        <f t="shared" si="13"/>
        <v>1.7044704514535217E-2</v>
      </c>
      <c r="R159" s="158">
        <f t="shared" si="17"/>
        <v>2278.0850743113542</v>
      </c>
      <c r="S159" s="158">
        <f t="shared" si="18"/>
        <v>108731.38197296493</v>
      </c>
      <c r="T159" s="158">
        <f t="shared" si="19"/>
        <v>5189671.6058001686</v>
      </c>
      <c r="U159" s="29"/>
      <c r="V159" s="156">
        <v>7.7598453984282969</v>
      </c>
      <c r="W159" s="155">
        <f t="shared" si="14"/>
        <v>1.8132664377165122E-2</v>
      </c>
      <c r="X159" s="139">
        <f>+SUM($W$129:W159)</f>
        <v>0.59512803910213297</v>
      </c>
      <c r="Y159" s="157"/>
      <c r="Z159" s="139"/>
      <c r="AA159" s="157"/>
      <c r="AB159" s="157"/>
      <c r="AC159" s="157"/>
      <c r="BB159"/>
      <c r="BC159"/>
    </row>
    <row r="160" spans="2:55" ht="20" customHeight="1" x14ac:dyDescent="0.35">
      <c r="B160" s="146">
        <f t="shared" si="27"/>
        <v>21</v>
      </c>
      <c r="C160" s="147">
        <f>+'ZCB rates'!B205</f>
        <v>45236</v>
      </c>
      <c r="D160" s="148">
        <f>+'ZCB rates'!M205</f>
        <v>2.5463999999955936E-5</v>
      </c>
      <c r="E160" s="149">
        <f>+'ZCB rates'!N205</f>
        <v>-1.1304999999166996E-6</v>
      </c>
      <c r="F160" s="149">
        <f>+'ZCB rates'!O205</f>
        <v>-8.7766999999960618E-5</v>
      </c>
      <c r="G160" s="149">
        <f>+'ZCB rates'!P205</f>
        <v>8.7709999999720661E-6</v>
      </c>
      <c r="H160" s="150">
        <f>+'ZCB rates'!Q205</f>
        <v>2.7716724999999687E-3</v>
      </c>
      <c r="I160" s="151">
        <f t="shared" si="15"/>
        <v>0.99047080045923419</v>
      </c>
      <c r="J160" s="151">
        <f t="shared" si="16"/>
        <v>0.98194942229041526</v>
      </c>
      <c r="K160" s="151">
        <f t="shared" si="8"/>
        <v>0.96713565450007022</v>
      </c>
      <c r="L160" s="151">
        <f t="shared" si="9"/>
        <v>0.94257034202182599</v>
      </c>
      <c r="M160" s="151">
        <f t="shared" si="10"/>
        <v>0.87494320570223261</v>
      </c>
      <c r="N160" s="152">
        <f t="shared" si="28"/>
        <v>15440.597110762274</v>
      </c>
      <c r="O160" s="153">
        <f t="shared" si="29"/>
        <v>7.7598453984282969</v>
      </c>
      <c r="P160" s="154">
        <f t="shared" si="30"/>
        <v>0.27269986666357399</v>
      </c>
      <c r="Q160" s="155">
        <f t="shared" si="13"/>
        <v>1.8132664377165122E-2</v>
      </c>
      <c r="R160" s="158">
        <f t="shared" si="17"/>
        <v>37.950801946863777</v>
      </c>
      <c r="S160" s="158">
        <f t="shared" si="18"/>
        <v>233.79296363632037</v>
      </c>
      <c r="T160" s="158">
        <f t="shared" si="19"/>
        <v>1440.2633684100795</v>
      </c>
      <c r="U160" s="29"/>
      <c r="V160" s="156">
        <v>8.8710120551859291</v>
      </c>
      <c r="W160" s="155">
        <f t="shared" si="14"/>
        <v>3.6289903782524722E-3</v>
      </c>
      <c r="X160" s="139">
        <f>+SUM($W$129:W160)</f>
        <v>0.59875702948038545</v>
      </c>
      <c r="Y160" s="157"/>
      <c r="Z160" s="128"/>
      <c r="AA160" s="157"/>
      <c r="AB160" s="157"/>
      <c r="AC160" s="157"/>
      <c r="BB160"/>
      <c r="BC160"/>
    </row>
    <row r="161" spans="2:55" ht="20" customHeight="1" x14ac:dyDescent="0.35">
      <c r="B161" s="146">
        <f t="shared" si="27"/>
        <v>20</v>
      </c>
      <c r="C161" s="147">
        <f>+'ZCB rates'!B206</f>
        <v>45243</v>
      </c>
      <c r="D161" s="148">
        <f>+'ZCB rates'!M206</f>
        <v>-5.2641000000000061E-5</v>
      </c>
      <c r="E161" s="149">
        <f>+'ZCB rates'!N206</f>
        <v>7.709200000004204E-5</v>
      </c>
      <c r="F161" s="149">
        <f>+'ZCB rates'!O206</f>
        <v>3.5280000000007211E-4</v>
      </c>
      <c r="G161" s="149">
        <f>+'ZCB rates'!P206</f>
        <v>6.7929200000010567E-4</v>
      </c>
      <c r="H161" s="150">
        <f>+'ZCB rates'!Q206</f>
        <v>3.5069200000000188E-3</v>
      </c>
      <c r="I161" s="151">
        <f t="shared" ref="I161:I180" si="31">+C$114*EXP(D161)</f>
        <v>0.99039344275841534</v>
      </c>
      <c r="J161" s="151">
        <f t="shared" ref="J161:J180" si="32">+D$114*EXP(E161)</f>
        <v>0.98202623583333482</v>
      </c>
      <c r="K161" s="151">
        <f t="shared" ref="K161:K180" si="33">+E$114*EXP(F161)</f>
        <v>0.9675618364279196</v>
      </c>
      <c r="L161" s="151">
        <f t="shared" ref="L161:L180" si="34">+F$114*EXP(G161)</f>
        <v>0.94320256716655981</v>
      </c>
      <c r="M161" s="151">
        <f t="shared" ref="M161:M180" si="35">+G$114*EXP(H161)</f>
        <v>0.87558674205712461</v>
      </c>
      <c r="N161" s="152">
        <f t="shared" si="28"/>
        <v>15450.944099543613</v>
      </c>
      <c r="O161" s="153">
        <f t="shared" si="29"/>
        <v>18.106834179767247</v>
      </c>
      <c r="P161" s="154">
        <f t="shared" si="30"/>
        <v>0.29010624113146172</v>
      </c>
      <c r="Q161" s="155">
        <f t="shared" ref="Q161:Q180" si="36">+P161/$P$182</f>
        <v>1.9290068486345877E-2</v>
      </c>
      <c r="R161" s="158">
        <f t="shared" ref="R161:R180" si="37">+($O161-$C$123)^2</f>
        <v>272.49461801587887</v>
      </c>
      <c r="S161" s="158">
        <f t="shared" ref="S161:S180" si="38">+($O161-$C$123)^3</f>
        <v>4498.1806556433639</v>
      </c>
      <c r="T161" s="158">
        <f t="shared" ref="T161:T180" si="39">+($O161-$C$123)^4</f>
        <v>74253.316847619732</v>
      </c>
      <c r="U161" s="29"/>
      <c r="V161" s="156">
        <v>9.6016236435989413</v>
      </c>
      <c r="W161" s="155">
        <f t="shared" ref="W161:W180" si="40">+_xlfn.XLOOKUP(V161,$O$129:$O$180,$Q$129:$Q$180)</f>
        <v>2.6633306358503869E-3</v>
      </c>
      <c r="X161" s="139">
        <f>+SUM($W$129:W161)</f>
        <v>0.60142036011623579</v>
      </c>
      <c r="Y161" s="157"/>
      <c r="Z161" s="29"/>
      <c r="AA161" s="157"/>
      <c r="AB161" s="157"/>
      <c r="AC161" s="157"/>
      <c r="BB161"/>
      <c r="BC161"/>
    </row>
    <row r="162" spans="2:55" ht="20" customHeight="1" x14ac:dyDescent="0.35">
      <c r="B162" s="146">
        <f t="shared" si="27"/>
        <v>19</v>
      </c>
      <c r="C162" s="147">
        <f>+'ZCB rates'!B207</f>
        <v>45250</v>
      </c>
      <c r="D162" s="148">
        <f>+'ZCB rates'!M207</f>
        <v>1.2330499999974901E-5</v>
      </c>
      <c r="E162" s="149">
        <f>+'ZCB rates'!N207</f>
        <v>5.9284999999967575E-5</v>
      </c>
      <c r="F162" s="149">
        <f>+'ZCB rates'!O207</f>
        <v>1.6340799999997686E-4</v>
      </c>
      <c r="G162" s="149">
        <f>+'ZCB rates'!P207</f>
        <v>3.5425599999994211E-4</v>
      </c>
      <c r="H162" s="150">
        <f>+'ZCB rates'!Q207</f>
        <v>1.921400000000024E-3</v>
      </c>
      <c r="I162" s="151">
        <f t="shared" si="31"/>
        <v>0.99045779219639862</v>
      </c>
      <c r="J162" s="151">
        <f t="shared" si="32"/>
        <v>0.9820087490478473</v>
      </c>
      <c r="K162" s="151">
        <f t="shared" si="33"/>
        <v>0.96737860530839659</v>
      </c>
      <c r="L162" s="151">
        <f t="shared" si="34"/>
        <v>0.94289604219546197</v>
      </c>
      <c r="M162" s="151">
        <f t="shared" si="35"/>
        <v>0.87419958174166534</v>
      </c>
      <c r="N162" s="152">
        <f t="shared" si="28"/>
        <v>15442.522412608309</v>
      </c>
      <c r="O162" s="153">
        <f t="shared" si="29"/>
        <v>9.6851472444632236</v>
      </c>
      <c r="P162" s="154">
        <f t="shared" si="30"/>
        <v>0.30862366077815073</v>
      </c>
      <c r="Q162" s="155">
        <f t="shared" si="36"/>
        <v>2.0521349453559441E-2</v>
      </c>
      <c r="R162" s="158">
        <f t="shared" si="37"/>
        <v>65.378933695936567</v>
      </c>
      <c r="S162" s="158">
        <f t="shared" si="38"/>
        <v>528.63601769348043</v>
      </c>
      <c r="T162" s="158">
        <f t="shared" si="39"/>
        <v>4274.4049712176702</v>
      </c>
      <c r="U162" s="29"/>
      <c r="V162" s="156">
        <v>9.6851472444632236</v>
      </c>
      <c r="W162" s="155">
        <f t="shared" si="40"/>
        <v>2.0521349453559441E-2</v>
      </c>
      <c r="X162" s="139">
        <f>+SUM($W$129:W162)</f>
        <v>0.62194170956979522</v>
      </c>
      <c r="Y162" s="157"/>
      <c r="Z162" s="29"/>
      <c r="AA162" s="157"/>
      <c r="AB162" s="157"/>
      <c r="AC162" s="157"/>
      <c r="BB162"/>
      <c r="BC162"/>
    </row>
    <row r="163" spans="2:55" ht="20" customHeight="1" x14ac:dyDescent="0.35">
      <c r="B163" s="146">
        <f t="shared" si="27"/>
        <v>18</v>
      </c>
      <c r="C163" s="147">
        <f>+'ZCB rates'!B208</f>
        <v>45257</v>
      </c>
      <c r="D163" s="148">
        <f>+'ZCB rates'!M208</f>
        <v>2.738549999995732E-5</v>
      </c>
      <c r="E163" s="149">
        <f>+'ZCB rates'!N208</f>
        <v>2.0388500000006492E-4</v>
      </c>
      <c r="F163" s="149">
        <f>+'ZCB rates'!O208</f>
        <v>8.6153199999987828E-4</v>
      </c>
      <c r="G163" s="149">
        <f>+'ZCB rates'!P208</f>
        <v>2.7276199999999849E-3</v>
      </c>
      <c r="H163" s="150">
        <f>+'ZCB rates'!Q208</f>
        <v>7.4220499999999162E-3</v>
      </c>
      <c r="I163" s="151">
        <f t="shared" si="31"/>
        <v>0.99047270365070572</v>
      </c>
      <c r="J163" s="151">
        <f t="shared" si="32"/>
        <v>0.98215075777994365</v>
      </c>
      <c r="K163" s="151">
        <f t="shared" si="33"/>
        <v>0.96805419132381576</v>
      </c>
      <c r="L163" s="151">
        <f t="shared" si="34"/>
        <v>0.94513653541903275</v>
      </c>
      <c r="M163" s="151">
        <f t="shared" si="35"/>
        <v>0.87902149734789958</v>
      </c>
      <c r="N163" s="152">
        <f t="shared" si="28"/>
        <v>15486.76477317243</v>
      </c>
      <c r="O163" s="153">
        <f t="shared" si="29"/>
        <v>53.927507808584778</v>
      </c>
      <c r="P163" s="154">
        <f t="shared" si="30"/>
        <v>0.32832304338101148</v>
      </c>
      <c r="Q163" s="155">
        <f t="shared" si="36"/>
        <v>2.1831222822935582E-2</v>
      </c>
      <c r="R163" s="158">
        <f t="shared" si="37"/>
        <v>2738.2284412153631</v>
      </c>
      <c r="S163" s="158">
        <f t="shared" si="38"/>
        <v>143286.24961266248</v>
      </c>
      <c r="T163" s="158">
        <f t="shared" si="39"/>
        <v>7497894.9962807167</v>
      </c>
      <c r="U163" s="29"/>
      <c r="V163" s="156">
        <v>11.02012040729096</v>
      </c>
      <c r="W163" s="155">
        <f t="shared" si="40"/>
        <v>8.1119211384735237E-3</v>
      </c>
      <c r="X163" s="139">
        <f>+SUM($W$129:W163)</f>
        <v>0.6300536307082687</v>
      </c>
      <c r="Y163" s="157"/>
      <c r="Z163" s="29"/>
      <c r="AA163" s="157"/>
      <c r="AB163" s="157"/>
      <c r="AC163" s="157"/>
      <c r="BB163"/>
      <c r="BC163"/>
    </row>
    <row r="164" spans="2:55" ht="20" customHeight="1" x14ac:dyDescent="0.35">
      <c r="B164" s="146">
        <f t="shared" si="27"/>
        <v>17</v>
      </c>
      <c r="C164" s="147">
        <f>+'ZCB rates'!B209</f>
        <v>45264</v>
      </c>
      <c r="D164" s="148">
        <f>+'ZCB rates'!M209</f>
        <v>1.5913199999990948E-4</v>
      </c>
      <c r="E164" s="149">
        <f>+'ZCB rates'!N209</f>
        <v>4.6810700000007459E-4</v>
      </c>
      <c r="F164" s="149">
        <f>+'ZCB rates'!O209</f>
        <v>1.4070080000001613E-3</v>
      </c>
      <c r="G164" s="149">
        <f>+'ZCB rates'!P209</f>
        <v>3.9532959999999968E-3</v>
      </c>
      <c r="H164" s="150">
        <f>+'ZCB rates'!Q209</f>
        <v>1.1784100000000092E-2</v>
      </c>
      <c r="I164" s="151">
        <f t="shared" si="31"/>
        <v>0.99060320355902154</v>
      </c>
      <c r="J164" s="151">
        <f t="shared" si="32"/>
        <v>0.98241029790406109</v>
      </c>
      <c r="K164" s="151">
        <f t="shared" si="33"/>
        <v>0.9685823856974628</v>
      </c>
      <c r="L164" s="151">
        <f t="shared" si="34"/>
        <v>0.94629567680799642</v>
      </c>
      <c r="M164" s="151">
        <f t="shared" si="35"/>
        <v>0.88286420802537158</v>
      </c>
      <c r="N164" s="152">
        <f t="shared" si="28"/>
        <v>15514.068401194276</v>
      </c>
      <c r="O164" s="153">
        <f t="shared" si="29"/>
        <v>81.231135830430503</v>
      </c>
      <c r="P164" s="154">
        <f t="shared" si="30"/>
        <v>0.34927983338405477</v>
      </c>
      <c r="Q164" s="155">
        <f t="shared" si="36"/>
        <v>2.3224705130782532E-2</v>
      </c>
      <c r="R164" s="158">
        <f t="shared" si="37"/>
        <v>6341.2096601262319</v>
      </c>
      <c r="S164" s="158">
        <f t="shared" si="38"/>
        <v>504961.3855306367</v>
      </c>
      <c r="T164" s="158">
        <f t="shared" si="39"/>
        <v>40210939.953678243</v>
      </c>
      <c r="U164" s="29"/>
      <c r="V164" s="156">
        <v>13.864043618992582</v>
      </c>
      <c r="W164" s="155">
        <f t="shared" si="40"/>
        <v>2.4707133117853757E-2</v>
      </c>
      <c r="X164" s="139">
        <f>+SUM($W$129:W164)</f>
        <v>0.65476076382612247</v>
      </c>
      <c r="Y164" s="157"/>
      <c r="Z164" s="29"/>
      <c r="AA164" s="157"/>
      <c r="AB164" s="157"/>
      <c r="AC164" s="157"/>
      <c r="BB164"/>
      <c r="BC164"/>
    </row>
    <row r="165" spans="2:55" ht="20" customHeight="1" x14ac:dyDescent="0.35">
      <c r="B165" s="146">
        <f t="shared" si="27"/>
        <v>16</v>
      </c>
      <c r="C165" s="147">
        <f>+'ZCB rates'!B210</f>
        <v>45271</v>
      </c>
      <c r="D165" s="148">
        <f>+'ZCB rates'!M210</f>
        <v>-5.3787999999987681E-5</v>
      </c>
      <c r="E165" s="149">
        <f>+'ZCB rates'!N210</f>
        <v>-6.7275999999985185E-5</v>
      </c>
      <c r="F165" s="149">
        <f>+'ZCB rates'!O210</f>
        <v>6.5000000000762749E-6</v>
      </c>
      <c r="G165" s="149">
        <f>+'ZCB rates'!P210</f>
        <v>4.5135200000003412E-4</v>
      </c>
      <c r="H165" s="150">
        <f>+'ZCB rates'!Q210</f>
        <v>3.0416799999999386E-3</v>
      </c>
      <c r="I165" s="151">
        <f t="shared" si="31"/>
        <v>0.990392306777788</v>
      </c>
      <c r="J165" s="151">
        <f t="shared" si="32"/>
        <v>0.98188447290298153</v>
      </c>
      <c r="K165" s="151">
        <f t="shared" si="33"/>
        <v>0.96722682777406099</v>
      </c>
      <c r="L165" s="151">
        <f t="shared" si="34"/>
        <v>0.94298759807435795</v>
      </c>
      <c r="M165" s="151">
        <f t="shared" si="35"/>
        <v>0.87517947882616853</v>
      </c>
      <c r="N165" s="152">
        <f t="shared" si="28"/>
        <v>15446.701308982838</v>
      </c>
      <c r="O165" s="153">
        <f t="shared" si="29"/>
        <v>13.864043618992582</v>
      </c>
      <c r="P165" s="154">
        <f t="shared" si="30"/>
        <v>0.37157429083410082</v>
      </c>
      <c r="Q165" s="155">
        <f t="shared" si="36"/>
        <v>2.4707133117853757E-2</v>
      </c>
      <c r="R165" s="158">
        <f t="shared" si="37"/>
        <v>150.42091458732932</v>
      </c>
      <c r="S165" s="158">
        <f t="shared" si="38"/>
        <v>1844.8554239582584</v>
      </c>
      <c r="T165" s="158">
        <f t="shared" si="39"/>
        <v>22626.451545288623</v>
      </c>
      <c r="U165" s="29"/>
      <c r="V165" s="156">
        <v>17.23694193130541</v>
      </c>
      <c r="W165" s="155">
        <f t="shared" si="40"/>
        <v>6.2503530797699394E-2</v>
      </c>
      <c r="X165" s="139">
        <f>+SUM($W$129:W165)</f>
        <v>0.71726429462382191</v>
      </c>
      <c r="Y165" s="157"/>
      <c r="Z165" s="29"/>
      <c r="AA165" s="157"/>
      <c r="AB165" s="157"/>
      <c r="AC165" s="157"/>
      <c r="BB165"/>
      <c r="BC165"/>
    </row>
    <row r="166" spans="2:55" ht="20" customHeight="1" x14ac:dyDescent="0.35">
      <c r="B166" s="146">
        <f t="shared" si="27"/>
        <v>15</v>
      </c>
      <c r="C166" s="147">
        <f>+'ZCB rates'!B211</f>
        <v>45278</v>
      </c>
      <c r="D166" s="148">
        <f>+'ZCB rates'!M211</f>
        <v>-5.7866000000038392E-5</v>
      </c>
      <c r="E166" s="149">
        <f>+'ZCB rates'!N211</f>
        <v>1.4634000000008138E-4</v>
      </c>
      <c r="F166" s="149">
        <f>+'ZCB rates'!O211</f>
        <v>1.0525419999999023E-3</v>
      </c>
      <c r="G166" s="149">
        <f>+'ZCB rates'!P211</f>
        <v>3.6439879999998676E-3</v>
      </c>
      <c r="H166" s="150">
        <f>+'ZCB rates'!Q211</f>
        <v>1.0464220000000069E-2</v>
      </c>
      <c r="I166" s="151">
        <f t="shared" si="31"/>
        <v>0.99038826796619606</v>
      </c>
      <c r="J166" s="151">
        <f t="shared" si="32"/>
        <v>0.98209424154071623</v>
      </c>
      <c r="K166" s="151">
        <f t="shared" si="33"/>
        <v>0.96823911701566645</v>
      </c>
      <c r="L166" s="151">
        <f t="shared" si="34"/>
        <v>0.94600302524686197</v>
      </c>
      <c r="M166" s="151">
        <f t="shared" si="35"/>
        <v>0.88169970188771907</v>
      </c>
      <c r="N166" s="152">
        <f t="shared" si="28"/>
        <v>15506.406601665192</v>
      </c>
      <c r="O166" s="153">
        <f t="shared" si="29"/>
        <v>73.569336301346993</v>
      </c>
      <c r="P166" s="154">
        <f t="shared" si="30"/>
        <v>0.39529179875968168</v>
      </c>
      <c r="Q166" s="155">
        <f t="shared" si="36"/>
        <v>2.6284184167929527E-2</v>
      </c>
      <c r="R166" s="158">
        <f t="shared" si="37"/>
        <v>5179.6683951330197</v>
      </c>
      <c r="S166" s="158">
        <f t="shared" si="38"/>
        <v>372780.28441089991</v>
      </c>
      <c r="T166" s="158">
        <f t="shared" si="39"/>
        <v>26828964.683539871</v>
      </c>
      <c r="U166" s="29"/>
      <c r="V166" s="156">
        <v>18.106834179767247</v>
      </c>
      <c r="W166" s="155">
        <f t="shared" si="40"/>
        <v>1.9290068486345877E-2</v>
      </c>
      <c r="X166" s="139">
        <f>+SUM($W$129:W166)</f>
        <v>0.73655436311016775</v>
      </c>
      <c r="Y166" s="157"/>
      <c r="Z166" s="29"/>
      <c r="AA166" s="157"/>
      <c r="AB166" s="157"/>
      <c r="AC166" s="157"/>
      <c r="BB166"/>
      <c r="BC166"/>
    </row>
    <row r="167" spans="2:55" ht="20" customHeight="1" x14ac:dyDescent="0.35">
      <c r="B167" s="146">
        <f t="shared" si="27"/>
        <v>14</v>
      </c>
      <c r="C167" s="147">
        <f>+'ZCB rates'!B212</f>
        <v>45285</v>
      </c>
      <c r="D167" s="148">
        <f>+'ZCB rates'!M212</f>
        <v>-7.2848666666643335E-5</v>
      </c>
      <c r="E167" s="149">
        <f>+'ZCB rates'!N212</f>
        <v>5.9396666666657234E-5</v>
      </c>
      <c r="F167" s="149">
        <f>+'ZCB rates'!O212</f>
        <v>6.5366533333331429E-4</v>
      </c>
      <c r="G167" s="149">
        <f>+'ZCB rates'!P212</f>
        <v>2.0550400000001251E-3</v>
      </c>
      <c r="H167" s="150">
        <f>+'ZCB rates'!Q212</f>
        <v>3.0750700000001753E-3</v>
      </c>
      <c r="I167" s="151">
        <f t="shared" si="31"/>
        <v>0.99037342942006734</v>
      </c>
      <c r="J167" s="151">
        <f t="shared" si="32"/>
        <v>0.98200885870549715</v>
      </c>
      <c r="K167" s="151">
        <f t="shared" si="33"/>
        <v>0.96785298603857306</v>
      </c>
      <c r="L167" s="151">
        <f t="shared" si="34"/>
        <v>0.94450106921292631</v>
      </c>
      <c r="M167" s="151">
        <f t="shared" si="35"/>
        <v>0.87520870155683761</v>
      </c>
      <c r="N167" s="152">
        <f t="shared" si="28"/>
        <v>15466.420434616537</v>
      </c>
      <c r="O167" s="153">
        <f t="shared" si="29"/>
        <v>33.583169252691732</v>
      </c>
      <c r="P167" s="154">
        <f t="shared" si="30"/>
        <v>0.42052319016987422</v>
      </c>
      <c r="Q167" s="155">
        <f t="shared" si="36"/>
        <v>2.7961898050988865E-2</v>
      </c>
      <c r="R167" s="158">
        <f t="shared" si="37"/>
        <v>1022.9600130374218</v>
      </c>
      <c r="S167" s="158">
        <f t="shared" si="38"/>
        <v>32718.093302624708</v>
      </c>
      <c r="T167" s="158">
        <f t="shared" si="39"/>
        <v>1046447.1882735223</v>
      </c>
      <c r="U167" s="29"/>
      <c r="V167" s="156">
        <v>21.965051438648516</v>
      </c>
      <c r="W167" s="155">
        <f t="shared" si="40"/>
        <v>1.60220222436631E-2</v>
      </c>
      <c r="X167" s="139">
        <f>+SUM($W$129:W167)</f>
        <v>0.75257638535383087</v>
      </c>
      <c r="Y167" s="157"/>
      <c r="Z167" s="29"/>
      <c r="AA167" s="157"/>
      <c r="AB167" s="157"/>
      <c r="AC167" s="157"/>
      <c r="BB167"/>
      <c r="BC167"/>
    </row>
    <row r="168" spans="2:55" ht="20" customHeight="1" x14ac:dyDescent="0.35">
      <c r="B168" s="146">
        <f t="shared" si="27"/>
        <v>13</v>
      </c>
      <c r="C168" s="147">
        <f>+'ZCB rates'!B213</f>
        <v>45292</v>
      </c>
      <c r="D168" s="148">
        <f>+'ZCB rates'!M213</f>
        <v>-5.610833333345383E-6</v>
      </c>
      <c r="E168" s="149">
        <f>+'ZCB rates'!N213</f>
        <v>-1.3845541666657332E-4</v>
      </c>
      <c r="F168" s="149">
        <f>+'ZCB rates'!O213</f>
        <v>-6.7406083333329569E-4</v>
      </c>
      <c r="G168" s="149">
        <f>+'ZCB rates'!P213</f>
        <v>-2.3139500000000212E-3</v>
      </c>
      <c r="H168" s="150">
        <f>+'ZCB rates'!Q213</f>
        <v>-7.8399875000000774E-3</v>
      </c>
      <c r="I168" s="151">
        <f t="shared" si="31"/>
        <v>0.99044002222240524</v>
      </c>
      <c r="J168" s="151">
        <f t="shared" si="32"/>
        <v>0.98181458542627076</v>
      </c>
      <c r="K168" s="151">
        <f t="shared" si="33"/>
        <v>0.96656879501918669</v>
      </c>
      <c r="L168" s="151">
        <f t="shared" si="34"/>
        <v>0.94038355472597102</v>
      </c>
      <c r="M168" s="151">
        <f t="shared" si="35"/>
        <v>0.86570769460123176</v>
      </c>
      <c r="N168" s="152">
        <f t="shared" si="28"/>
        <v>15383.059545875745</v>
      </c>
      <c r="O168" s="153">
        <f t="shared" si="29"/>
        <v>-49.777719488100047</v>
      </c>
      <c r="P168" s="154">
        <f t="shared" si="30"/>
        <v>0.44736509592539803</v>
      </c>
      <c r="Q168" s="155">
        <f t="shared" si="36"/>
        <v>2.9746700054243468E-2</v>
      </c>
      <c r="R168" s="158">
        <f t="shared" si="37"/>
        <v>2639.6107884250714</v>
      </c>
      <c r="S168" s="158">
        <f t="shared" si="38"/>
        <v>-135615.66005712439</v>
      </c>
      <c r="T168" s="158">
        <f t="shared" si="39"/>
        <v>6967545.1143700266</v>
      </c>
      <c r="U168" s="29"/>
      <c r="V168" s="156">
        <v>22.104461226192143</v>
      </c>
      <c r="W168" s="155">
        <f t="shared" si="40"/>
        <v>9.1805354668102364E-3</v>
      </c>
      <c r="X168" s="139">
        <f>+SUM($W$129:W168)</f>
        <v>0.76175692082064106</v>
      </c>
      <c r="Y168" s="157"/>
      <c r="Z168" s="29"/>
      <c r="AA168" s="157"/>
      <c r="AB168" s="157"/>
      <c r="AC168" s="157"/>
      <c r="BB168"/>
      <c r="BC168"/>
    </row>
    <row r="169" spans="2:55" ht="20" customHeight="1" x14ac:dyDescent="0.35">
      <c r="B169" s="146">
        <f t="shared" si="27"/>
        <v>12</v>
      </c>
      <c r="C169" s="147">
        <f>+'ZCB rates'!B214</f>
        <v>45299</v>
      </c>
      <c r="D169" s="148">
        <f>+'ZCB rates'!M214</f>
        <v>-5.2282999999984361E-5</v>
      </c>
      <c r="E169" s="149">
        <f>+'ZCB rates'!N214</f>
        <v>-1.8955725000000841E-4</v>
      </c>
      <c r="F169" s="149">
        <f>+'ZCB rates'!O214</f>
        <v>-5.9937049999993263E-4</v>
      </c>
      <c r="G169" s="149">
        <f>+'ZCB rates'!P214</f>
        <v>-1.5026579999999959E-3</v>
      </c>
      <c r="H169" s="150">
        <f>+'ZCB rates'!Q214</f>
        <v>-2.9541724999999569E-3</v>
      </c>
      <c r="I169" s="151">
        <f t="shared" si="31"/>
        <v>0.9903937973193313</v>
      </c>
      <c r="J169" s="151">
        <f t="shared" si="32"/>
        <v>0.98176441418289417</v>
      </c>
      <c r="K169" s="151">
        <f t="shared" si="33"/>
        <v>0.96664099106081602</v>
      </c>
      <c r="L169" s="151">
        <f t="shared" si="34"/>
        <v>0.94114678994230128</v>
      </c>
      <c r="M169" s="151">
        <f t="shared" si="35"/>
        <v>0.86994773182530782</v>
      </c>
      <c r="N169" s="152">
        <f t="shared" si="28"/>
        <v>15406.291602778932</v>
      </c>
      <c r="O169" s="153">
        <f t="shared" si="29"/>
        <v>-26.545662584912861</v>
      </c>
      <c r="P169" s="154">
        <f t="shared" si="30"/>
        <v>0.47592031481425329</v>
      </c>
      <c r="Q169" s="155">
        <f t="shared" si="36"/>
        <v>3.1645425589620711E-2</v>
      </c>
      <c r="R169" s="158">
        <f t="shared" si="37"/>
        <v>792.14585254270605</v>
      </c>
      <c r="S169" s="158">
        <f t="shared" si="38"/>
        <v>-22295.012955719707</v>
      </c>
      <c r="T169" s="158">
        <f t="shared" si="39"/>
        <v>627495.05170061055</v>
      </c>
      <c r="U169" s="29"/>
      <c r="V169" s="156">
        <v>24.761328428616252</v>
      </c>
      <c r="W169" s="155">
        <f t="shared" si="40"/>
        <v>3.2065758982238847E-3</v>
      </c>
      <c r="X169" s="139">
        <f>+SUM($W$129:W169)</f>
        <v>0.76496349671886499</v>
      </c>
      <c r="Y169" s="157"/>
      <c r="Z169" s="29"/>
      <c r="AA169" s="157"/>
      <c r="AB169" s="157"/>
      <c r="AC169" s="157"/>
      <c r="BB169"/>
      <c r="BC169"/>
    </row>
    <row r="170" spans="2:55" ht="20" customHeight="1" x14ac:dyDescent="0.35">
      <c r="B170" s="146">
        <f t="shared" si="27"/>
        <v>11</v>
      </c>
      <c r="C170" s="147">
        <f>+'ZCB rates'!B215</f>
        <v>45306</v>
      </c>
      <c r="D170" s="148">
        <f>+'ZCB rates'!M215</f>
        <v>-1.3517049999999664E-4</v>
      </c>
      <c r="E170" s="149">
        <f>+'ZCB rates'!N215</f>
        <v>-2.0138899999999556E-4</v>
      </c>
      <c r="F170" s="149">
        <f>+'ZCB rates'!O215</f>
        <v>-2.7260800000002453E-4</v>
      </c>
      <c r="G170" s="149">
        <f>+'ZCB rates'!P215</f>
        <v>-6.3509200000004399E-4</v>
      </c>
      <c r="H170" s="150">
        <f>+'ZCB rates'!Q215</f>
        <v>-3.7011400000001118E-3</v>
      </c>
      <c r="I170" s="151">
        <f t="shared" si="31"/>
        <v>0.99031170945553193</v>
      </c>
      <c r="J170" s="151">
        <f t="shared" si="32"/>
        <v>0.9817527982605051</v>
      </c>
      <c r="K170" s="151">
        <f t="shared" si="33"/>
        <v>0.96695690469921158</v>
      </c>
      <c r="L170" s="151">
        <f t="shared" si="34"/>
        <v>0.94196365118755021</v>
      </c>
      <c r="M170" s="151">
        <f t="shared" si="35"/>
        <v>0.86929815178072967</v>
      </c>
      <c r="N170" s="152">
        <f t="shared" si="28"/>
        <v>15414.796566287578</v>
      </c>
      <c r="O170" s="153">
        <f t="shared" si="29"/>
        <v>-18.040699076267629</v>
      </c>
      <c r="P170" s="154">
        <f t="shared" si="30"/>
        <v>0.5062982072492056</v>
      </c>
      <c r="Q170" s="155">
        <f t="shared" si="36"/>
        <v>3.3665346371936931E-2</v>
      </c>
      <c r="R170" s="158">
        <f t="shared" si="37"/>
        <v>385.73440212139741</v>
      </c>
      <c r="S170" s="158">
        <f t="shared" si="38"/>
        <v>-7575.8708149366748</v>
      </c>
      <c r="T170" s="158">
        <f t="shared" si="39"/>
        <v>148791.02897995192</v>
      </c>
      <c r="U170" s="29"/>
      <c r="V170" s="156">
        <v>24.802081851734329</v>
      </c>
      <c r="W170" s="155">
        <f t="shared" si="40"/>
        <v>1.4157058854500717E-2</v>
      </c>
      <c r="X170" s="139">
        <f>+SUM($W$129:W170)</f>
        <v>0.77912055557336568</v>
      </c>
      <c r="Y170" s="157"/>
      <c r="Z170" s="29"/>
      <c r="AA170" s="157"/>
      <c r="AB170" s="157"/>
      <c r="AC170" s="157"/>
      <c r="BB170"/>
      <c r="BC170"/>
    </row>
    <row r="171" spans="2:55" ht="20" customHeight="1" x14ac:dyDescent="0.3">
      <c r="B171" s="146">
        <f t="shared" si="27"/>
        <v>10</v>
      </c>
      <c r="C171" s="147">
        <f>+'ZCB rates'!B216</f>
        <v>45313</v>
      </c>
      <c r="D171" s="148">
        <f>+'ZCB rates'!M216</f>
        <v>-5.2529999999996243E-6</v>
      </c>
      <c r="E171" s="149">
        <f>+'ZCB rates'!N216</f>
        <v>-2.8039000000115993E-5</v>
      </c>
      <c r="F171" s="149">
        <f>+'ZCB rates'!O216</f>
        <v>-1.0082600000004951E-4</v>
      </c>
      <c r="G171" s="149">
        <f>+'ZCB rates'!P216</f>
        <v>-2.6579199999994611E-4</v>
      </c>
      <c r="H171" s="150">
        <f>+'ZCB rates'!Q216</f>
        <v>-6.5293000000003982E-4</v>
      </c>
      <c r="I171" s="151">
        <f t="shared" si="31"/>
        <v>0.99044037663492324</v>
      </c>
      <c r="J171" s="151">
        <f t="shared" si="32"/>
        <v>0.98192299985988085</v>
      </c>
      <c r="K171" s="151">
        <f t="shared" si="33"/>
        <v>0.96712302475802403</v>
      </c>
      <c r="L171" s="151">
        <f t="shared" si="34"/>
        <v>0.94231158260551584</v>
      </c>
      <c r="M171" s="151">
        <f t="shared" si="35"/>
        <v>0.8719519977850646</v>
      </c>
      <c r="N171" s="152">
        <f t="shared" si="28"/>
        <v>15427.77982753075</v>
      </c>
      <c r="O171" s="153">
        <f t="shared" si="29"/>
        <v>-5.0574378330948093</v>
      </c>
      <c r="P171" s="154">
        <f t="shared" si="30"/>
        <v>0.53861511409489959</v>
      </c>
      <c r="Q171" s="155">
        <f t="shared" si="36"/>
        <v>3.5814198268018009E-2</v>
      </c>
      <c r="R171" s="158">
        <f t="shared" si="37"/>
        <v>44.313798507076214</v>
      </c>
      <c r="S171" s="158">
        <f t="shared" si="38"/>
        <v>-294.99079748880882</v>
      </c>
      <c r="T171" s="158">
        <f t="shared" si="39"/>
        <v>1963.7127381257501</v>
      </c>
      <c r="U171" s="29"/>
      <c r="V171" s="156">
        <v>33.583169252691732</v>
      </c>
      <c r="W171" s="155">
        <f t="shared" si="40"/>
        <v>2.7961898050988865E-2</v>
      </c>
      <c r="X171" s="139">
        <f>+SUM($W$129:W171)</f>
        <v>0.8070824536243546</v>
      </c>
      <c r="Y171" s="157"/>
      <c r="Z171" s="29"/>
      <c r="AA171" s="157"/>
      <c r="AB171" s="157"/>
      <c r="AC171" s="157"/>
    </row>
    <row r="172" spans="2:55" ht="20" customHeight="1" x14ac:dyDescent="0.3">
      <c r="B172" s="146">
        <f t="shared" si="27"/>
        <v>9</v>
      </c>
      <c r="C172" s="147">
        <f>+'ZCB rates'!B217</f>
        <v>45320</v>
      </c>
      <c r="D172" s="148">
        <f>+'ZCB rates'!M217</f>
        <v>9.2559500000080109E-5</v>
      </c>
      <c r="E172" s="149">
        <f>+'ZCB rates'!N217</f>
        <v>2.4748600000004878E-4</v>
      </c>
      <c r="F172" s="149">
        <f>+'ZCB rates'!O217</f>
        <v>7.0191000000013935E-4</v>
      </c>
      <c r="G172" s="149">
        <f>+'ZCB rates'!P217</f>
        <v>1.9393119999999348E-3</v>
      </c>
      <c r="H172" s="150">
        <f>+'ZCB rates'!Q217</f>
        <v>5.5474800000000907E-3</v>
      </c>
      <c r="I172" s="151">
        <f t="shared" si="31"/>
        <v>0.99053725882233012</v>
      </c>
      <c r="J172" s="151">
        <f t="shared" si="32"/>
        <v>0.98219358146870461</v>
      </c>
      <c r="K172" s="151">
        <f t="shared" si="33"/>
        <v>0.96789968090964718</v>
      </c>
      <c r="L172" s="151">
        <f t="shared" si="34"/>
        <v>0.94439177031778154</v>
      </c>
      <c r="M172" s="151">
        <f t="shared" si="35"/>
        <v>0.8773752535013567</v>
      </c>
      <c r="N172" s="152">
        <f t="shared" si="28"/>
        <v>15471.970778871169</v>
      </c>
      <c r="O172" s="153">
        <f t="shared" si="29"/>
        <v>39.133513507324096</v>
      </c>
      <c r="P172" s="154">
        <f t="shared" si="30"/>
        <v>0.57299480222861654</v>
      </c>
      <c r="Q172" s="155">
        <f t="shared" si="36"/>
        <v>3.810021092342341E-2</v>
      </c>
      <c r="R172" s="158">
        <f t="shared" si="37"/>
        <v>1408.8079369285613</v>
      </c>
      <c r="S172" s="158">
        <f t="shared" si="38"/>
        <v>52878.324362822321</v>
      </c>
      <c r="T172" s="158">
        <f t="shared" si="39"/>
        <v>1984739.803152909</v>
      </c>
      <c r="U172" s="29"/>
      <c r="V172" s="156">
        <v>34.575727777128122</v>
      </c>
      <c r="W172" s="155">
        <f t="shared" si="40"/>
        <v>4.3692033295277448E-3</v>
      </c>
      <c r="X172" s="139">
        <f>+SUM($W$129:W172)</f>
        <v>0.81145165695388233</v>
      </c>
      <c r="Y172" s="157"/>
      <c r="Z172" s="29"/>
      <c r="AA172" s="157"/>
      <c r="AB172" s="157"/>
      <c r="AC172" s="157"/>
    </row>
    <row r="173" spans="2:55" ht="20" customHeight="1" x14ac:dyDescent="0.3">
      <c r="B173" s="146">
        <f t="shared" si="27"/>
        <v>8</v>
      </c>
      <c r="C173" s="147">
        <f>+'ZCB rates'!B218</f>
        <v>45327</v>
      </c>
      <c r="D173" s="148">
        <f>+'ZCB rates'!M218</f>
        <v>3.4520000000344265E-6</v>
      </c>
      <c r="E173" s="149">
        <f>+'ZCB rates'!N218</f>
        <v>-2.0704899999993064E-4</v>
      </c>
      <c r="F173" s="149">
        <f>+'ZCB rates'!O218</f>
        <v>-1.0126300000000686E-3</v>
      </c>
      <c r="G173" s="149">
        <f>+'ZCB rates'!P218</f>
        <v>-3.1101799999999863E-3</v>
      </c>
      <c r="H173" s="150">
        <f>+'ZCB rates'!Q218</f>
        <v>-7.4687299999999391E-3</v>
      </c>
      <c r="I173" s="151">
        <f t="shared" si="31"/>
        <v>0.99044899845592826</v>
      </c>
      <c r="J173" s="151">
        <f t="shared" si="32"/>
        <v>0.9817472415553925</v>
      </c>
      <c r="K173" s="151">
        <f t="shared" si="33"/>
        <v>0.96624160001992554</v>
      </c>
      <c r="L173" s="151">
        <f t="shared" si="34"/>
        <v>0.93963509114231392</v>
      </c>
      <c r="M173" s="151">
        <f t="shared" si="35"/>
        <v>0.86602915474421249</v>
      </c>
      <c r="N173" s="152">
        <f t="shared" si="28"/>
        <v>15374.365541275427</v>
      </c>
      <c r="O173" s="153">
        <f t="shared" si="29"/>
        <v>-58.471724088418341</v>
      </c>
      <c r="P173" s="154">
        <f t="shared" si="30"/>
        <v>0.60956893854108152</v>
      </c>
      <c r="Q173" s="155">
        <f t="shared" si="36"/>
        <v>4.0532139280237682E-2</v>
      </c>
      <c r="R173" s="158">
        <f t="shared" si="37"/>
        <v>3608.5427337777637</v>
      </c>
      <c r="S173" s="158">
        <f t="shared" si="38"/>
        <v>-216769.30197414471</v>
      </c>
      <c r="T173" s="158">
        <f t="shared" si="39"/>
        <v>13021580.661500296</v>
      </c>
      <c r="U173" s="29"/>
      <c r="V173" s="156">
        <v>35.645122429499679</v>
      </c>
      <c r="W173" s="155">
        <f t="shared" si="40"/>
        <v>5.191443262407635E-2</v>
      </c>
      <c r="X173" s="139">
        <f>+SUM($W$129:W173)</f>
        <v>0.86336608957795868</v>
      </c>
      <c r="Y173" s="157"/>
      <c r="Z173" s="29"/>
      <c r="AA173" s="157"/>
      <c r="AB173" s="157"/>
      <c r="AC173" s="157"/>
    </row>
    <row r="174" spans="2:55" ht="20" customHeight="1" x14ac:dyDescent="0.3">
      <c r="B174" s="146">
        <f t="shared" si="27"/>
        <v>7</v>
      </c>
      <c r="C174" s="147">
        <f>+'ZCB rates'!B219</f>
        <v>45334</v>
      </c>
      <c r="D174" s="148">
        <f>+'ZCB rates'!M219</f>
        <v>-1.0259500000031309E-5</v>
      </c>
      <c r="E174" s="149">
        <f>+'ZCB rates'!N219</f>
        <v>-1.3051900000003377E-4</v>
      </c>
      <c r="F174" s="149">
        <f>+'ZCB rates'!O219</f>
        <v>-5.7547599999999447E-4</v>
      </c>
      <c r="G174" s="149">
        <f>+'ZCB rates'!P219</f>
        <v>-1.7265320000000835E-3</v>
      </c>
      <c r="H174" s="150">
        <f>+'ZCB rates'!Q219</f>
        <v>-3.4785700000000488E-3</v>
      </c>
      <c r="I174" s="151">
        <f t="shared" si="31"/>
        <v>0.99043541800759027</v>
      </c>
      <c r="J174" s="151">
        <f t="shared" si="32"/>
        <v>0.98182237754683077</v>
      </c>
      <c r="K174" s="151">
        <f t="shared" si="33"/>
        <v>0.96666408873992948</v>
      </c>
      <c r="L174" s="151">
        <f t="shared" si="34"/>
        <v>0.94093611522902487</v>
      </c>
      <c r="M174" s="151">
        <f t="shared" si="35"/>
        <v>0.8694916530033564</v>
      </c>
      <c r="N174" s="152">
        <f t="shared" si="28"/>
        <v>15402.181747844254</v>
      </c>
      <c r="O174" s="153">
        <f t="shared" si="29"/>
        <v>-30.65551751959174</v>
      </c>
      <c r="P174" s="154">
        <f t="shared" si="30"/>
        <v>0.64847759419263984</v>
      </c>
      <c r="Q174" s="155">
        <f t="shared" si="36"/>
        <v>4.3119297106635826E-2</v>
      </c>
      <c r="R174" s="158">
        <f t="shared" si="37"/>
        <v>1040.3811993375284</v>
      </c>
      <c r="S174" s="158">
        <f t="shared" si="38"/>
        <v>-33557.433886430626</v>
      </c>
      <c r="T174" s="158">
        <f t="shared" si="39"/>
        <v>1082393.039934994</v>
      </c>
      <c r="U174" s="29"/>
      <c r="V174" s="156">
        <v>39.133513507324096</v>
      </c>
      <c r="W174" s="155">
        <f t="shared" si="40"/>
        <v>3.810021092342341E-2</v>
      </c>
      <c r="X174" s="139">
        <f>+SUM($W$129:W174)</f>
        <v>0.9014663005013821</v>
      </c>
      <c r="Y174" s="157"/>
      <c r="Z174" s="29"/>
      <c r="AA174" s="157"/>
      <c r="AB174" s="157"/>
      <c r="AC174" s="157"/>
    </row>
    <row r="175" spans="2:55" ht="20" customHeight="1" x14ac:dyDescent="0.3">
      <c r="B175" s="146">
        <f t="shared" si="27"/>
        <v>6</v>
      </c>
      <c r="C175" s="147">
        <f>+'ZCB rates'!B220</f>
        <v>45341</v>
      </c>
      <c r="D175" s="148">
        <f>+'ZCB rates'!M220</f>
        <v>1.6597000000089393E-5</v>
      </c>
      <c r="E175" s="149">
        <f>+'ZCB rates'!N220</f>
        <v>-3.9282000000069363E-5</v>
      </c>
      <c r="F175" s="149">
        <f>+'ZCB rates'!O220</f>
        <v>-2.6520000000000157E-4</v>
      </c>
      <c r="G175" s="149">
        <f>+'ZCB rates'!P220</f>
        <v>-7.7088400000001616E-4</v>
      </c>
      <c r="H175" s="150">
        <f>+'ZCB rates'!Q220</f>
        <v>-9.2422000000008165E-4</v>
      </c>
      <c r="I175" s="151">
        <f t="shared" si="31"/>
        <v>0.9904620179935838</v>
      </c>
      <c r="J175" s="151">
        <f t="shared" si="32"/>
        <v>0.98191196016165327</v>
      </c>
      <c r="K175" s="151">
        <f t="shared" si="33"/>
        <v>0.96696406794249423</v>
      </c>
      <c r="L175" s="151">
        <f t="shared" si="34"/>
        <v>0.94183574874368903</v>
      </c>
      <c r="M175" s="151">
        <f t="shared" si="35"/>
        <v>0.87171547801176075</v>
      </c>
      <c r="N175" s="152">
        <f t="shared" si="28"/>
        <v>15420.88221804686</v>
      </c>
      <c r="O175" s="153">
        <f t="shared" si="29"/>
        <v>-11.955047316985656</v>
      </c>
      <c r="P175" s="154">
        <f t="shared" si="30"/>
        <v>0.68986978105599994</v>
      </c>
      <c r="Q175" s="155">
        <f t="shared" si="36"/>
        <v>4.5871592666633862E-2</v>
      </c>
      <c r="R175" s="158">
        <f t="shared" si="37"/>
        <v>183.72367037101591</v>
      </c>
      <c r="S175" s="158">
        <f t="shared" si="38"/>
        <v>-2490.2770690817911</v>
      </c>
      <c r="T175" s="158">
        <f t="shared" si="39"/>
        <v>33754.387054597712</v>
      </c>
      <c r="U175" s="29"/>
      <c r="V175" s="156">
        <v>45.937580777495896</v>
      </c>
      <c r="W175" s="155">
        <f t="shared" si="40"/>
        <v>6.7376319068778931E-3</v>
      </c>
      <c r="X175" s="139">
        <f>+SUM($W$129:W175)</f>
        <v>0.90820393240826003</v>
      </c>
      <c r="Y175" s="157"/>
      <c r="Z175" s="29"/>
      <c r="AA175" s="157"/>
      <c r="AB175" s="157"/>
      <c r="AC175" s="157"/>
    </row>
    <row r="176" spans="2:55" ht="20" customHeight="1" x14ac:dyDescent="0.3">
      <c r="B176" s="146">
        <f t="shared" si="27"/>
        <v>5</v>
      </c>
      <c r="C176" s="147">
        <f>+'ZCB rates'!B221</f>
        <v>45348</v>
      </c>
      <c r="D176" s="148">
        <f>+'ZCB rates'!M221</f>
        <v>-1.8090000000029946E-5</v>
      </c>
      <c r="E176" s="149">
        <f>+'ZCB rates'!N221</f>
        <v>-1.2644100000004074E-4</v>
      </c>
      <c r="F176" s="149">
        <f>+'ZCB rates'!O221</f>
        <v>-5.0035600000003608E-4</v>
      </c>
      <c r="G176" s="149">
        <f>+'ZCB rates'!P221</f>
        <v>-1.4061919999998928E-3</v>
      </c>
      <c r="H176" s="150">
        <f>+'ZCB rates'!Q221</f>
        <v>-2.780939999999938E-3</v>
      </c>
      <c r="I176" s="151">
        <f t="shared" si="31"/>
        <v>0.99042766243341462</v>
      </c>
      <c r="J176" s="151">
        <f t="shared" si="32"/>
        <v>0.98182638142665024</v>
      </c>
      <c r="K176" s="151">
        <f t="shared" si="33"/>
        <v>0.96673670727379357</v>
      </c>
      <c r="L176" s="151">
        <f t="shared" si="34"/>
        <v>0.94123758298769045</v>
      </c>
      <c r="M176" s="151">
        <f t="shared" si="35"/>
        <v>0.87009844809986281</v>
      </c>
      <c r="N176" s="152">
        <f t="shared" si="28"/>
        <v>15407.988647244059</v>
      </c>
      <c r="O176" s="153">
        <f t="shared" si="29"/>
        <v>-24.848618119785897</v>
      </c>
      <c r="P176" s="154">
        <f t="shared" si="30"/>
        <v>0.73390402239999986</v>
      </c>
      <c r="Q176" s="155">
        <f t="shared" si="36"/>
        <v>4.8799566666631766E-2</v>
      </c>
      <c r="R176" s="158">
        <f t="shared" si="37"/>
        <v>699.49888843393239</v>
      </c>
      <c r="S176" s="158">
        <f t="shared" si="38"/>
        <v>-18500.375488322625</v>
      </c>
      <c r="T176" s="158">
        <f t="shared" si="39"/>
        <v>489298.69492030703</v>
      </c>
      <c r="U176" s="29"/>
      <c r="V176" s="156">
        <v>49.328712657430515</v>
      </c>
      <c r="W176" s="155">
        <f t="shared" si="40"/>
        <v>1.7044704514535217E-2</v>
      </c>
      <c r="X176" s="139">
        <f>+SUM($W$129:W176)</f>
        <v>0.92524863692279524</v>
      </c>
      <c r="Y176" s="157"/>
      <c r="Z176" s="29"/>
      <c r="AA176" s="157"/>
      <c r="AB176" s="157"/>
      <c r="AC176" s="157"/>
    </row>
    <row r="177" spans="2:29" ht="20" customHeight="1" x14ac:dyDescent="0.3">
      <c r="B177" s="146">
        <f t="shared" si="27"/>
        <v>4</v>
      </c>
      <c r="C177" s="147">
        <f>+'ZCB rates'!B222</f>
        <v>45355</v>
      </c>
      <c r="D177" s="148">
        <f>+'ZCB rates'!M222</f>
        <v>-6.0490000000283976E-6</v>
      </c>
      <c r="E177" s="149">
        <f>+'ZCB rates'!N222</f>
        <v>7.0020999999961564E-5</v>
      </c>
      <c r="F177" s="149">
        <f>+'ZCB rates'!O222</f>
        <v>4.1021799999998326E-4</v>
      </c>
      <c r="G177" s="149">
        <f>+'ZCB rates'!P222</f>
        <v>1.5541839999998941E-3</v>
      </c>
      <c r="H177" s="150">
        <f>+'ZCB rates'!Q222</f>
        <v>6.0202500000000681E-3</v>
      </c>
      <c r="I177" s="151">
        <f t="shared" si="31"/>
        <v>0.99043958824469713</v>
      </c>
      <c r="J177" s="151">
        <f t="shared" si="32"/>
        <v>0.9820192919503713</v>
      </c>
      <c r="K177" s="151">
        <f t="shared" si="33"/>
        <v>0.96761739348841591</v>
      </c>
      <c r="L177" s="151">
        <f t="shared" si="34"/>
        <v>0.94402812863285468</v>
      </c>
      <c r="M177" s="151">
        <f t="shared" si="35"/>
        <v>0.87779014826712598</v>
      </c>
      <c r="N177" s="152">
        <f t="shared" si="28"/>
        <v>15468.482387793345</v>
      </c>
      <c r="O177" s="153">
        <f t="shared" si="29"/>
        <v>35.645122429499679</v>
      </c>
      <c r="P177" s="154">
        <f t="shared" si="30"/>
        <v>0.78074895999999994</v>
      </c>
      <c r="Q177" s="155">
        <f t="shared" si="36"/>
        <v>5.191443262407635E-2</v>
      </c>
      <c r="R177" s="158">
        <f t="shared" si="37"/>
        <v>1159.1096375949521</v>
      </c>
      <c r="S177" s="158">
        <f t="shared" si="38"/>
        <v>39462.698122287722</v>
      </c>
      <c r="T177" s="158">
        <f t="shared" si="39"/>
        <v>1343535.1519655013</v>
      </c>
      <c r="U177" s="29"/>
      <c r="V177" s="156">
        <v>50.854801988178224</v>
      </c>
      <c r="W177" s="155">
        <f t="shared" si="40"/>
        <v>3.411250955557324E-3</v>
      </c>
      <c r="X177" s="139">
        <f>+SUM($W$129:W177)</f>
        <v>0.92865988787835252</v>
      </c>
      <c r="Y177" s="157"/>
      <c r="Z177" s="29"/>
      <c r="AA177" s="157"/>
      <c r="AB177" s="157"/>
      <c r="AC177" s="157"/>
    </row>
    <row r="178" spans="2:29" ht="20" customHeight="1" x14ac:dyDescent="0.3">
      <c r="B178" s="146">
        <f t="shared" si="27"/>
        <v>3</v>
      </c>
      <c r="C178" s="147">
        <f>+'ZCB rates'!B223</f>
        <v>45362</v>
      </c>
      <c r="D178" s="148">
        <f>+'ZCB rates'!M223</f>
        <v>-5.893199999995585E-5</v>
      </c>
      <c r="E178" s="149">
        <f>+'ZCB rates'!N223</f>
        <v>-5.0984999999912255E-5</v>
      </c>
      <c r="F178" s="149">
        <f>+'ZCB rates'!O223</f>
        <v>6.2620000000067011E-5</v>
      </c>
      <c r="G178" s="149">
        <f>+'ZCB rates'!P223</f>
        <v>2.8913999999994841E-4</v>
      </c>
      <c r="H178" s="150">
        <f>+'ZCB rates'!Q223</f>
        <v>-5.0232000000003762E-4</v>
      </c>
      <c r="I178" s="151">
        <f t="shared" si="31"/>
        <v>0.99038721221286519</v>
      </c>
      <c r="J178" s="151">
        <f t="shared" si="32"/>
        <v>0.98190046891322491</v>
      </c>
      <c r="K178" s="151">
        <f t="shared" si="33"/>
        <v>0.96728111006678252</v>
      </c>
      <c r="L178" s="151">
        <f t="shared" si="34"/>
        <v>0.94283464657571869</v>
      </c>
      <c r="M178" s="151">
        <f t="shared" si="35"/>
        <v>0.87208333236535329</v>
      </c>
      <c r="N178" s="152">
        <f t="shared" si="28"/>
        <v>15434.939337239995</v>
      </c>
      <c r="O178" s="153">
        <f t="shared" si="29"/>
        <v>2.1020718761501485</v>
      </c>
      <c r="P178" s="154">
        <f t="shared" si="30"/>
        <v>0.83058399999999988</v>
      </c>
      <c r="Q178" s="155">
        <f t="shared" si="36"/>
        <v>5.5228119812847178E-2</v>
      </c>
      <c r="R178" s="158">
        <f t="shared" si="37"/>
        <v>0.25265571480598431</v>
      </c>
      <c r="S178" s="158">
        <f t="shared" si="38"/>
        <v>0.12699706639230529</v>
      </c>
      <c r="T178" s="158">
        <f t="shared" si="39"/>
        <v>6.3834910224122882E-2</v>
      </c>
      <c r="U178" s="29"/>
      <c r="V178" s="156">
        <v>53.927507808584778</v>
      </c>
      <c r="W178" s="155">
        <f t="shared" si="40"/>
        <v>2.1831222822935582E-2</v>
      </c>
      <c r="X178" s="139">
        <f>+SUM($W$129:W178)</f>
        <v>0.95049111070128811</v>
      </c>
      <c r="Y178" s="157"/>
      <c r="Z178" s="29"/>
      <c r="AA178" s="157"/>
      <c r="AB178" s="157"/>
      <c r="AC178" s="157"/>
    </row>
    <row r="179" spans="2:29" ht="20" customHeight="1" x14ac:dyDescent="0.3">
      <c r="B179" s="146">
        <f t="shared" si="27"/>
        <v>2</v>
      </c>
      <c r="C179" s="147">
        <f>+'ZCB rates'!B224</f>
        <v>45369</v>
      </c>
      <c r="D179" s="148">
        <f>+'ZCB rates'!M224</f>
        <v>7.2678500000059108E-5</v>
      </c>
      <c r="E179" s="149">
        <f>+'ZCB rates'!N224</f>
        <v>6.8632000000042273E-5</v>
      </c>
      <c r="F179" s="149">
        <f>+'ZCB rates'!O224</f>
        <v>-8.263200000001048E-5</v>
      </c>
      <c r="G179" s="149">
        <f>+'ZCB rates'!P224</f>
        <v>-6.0019600000006852E-4</v>
      </c>
      <c r="H179" s="150">
        <f>+'ZCB rates'!Q224</f>
        <v>-1.8617600000000454E-3</v>
      </c>
      <c r="I179" s="151">
        <f t="shared" si="31"/>
        <v>0.99051756614684316</v>
      </c>
      <c r="J179" s="151">
        <f t="shared" si="32"/>
        <v>0.98201792792652209</v>
      </c>
      <c r="K179" s="151">
        <f t="shared" si="33"/>
        <v>0.96714062075440688</v>
      </c>
      <c r="L179" s="151">
        <f t="shared" si="34"/>
        <v>0.94199652252465782</v>
      </c>
      <c r="M179" s="151">
        <f t="shared" si="35"/>
        <v>0.8708985928735874</v>
      </c>
      <c r="N179" s="152">
        <f t="shared" si="28"/>
        <v>15420.442700993723</v>
      </c>
      <c r="O179" s="153">
        <f t="shared" si="29"/>
        <v>-12.39456437012268</v>
      </c>
      <c r="P179" s="154">
        <f t="shared" si="30"/>
        <v>0.88359999999999994</v>
      </c>
      <c r="Q179" s="155">
        <f t="shared" si="36"/>
        <v>5.875331894983743E-2</v>
      </c>
      <c r="R179" s="158">
        <f t="shared" si="37"/>
        <v>195.83168746767026</v>
      </c>
      <c r="S179" s="158">
        <f t="shared" si="38"/>
        <v>-2740.4661957451217</v>
      </c>
      <c r="T179" s="158">
        <f t="shared" si="39"/>
        <v>38350.049816435283</v>
      </c>
      <c r="U179" s="29"/>
      <c r="V179" s="156">
        <v>73.569336301346993</v>
      </c>
      <c r="W179" s="155">
        <f t="shared" si="40"/>
        <v>2.6284184167929527E-2</v>
      </c>
      <c r="X179" s="139">
        <f>+SUM($W$129:W179)</f>
        <v>0.97677529486921766</v>
      </c>
      <c r="Y179" s="157"/>
      <c r="Z179" s="29"/>
      <c r="AA179" s="157"/>
      <c r="AB179" s="157"/>
      <c r="AC179" s="157"/>
    </row>
    <row r="180" spans="2:29" ht="20" customHeight="1" x14ac:dyDescent="0.3">
      <c r="B180" s="146">
        <v>1</v>
      </c>
      <c r="C180" s="147">
        <f>+'ZCB rates'!B225</f>
        <v>45376</v>
      </c>
      <c r="D180" s="148">
        <f>+'ZCB rates'!M225</f>
        <v>1.1035062500010062E-4</v>
      </c>
      <c r="E180" s="149">
        <f>+'ZCB rates'!N225</f>
        <v>2.1406474999995429E-4</v>
      </c>
      <c r="F180" s="149">
        <f>+'ZCB rates'!O225</f>
        <v>4.157255000000079E-4</v>
      </c>
      <c r="G180" s="149">
        <f>+'ZCB rates'!P225</f>
        <v>8.4628000000010737E-4</v>
      </c>
      <c r="H180" s="150">
        <f>+'ZCB rates'!Q225</f>
        <v>2.4576149999999521E-3</v>
      </c>
      <c r="I180" s="151">
        <f t="shared" si="31"/>
        <v>0.99055488175128448</v>
      </c>
      <c r="J180" s="151">
        <f t="shared" si="32"/>
        <v>0.98216075588000895</v>
      </c>
      <c r="K180" s="151">
        <f t="shared" si="33"/>
        <v>0.96762272265588578</v>
      </c>
      <c r="L180" s="151">
        <f t="shared" si="34"/>
        <v>0.94336008382817593</v>
      </c>
      <c r="M180" s="151">
        <f t="shared" si="35"/>
        <v>0.87466846637063977</v>
      </c>
      <c r="N180" s="152">
        <f t="shared" si="28"/>
        <v>15450.074207295151</v>
      </c>
      <c r="O180" s="153">
        <f t="shared" si="29"/>
        <v>17.23694193130541</v>
      </c>
      <c r="P180" s="154">
        <f>+Lambda^B180</f>
        <v>0.94</v>
      </c>
      <c r="Q180" s="155">
        <f t="shared" si="36"/>
        <v>6.2503530797699394E-2</v>
      </c>
      <c r="R180" s="158">
        <f t="shared" si="37"/>
        <v>244.53199279276686</v>
      </c>
      <c r="S180" s="158">
        <f t="shared" si="38"/>
        <v>3823.8736233364002</v>
      </c>
      <c r="T180" s="158">
        <f t="shared" si="39"/>
        <v>59795.895499201783</v>
      </c>
      <c r="U180" s="29"/>
      <c r="V180" s="156">
        <v>81.231135830430503</v>
      </c>
      <c r="W180" s="155">
        <f t="shared" si="40"/>
        <v>2.3224705130782532E-2</v>
      </c>
      <c r="X180" s="139">
        <f>+SUM($W$129:W180)</f>
        <v>1.0000000000000002</v>
      </c>
      <c r="Y180" s="157"/>
      <c r="Z180" s="29"/>
      <c r="AA180" s="157"/>
      <c r="AB180" s="157"/>
      <c r="AC180" s="157"/>
    </row>
    <row r="181" spans="2:29" ht="20" customHeight="1" x14ac:dyDescent="0.3">
      <c r="U181" s="29"/>
      <c r="V181" s="156"/>
      <c r="W181" s="155"/>
      <c r="X181" s="139"/>
      <c r="Y181" s="157"/>
      <c r="Z181" s="29"/>
      <c r="AA181" s="157"/>
      <c r="AB181" s="157"/>
      <c r="AC181" s="157"/>
    </row>
    <row r="182" spans="2:29" ht="20" customHeight="1" x14ac:dyDescent="0.35">
      <c r="B182"/>
      <c r="C182"/>
      <c r="D182"/>
      <c r="E182"/>
      <c r="F182"/>
      <c r="G182"/>
      <c r="H182"/>
      <c r="I182"/>
      <c r="J182"/>
      <c r="K182"/>
      <c r="L182"/>
      <c r="M182"/>
      <c r="N182"/>
      <c r="O182"/>
      <c r="P182" s="76">
        <f>+SUM(P129:P180)</f>
        <v>15.039150396838048</v>
      </c>
      <c r="Q182"/>
      <c r="R182"/>
      <c r="S182"/>
      <c r="T182"/>
      <c r="U182" s="29"/>
      <c r="V182" s="156"/>
      <c r="W182"/>
      <c r="X182"/>
      <c r="Y182" s="157"/>
      <c r="Z182" s="29"/>
      <c r="AA182" s="157"/>
      <c r="AB182" s="157"/>
      <c r="AC182" s="157"/>
    </row>
    <row r="183" spans="2:29" ht="20" customHeight="1" x14ac:dyDescent="0.35">
      <c r="B183"/>
      <c r="C183"/>
      <c r="D183"/>
      <c r="E183"/>
      <c r="F183"/>
      <c r="G183"/>
      <c r="H183"/>
      <c r="I183"/>
      <c r="J183"/>
      <c r="K183"/>
      <c r="L183"/>
      <c r="M183"/>
      <c r="N183"/>
      <c r="O183"/>
      <c r="Q183" s="22"/>
      <c r="R183"/>
      <c r="S183"/>
      <c r="T183"/>
      <c r="U183" s="29"/>
      <c r="V183" s="156"/>
      <c r="W183"/>
      <c r="X183"/>
      <c r="Y183" s="157"/>
      <c r="Z183" s="29"/>
      <c r="AA183" s="157"/>
      <c r="AB183" s="157"/>
      <c r="AC183" s="157"/>
    </row>
    <row r="184" spans="2:29" ht="20" customHeight="1" x14ac:dyDescent="0.35">
      <c r="B184"/>
      <c r="C184"/>
      <c r="D184"/>
      <c r="E184"/>
      <c r="F184"/>
      <c r="G184"/>
      <c r="H184"/>
      <c r="I184"/>
      <c r="J184"/>
      <c r="K184"/>
      <c r="L184"/>
      <c r="M184"/>
      <c r="N184"/>
      <c r="O184"/>
      <c r="P184"/>
      <c r="Q184"/>
      <c r="R184"/>
      <c r="S184"/>
      <c r="T184"/>
      <c r="U184" s="29"/>
      <c r="V184" s="156"/>
      <c r="W184"/>
      <c r="X184"/>
      <c r="Y184" s="157"/>
      <c r="Z184" s="29"/>
      <c r="AA184" s="157"/>
      <c r="AB184" s="157"/>
      <c r="AC184" s="157"/>
    </row>
    <row r="185" spans="2:29" ht="20" customHeight="1" x14ac:dyDescent="0.35">
      <c r="B185"/>
      <c r="C185"/>
      <c r="D185"/>
      <c r="E185"/>
      <c r="F185"/>
      <c r="G185"/>
      <c r="H185"/>
      <c r="I185"/>
      <c r="J185"/>
      <c r="K185"/>
      <c r="L185"/>
      <c r="M185"/>
      <c r="N185"/>
      <c r="O185"/>
      <c r="P185"/>
      <c r="Q185"/>
      <c r="R185"/>
      <c r="S185"/>
      <c r="T185"/>
      <c r="U185" s="29"/>
      <c r="V185" s="156"/>
      <c r="W185"/>
      <c r="X185"/>
      <c r="Y185" s="157"/>
      <c r="Z185" s="29"/>
      <c r="AA185" s="157"/>
      <c r="AB185" s="157"/>
      <c r="AC185" s="157"/>
    </row>
    <row r="186" spans="2:29" ht="20" customHeight="1" x14ac:dyDescent="0.35">
      <c r="B186"/>
      <c r="C186"/>
      <c r="D186"/>
      <c r="E186"/>
      <c r="F186"/>
      <c r="G186"/>
      <c r="H186"/>
      <c r="I186"/>
      <c r="J186"/>
      <c r="K186"/>
      <c r="L186"/>
      <c r="M186"/>
      <c r="N186"/>
      <c r="O186"/>
      <c r="P186"/>
      <c r="Q186"/>
      <c r="R186"/>
      <c r="S186"/>
      <c r="T186"/>
      <c r="U186" s="29"/>
      <c r="V186" s="156"/>
      <c r="W186"/>
      <c r="X186"/>
      <c r="Y186" s="157"/>
      <c r="Z186" s="29"/>
      <c r="AA186" s="157"/>
      <c r="AB186" s="157"/>
      <c r="AC186" s="157"/>
    </row>
    <row r="187" spans="2:29" ht="20" customHeight="1" x14ac:dyDescent="0.35">
      <c r="B187"/>
      <c r="C187"/>
      <c r="D187"/>
      <c r="E187"/>
      <c r="F187"/>
      <c r="G187"/>
      <c r="H187"/>
      <c r="I187"/>
      <c r="J187"/>
      <c r="K187"/>
      <c r="L187"/>
      <c r="M187"/>
      <c r="N187"/>
      <c r="O187"/>
      <c r="P187"/>
      <c r="Q187"/>
      <c r="R187"/>
      <c r="S187"/>
      <c r="T187"/>
      <c r="U187" s="29"/>
      <c r="V187" s="156"/>
      <c r="W187"/>
      <c r="X187"/>
      <c r="Y187" s="157"/>
      <c r="Z187" s="29"/>
      <c r="AA187" s="157"/>
      <c r="AB187" s="157"/>
      <c r="AC187" s="157"/>
    </row>
    <row r="188" spans="2:29" ht="20" customHeight="1" x14ac:dyDescent="0.35">
      <c r="B188"/>
      <c r="C188"/>
      <c r="D188"/>
      <c r="E188"/>
      <c r="F188"/>
      <c r="G188"/>
      <c r="H188"/>
      <c r="I188"/>
      <c r="J188"/>
      <c r="K188"/>
      <c r="L188"/>
      <c r="M188"/>
      <c r="N188"/>
      <c r="O188"/>
      <c r="P188"/>
      <c r="Q188"/>
      <c r="R188"/>
      <c r="S188"/>
      <c r="T188"/>
      <c r="U188" s="29"/>
      <c r="V188" s="156"/>
      <c r="W188"/>
      <c r="X188"/>
      <c r="Y188" s="157"/>
      <c r="Z188" s="29"/>
      <c r="AA188" s="157"/>
      <c r="AB188" s="157"/>
      <c r="AC188" s="157"/>
    </row>
    <row r="189" spans="2:29" ht="20" customHeight="1" x14ac:dyDescent="0.35">
      <c r="B189"/>
      <c r="C189"/>
      <c r="D189"/>
      <c r="E189"/>
      <c r="F189"/>
      <c r="G189"/>
      <c r="H189"/>
      <c r="I189"/>
      <c r="J189"/>
      <c r="K189"/>
      <c r="L189"/>
      <c r="M189"/>
      <c r="N189"/>
      <c r="O189"/>
      <c r="P189"/>
      <c r="Q189"/>
      <c r="R189"/>
      <c r="S189"/>
      <c r="T189"/>
      <c r="U189" s="29"/>
      <c r="V189" s="156"/>
      <c r="W189"/>
      <c r="X189"/>
      <c r="Y189" s="157"/>
      <c r="Z189" s="29"/>
      <c r="AA189" s="157"/>
      <c r="AB189" s="157"/>
      <c r="AC189" s="157"/>
    </row>
    <row r="190" spans="2:29" ht="20" customHeight="1" x14ac:dyDescent="0.35">
      <c r="B190"/>
      <c r="C190"/>
      <c r="D190"/>
      <c r="E190"/>
      <c r="F190"/>
      <c r="G190"/>
      <c r="H190"/>
      <c r="I190"/>
      <c r="J190"/>
      <c r="K190"/>
      <c r="L190"/>
      <c r="M190"/>
      <c r="N190"/>
      <c r="O190"/>
      <c r="P190"/>
      <c r="Q190"/>
      <c r="R190"/>
      <c r="S190"/>
      <c r="T190"/>
      <c r="U190" s="29"/>
      <c r="V190" s="156"/>
      <c r="W190"/>
      <c r="X190"/>
      <c r="Y190" s="157"/>
      <c r="Z190" s="29"/>
      <c r="AA190" s="157"/>
      <c r="AB190" s="157"/>
      <c r="AC190" s="157"/>
    </row>
    <row r="191" spans="2:29" ht="20" customHeight="1" x14ac:dyDescent="0.35">
      <c r="B191"/>
      <c r="C191"/>
      <c r="D191"/>
      <c r="E191"/>
      <c r="F191"/>
      <c r="G191"/>
      <c r="H191"/>
      <c r="I191"/>
      <c r="J191"/>
      <c r="K191"/>
      <c r="L191"/>
      <c r="M191"/>
      <c r="N191"/>
      <c r="O191"/>
      <c r="P191"/>
      <c r="Q191"/>
      <c r="R191"/>
      <c r="S191"/>
      <c r="T191"/>
      <c r="U191" s="29"/>
      <c r="V191" s="156"/>
      <c r="W191"/>
      <c r="X191"/>
      <c r="Y191" s="157"/>
      <c r="Z191" s="29"/>
      <c r="AA191" s="157"/>
      <c r="AB191" s="157"/>
      <c r="AC191" s="157"/>
    </row>
    <row r="192" spans="2:29" ht="20" customHeight="1" x14ac:dyDescent="0.35">
      <c r="B192"/>
      <c r="C192"/>
      <c r="D192"/>
      <c r="E192"/>
      <c r="F192"/>
      <c r="G192"/>
      <c r="H192"/>
      <c r="I192"/>
      <c r="J192"/>
      <c r="K192"/>
      <c r="L192"/>
      <c r="M192"/>
      <c r="N192"/>
      <c r="O192"/>
      <c r="P192"/>
      <c r="Q192"/>
      <c r="R192"/>
      <c r="S192"/>
      <c r="T192"/>
      <c r="U192" s="29"/>
      <c r="V192" s="156"/>
      <c r="W192"/>
      <c r="X192"/>
      <c r="Y192" s="157"/>
      <c r="Z192" s="29"/>
      <c r="AA192" s="157"/>
      <c r="AB192" s="157"/>
      <c r="AC192" s="157"/>
    </row>
    <row r="193" spans="2:29" ht="20" customHeight="1" x14ac:dyDescent="0.35">
      <c r="B193"/>
      <c r="C193"/>
      <c r="D193"/>
      <c r="E193"/>
      <c r="F193"/>
      <c r="G193"/>
      <c r="H193"/>
      <c r="I193"/>
      <c r="J193"/>
      <c r="K193"/>
      <c r="L193"/>
      <c r="M193"/>
      <c r="N193"/>
      <c r="O193"/>
      <c r="P193"/>
      <c r="Q193"/>
      <c r="S193"/>
      <c r="T193"/>
      <c r="U193" s="29"/>
      <c r="V193" s="156"/>
      <c r="W193"/>
      <c r="X193"/>
      <c r="Y193" s="157"/>
      <c r="Z193" s="29"/>
      <c r="AA193" s="157"/>
      <c r="AB193" s="157"/>
      <c r="AC193" s="157"/>
    </row>
    <row r="194" spans="2:29" ht="20" customHeight="1" x14ac:dyDescent="0.35">
      <c r="B194"/>
      <c r="C194"/>
      <c r="D194"/>
      <c r="E194"/>
      <c r="F194"/>
      <c r="G194"/>
      <c r="H194"/>
      <c r="I194"/>
      <c r="J194"/>
      <c r="K194"/>
      <c r="L194"/>
      <c r="M194"/>
      <c r="N194"/>
      <c r="O194"/>
      <c r="P194"/>
      <c r="Q194"/>
      <c r="R194"/>
      <c r="S194"/>
      <c r="T194"/>
      <c r="U194" s="29"/>
      <c r="V194" s="156"/>
      <c r="W194"/>
      <c r="X194"/>
      <c r="Y194" s="157"/>
      <c r="Z194" s="29"/>
      <c r="AA194" s="157"/>
      <c r="AB194" s="157"/>
      <c r="AC194" s="157"/>
    </row>
    <row r="195" spans="2:29" ht="20" customHeight="1" x14ac:dyDescent="0.35">
      <c r="B195"/>
      <c r="C195"/>
      <c r="D195"/>
      <c r="E195"/>
      <c r="F195"/>
      <c r="G195"/>
      <c r="H195"/>
      <c r="I195"/>
      <c r="J195"/>
      <c r="K195"/>
      <c r="L195"/>
      <c r="M195"/>
      <c r="N195"/>
      <c r="O195"/>
      <c r="P195"/>
      <c r="Q195"/>
      <c r="R195"/>
      <c r="S195"/>
      <c r="T195"/>
      <c r="U195" s="29"/>
      <c r="V195" s="156"/>
      <c r="W195"/>
      <c r="X195"/>
      <c r="Y195" s="157"/>
      <c r="Z195" s="29"/>
      <c r="AA195" s="157"/>
      <c r="AB195" s="157"/>
      <c r="AC195" s="157"/>
    </row>
    <row r="196" spans="2:29" ht="20" customHeight="1" x14ac:dyDescent="0.35">
      <c r="B196"/>
      <c r="C196"/>
      <c r="D196"/>
      <c r="E196"/>
      <c r="F196"/>
      <c r="G196"/>
      <c r="H196"/>
      <c r="I196"/>
      <c r="J196"/>
      <c r="K196"/>
      <c r="L196"/>
      <c r="M196"/>
      <c r="N196"/>
      <c r="O196"/>
      <c r="P196"/>
      <c r="Q196"/>
      <c r="R196"/>
      <c r="S196"/>
      <c r="T196"/>
      <c r="U196" s="29"/>
      <c r="V196" s="156"/>
      <c r="W196"/>
      <c r="X196"/>
      <c r="Y196" s="157"/>
      <c r="Z196" s="29"/>
      <c r="AA196" s="157"/>
      <c r="AB196" s="157"/>
      <c r="AC196" s="157"/>
    </row>
    <row r="197" spans="2:29" ht="20" customHeight="1" x14ac:dyDescent="0.35">
      <c r="B197"/>
      <c r="C197"/>
      <c r="D197"/>
      <c r="E197"/>
      <c r="F197"/>
      <c r="G197"/>
      <c r="H197"/>
      <c r="I197"/>
      <c r="J197"/>
      <c r="K197"/>
      <c r="L197"/>
      <c r="M197"/>
      <c r="N197"/>
      <c r="O197"/>
      <c r="P197"/>
      <c r="Q197"/>
      <c r="R197"/>
      <c r="S197"/>
      <c r="T197"/>
      <c r="U197" s="29"/>
      <c r="V197" s="156"/>
      <c r="W197"/>
      <c r="X197"/>
      <c r="Y197" s="157"/>
      <c r="Z197" s="29"/>
      <c r="AA197" s="157"/>
      <c r="AB197" s="157"/>
      <c r="AC197" s="157"/>
    </row>
    <row r="198" spans="2:29" ht="20" customHeight="1" x14ac:dyDescent="0.35">
      <c r="B198"/>
      <c r="C198"/>
      <c r="D198"/>
      <c r="E198"/>
      <c r="F198"/>
      <c r="G198"/>
      <c r="H198"/>
      <c r="I198"/>
      <c r="J198"/>
      <c r="K198"/>
      <c r="L198"/>
      <c r="M198"/>
      <c r="N198"/>
      <c r="O198"/>
      <c r="P198"/>
      <c r="Q198"/>
      <c r="R198"/>
      <c r="S198"/>
      <c r="T198"/>
      <c r="U198" s="29"/>
      <c r="V198" s="156"/>
      <c r="W198"/>
      <c r="X198"/>
      <c r="Y198" s="157"/>
      <c r="Z198" s="29"/>
      <c r="AA198" s="157"/>
      <c r="AB198" s="157"/>
      <c r="AC198" s="157"/>
    </row>
    <row r="199" spans="2:29" ht="20" customHeight="1" x14ac:dyDescent="0.35">
      <c r="B199"/>
      <c r="C199"/>
      <c r="D199"/>
      <c r="E199"/>
      <c r="F199"/>
      <c r="G199"/>
      <c r="H199"/>
      <c r="I199"/>
      <c r="J199"/>
      <c r="K199"/>
      <c r="L199"/>
      <c r="M199"/>
      <c r="N199"/>
      <c r="O199"/>
      <c r="P199"/>
      <c r="Q199"/>
      <c r="R199"/>
      <c r="S199"/>
      <c r="T199"/>
      <c r="U199" s="29"/>
      <c r="V199" s="156"/>
      <c r="W199"/>
      <c r="X199"/>
      <c r="Y199" s="157"/>
      <c r="Z199" s="29"/>
      <c r="AA199" s="157"/>
      <c r="AB199" s="157"/>
      <c r="AC199" s="157"/>
    </row>
    <row r="200" spans="2:29" ht="20" customHeight="1" x14ac:dyDescent="0.35">
      <c r="B200"/>
      <c r="C200"/>
      <c r="D200"/>
      <c r="E200"/>
      <c r="F200"/>
      <c r="G200"/>
      <c r="H200"/>
      <c r="I200"/>
      <c r="J200"/>
      <c r="K200"/>
      <c r="L200"/>
      <c r="M200"/>
      <c r="N200"/>
      <c r="O200"/>
      <c r="P200"/>
      <c r="Q200"/>
      <c r="R200"/>
      <c r="S200"/>
      <c r="T200"/>
      <c r="U200" s="29"/>
      <c r="V200" s="156"/>
      <c r="W200"/>
      <c r="X200"/>
      <c r="Y200" s="157"/>
      <c r="Z200" s="29"/>
      <c r="AA200" s="157"/>
      <c r="AB200" s="157"/>
      <c r="AC200" s="157"/>
    </row>
    <row r="201" spans="2:29" ht="20" customHeight="1" x14ac:dyDescent="0.35">
      <c r="B201"/>
      <c r="C201"/>
      <c r="D201"/>
      <c r="E201"/>
      <c r="F201"/>
      <c r="G201"/>
      <c r="H201"/>
      <c r="I201"/>
      <c r="J201"/>
      <c r="K201"/>
      <c r="L201"/>
      <c r="M201"/>
      <c r="N201"/>
      <c r="O201"/>
      <c r="P201"/>
      <c r="Q201"/>
      <c r="R201"/>
      <c r="S201"/>
      <c r="T201"/>
      <c r="U201" s="29"/>
      <c r="V201" s="156"/>
      <c r="W201"/>
      <c r="X201"/>
      <c r="Y201" s="157"/>
      <c r="Z201" s="29"/>
      <c r="AA201" s="157"/>
      <c r="AB201" s="157"/>
      <c r="AC201" s="157"/>
    </row>
    <row r="202" spans="2:29" ht="20" customHeight="1" x14ac:dyDescent="0.35">
      <c r="B202"/>
      <c r="C202"/>
      <c r="D202"/>
      <c r="E202"/>
      <c r="F202"/>
      <c r="G202"/>
      <c r="H202"/>
      <c r="I202"/>
      <c r="J202"/>
      <c r="K202"/>
      <c r="L202"/>
      <c r="M202"/>
      <c r="N202"/>
      <c r="O202"/>
      <c r="P202"/>
      <c r="Q202"/>
      <c r="R202"/>
      <c r="S202"/>
      <c r="T202"/>
      <c r="U202" s="29"/>
      <c r="V202" s="156"/>
      <c r="W202"/>
      <c r="X202"/>
      <c r="Y202" s="157"/>
      <c r="Z202" s="29"/>
      <c r="AA202" s="157"/>
      <c r="AB202" s="157"/>
      <c r="AC202" s="157"/>
    </row>
    <row r="203" spans="2:29" ht="20" customHeight="1" x14ac:dyDescent="0.35">
      <c r="B203"/>
      <c r="C203"/>
      <c r="D203"/>
      <c r="E203"/>
      <c r="F203"/>
      <c r="G203"/>
      <c r="H203"/>
      <c r="I203"/>
      <c r="J203"/>
      <c r="K203"/>
      <c r="L203"/>
      <c r="M203"/>
      <c r="N203"/>
      <c r="O203"/>
      <c r="P203"/>
      <c r="Q203"/>
      <c r="R203"/>
      <c r="S203"/>
      <c r="T203"/>
      <c r="U203" s="29"/>
      <c r="V203" s="156"/>
      <c r="W203"/>
      <c r="X203"/>
      <c r="Y203" s="157"/>
      <c r="Z203" s="29"/>
      <c r="AA203" s="157"/>
      <c r="AB203" s="157"/>
      <c r="AC203" s="157"/>
    </row>
    <row r="204" spans="2:29" ht="20" customHeight="1" x14ac:dyDescent="0.35">
      <c r="B204"/>
      <c r="C204"/>
      <c r="D204"/>
      <c r="E204"/>
      <c r="F204"/>
      <c r="G204"/>
      <c r="H204"/>
      <c r="I204"/>
      <c r="J204"/>
      <c r="K204"/>
      <c r="L204"/>
      <c r="M204"/>
      <c r="N204"/>
      <c r="O204"/>
      <c r="P204"/>
      <c r="Q204"/>
      <c r="R204"/>
      <c r="S204"/>
      <c r="T204"/>
      <c r="U204" s="29"/>
      <c r="V204" s="156"/>
      <c r="W204"/>
      <c r="X204"/>
      <c r="Y204" s="157"/>
      <c r="Z204" s="29"/>
      <c r="AA204" s="157"/>
      <c r="AB204" s="157"/>
      <c r="AC204" s="157"/>
    </row>
    <row r="205" spans="2:29" ht="20" customHeight="1" x14ac:dyDescent="0.35">
      <c r="B205"/>
      <c r="C205"/>
      <c r="D205"/>
      <c r="E205"/>
      <c r="F205"/>
      <c r="G205"/>
      <c r="H205"/>
      <c r="I205"/>
      <c r="J205"/>
      <c r="K205"/>
      <c r="L205"/>
      <c r="M205"/>
      <c r="N205"/>
      <c r="O205"/>
      <c r="P205"/>
      <c r="Q205"/>
      <c r="R205"/>
      <c r="S205"/>
      <c r="T205"/>
      <c r="U205" s="29"/>
      <c r="V205" s="156"/>
      <c r="W205"/>
      <c r="X205"/>
      <c r="Y205" s="157"/>
      <c r="Z205" s="29"/>
      <c r="AA205" s="157"/>
      <c r="AB205" s="157"/>
      <c r="AC205" s="157"/>
    </row>
    <row r="206" spans="2:29" ht="20" customHeight="1" x14ac:dyDescent="0.35">
      <c r="B206"/>
      <c r="C206"/>
      <c r="D206"/>
      <c r="E206"/>
      <c r="F206"/>
      <c r="G206"/>
      <c r="H206"/>
      <c r="I206"/>
      <c r="J206"/>
      <c r="K206"/>
      <c r="L206"/>
      <c r="M206"/>
      <c r="N206"/>
      <c r="O206"/>
      <c r="P206"/>
      <c r="Q206"/>
      <c r="R206"/>
      <c r="S206"/>
      <c r="T206"/>
      <c r="U206" s="29"/>
      <c r="V206" s="156"/>
      <c r="W206"/>
      <c r="X206"/>
      <c r="Y206" s="157"/>
      <c r="Z206" s="29"/>
      <c r="AA206" s="157"/>
      <c r="AB206" s="157"/>
      <c r="AC206" s="157"/>
    </row>
    <row r="207" spans="2:29" ht="20" customHeight="1" x14ac:dyDescent="0.35">
      <c r="B207"/>
      <c r="C207"/>
      <c r="D207"/>
      <c r="E207"/>
      <c r="F207"/>
      <c r="G207"/>
      <c r="H207"/>
      <c r="I207"/>
      <c r="J207"/>
      <c r="K207"/>
      <c r="L207"/>
      <c r="M207"/>
      <c r="N207"/>
      <c r="O207"/>
      <c r="P207"/>
      <c r="Q207"/>
      <c r="R207"/>
      <c r="S207"/>
      <c r="T207"/>
      <c r="U207" s="29"/>
      <c r="V207" s="156"/>
      <c r="W207"/>
      <c r="X207"/>
      <c r="Y207" s="157"/>
      <c r="Z207" s="29"/>
      <c r="AA207" s="157"/>
      <c r="AB207" s="157"/>
      <c r="AC207" s="157"/>
    </row>
    <row r="208" spans="2:29" ht="20" customHeight="1" x14ac:dyDescent="0.35">
      <c r="B208"/>
      <c r="C208"/>
      <c r="D208"/>
      <c r="E208"/>
      <c r="F208"/>
      <c r="G208"/>
      <c r="H208"/>
      <c r="I208"/>
      <c r="J208"/>
      <c r="K208"/>
      <c r="L208"/>
      <c r="M208"/>
      <c r="N208"/>
      <c r="O208"/>
      <c r="P208"/>
      <c r="Q208"/>
      <c r="R208"/>
      <c r="S208"/>
      <c r="T208"/>
      <c r="U208" s="29"/>
      <c r="V208" s="156"/>
      <c r="W208"/>
      <c r="X208"/>
      <c r="Y208" s="157"/>
      <c r="Z208" s="29"/>
      <c r="AA208" s="157"/>
      <c r="AB208" s="157"/>
      <c r="AC208" s="157"/>
    </row>
    <row r="209" spans="2:29" ht="20" customHeight="1" x14ac:dyDescent="0.35">
      <c r="B209"/>
      <c r="C209"/>
      <c r="D209"/>
      <c r="E209"/>
      <c r="F209"/>
      <c r="G209"/>
      <c r="H209"/>
      <c r="I209"/>
      <c r="J209"/>
      <c r="K209"/>
      <c r="L209"/>
      <c r="M209"/>
      <c r="N209"/>
      <c r="O209"/>
      <c r="P209"/>
      <c r="Q209"/>
      <c r="R209"/>
      <c r="S209"/>
      <c r="T209"/>
      <c r="U209" s="29"/>
      <c r="V209" s="156"/>
      <c r="W209"/>
      <c r="X209"/>
      <c r="Y209" s="157"/>
      <c r="Z209" s="29"/>
      <c r="AA209" s="157"/>
      <c r="AB209" s="157"/>
      <c r="AC209" s="157"/>
    </row>
    <row r="210" spans="2:29" ht="20" customHeight="1" x14ac:dyDescent="0.35">
      <c r="B210"/>
      <c r="C210"/>
      <c r="D210"/>
      <c r="E210"/>
      <c r="F210"/>
      <c r="G210"/>
      <c r="H210"/>
      <c r="I210"/>
      <c r="J210"/>
      <c r="K210"/>
      <c r="L210"/>
      <c r="M210"/>
      <c r="N210"/>
      <c r="O210"/>
      <c r="P210"/>
      <c r="Q210"/>
      <c r="R210"/>
      <c r="S210"/>
      <c r="T210"/>
      <c r="U210" s="29"/>
      <c r="V210" s="156"/>
      <c r="W210"/>
      <c r="X210"/>
      <c r="Y210" s="157"/>
      <c r="Z210" s="29"/>
      <c r="AA210" s="157"/>
      <c r="AB210" s="157"/>
      <c r="AC210" s="157"/>
    </row>
    <row r="211" spans="2:29" ht="20" customHeight="1" x14ac:dyDescent="0.35">
      <c r="B211"/>
      <c r="C211"/>
      <c r="D211"/>
      <c r="E211"/>
      <c r="F211"/>
      <c r="G211"/>
      <c r="H211"/>
      <c r="I211"/>
      <c r="J211"/>
      <c r="K211"/>
      <c r="L211"/>
      <c r="M211"/>
      <c r="N211"/>
      <c r="O211"/>
      <c r="P211"/>
      <c r="Q211"/>
      <c r="R211"/>
      <c r="S211"/>
      <c r="T211"/>
      <c r="U211" s="29"/>
      <c r="V211" s="156"/>
      <c r="W211"/>
      <c r="X211"/>
      <c r="Y211" s="157"/>
      <c r="Z211" s="29"/>
      <c r="AA211" s="157"/>
      <c r="AB211" s="157"/>
      <c r="AC211" s="157"/>
    </row>
    <row r="212" spans="2:29" ht="20" customHeight="1" x14ac:dyDescent="0.35">
      <c r="B212"/>
      <c r="C212"/>
      <c r="D212"/>
      <c r="E212"/>
      <c r="F212"/>
      <c r="G212"/>
      <c r="H212"/>
      <c r="I212"/>
      <c r="J212"/>
      <c r="K212"/>
      <c r="L212"/>
      <c r="M212"/>
      <c r="N212"/>
      <c r="O212"/>
      <c r="P212"/>
      <c r="Q212"/>
      <c r="R212"/>
      <c r="S212"/>
      <c r="T212"/>
      <c r="U212" s="29"/>
      <c r="V212" s="156"/>
      <c r="W212"/>
      <c r="X212"/>
      <c r="Y212" s="157"/>
      <c r="Z212" s="29"/>
      <c r="AA212" s="157"/>
      <c r="AB212" s="157"/>
      <c r="AC212" s="157"/>
    </row>
    <row r="213" spans="2:29" ht="20" customHeight="1" x14ac:dyDescent="0.35">
      <c r="B213"/>
      <c r="C213"/>
      <c r="D213"/>
      <c r="E213"/>
      <c r="F213"/>
      <c r="G213"/>
      <c r="H213"/>
      <c r="I213"/>
      <c r="J213"/>
      <c r="K213"/>
      <c r="L213"/>
      <c r="M213"/>
      <c r="N213"/>
      <c r="O213"/>
      <c r="P213"/>
      <c r="Q213"/>
      <c r="R213"/>
      <c r="S213"/>
      <c r="T213"/>
      <c r="U213" s="29"/>
      <c r="V213" s="156"/>
      <c r="W213"/>
      <c r="X213"/>
      <c r="Y213" s="157"/>
      <c r="Z213" s="29"/>
      <c r="AA213" s="157"/>
      <c r="AB213" s="157"/>
      <c r="AC213" s="157"/>
    </row>
    <row r="214" spans="2:29" ht="20" customHeight="1" x14ac:dyDescent="0.35">
      <c r="B214"/>
      <c r="C214"/>
      <c r="D214"/>
      <c r="E214"/>
      <c r="F214"/>
      <c r="G214"/>
      <c r="H214"/>
      <c r="I214"/>
      <c r="J214"/>
      <c r="K214"/>
      <c r="L214"/>
      <c r="M214"/>
      <c r="N214"/>
      <c r="O214"/>
      <c r="P214"/>
      <c r="Q214"/>
      <c r="R214"/>
      <c r="S214"/>
      <c r="T214"/>
      <c r="U214" s="29"/>
      <c r="V214" s="156"/>
      <c r="W214"/>
      <c r="X214"/>
      <c r="Y214" s="157"/>
      <c r="Z214" s="29"/>
      <c r="AA214" s="157"/>
      <c r="AB214" s="157"/>
      <c r="AC214" s="157"/>
    </row>
    <row r="215" spans="2:29" ht="20" customHeight="1" x14ac:dyDescent="0.35">
      <c r="B215"/>
      <c r="C215"/>
      <c r="D215"/>
      <c r="E215"/>
      <c r="F215"/>
      <c r="G215"/>
      <c r="H215"/>
      <c r="I215"/>
      <c r="J215"/>
      <c r="K215"/>
      <c r="L215"/>
      <c r="M215"/>
      <c r="N215"/>
      <c r="O215"/>
      <c r="P215"/>
      <c r="Q215"/>
      <c r="R215"/>
      <c r="S215"/>
      <c r="T215"/>
      <c r="U215" s="29"/>
      <c r="V215" s="156"/>
      <c r="W215"/>
      <c r="X215"/>
      <c r="Y215" s="157"/>
      <c r="Z215" s="29"/>
      <c r="AA215" s="157"/>
      <c r="AB215" s="157"/>
      <c r="AC215" s="157"/>
    </row>
    <row r="216" spans="2:29" ht="20" customHeight="1" x14ac:dyDescent="0.35">
      <c r="B216"/>
      <c r="C216"/>
      <c r="D216"/>
      <c r="E216"/>
      <c r="F216"/>
      <c r="G216"/>
      <c r="H216"/>
      <c r="I216"/>
      <c r="J216"/>
      <c r="K216"/>
      <c r="L216"/>
      <c r="M216"/>
      <c r="N216"/>
      <c r="O216"/>
      <c r="P216"/>
      <c r="Q216"/>
      <c r="R216"/>
      <c r="S216"/>
      <c r="T216"/>
      <c r="U216" s="29"/>
      <c r="V216" s="156"/>
      <c r="W216"/>
      <c r="X216"/>
      <c r="Y216" s="157"/>
      <c r="Z216" s="29"/>
      <c r="AA216" s="157"/>
      <c r="AB216" s="157"/>
      <c r="AC216" s="157"/>
    </row>
    <row r="217" spans="2:29" ht="20" customHeight="1" x14ac:dyDescent="0.35">
      <c r="B217"/>
      <c r="C217"/>
      <c r="D217"/>
      <c r="E217"/>
      <c r="F217"/>
      <c r="G217"/>
      <c r="H217"/>
      <c r="I217"/>
      <c r="J217"/>
      <c r="K217"/>
      <c r="L217"/>
      <c r="M217"/>
      <c r="N217"/>
      <c r="O217"/>
      <c r="P217"/>
      <c r="Q217"/>
      <c r="R217"/>
      <c r="S217"/>
      <c r="T217"/>
      <c r="U217" s="29"/>
      <c r="V217" s="156"/>
      <c r="W217"/>
      <c r="X217"/>
      <c r="Y217" s="157"/>
      <c r="Z217" s="29"/>
      <c r="AA217" s="157"/>
      <c r="AB217" s="157"/>
      <c r="AC217" s="157"/>
    </row>
    <row r="218" spans="2:29" ht="20" customHeight="1" x14ac:dyDescent="0.35">
      <c r="B218"/>
      <c r="C218"/>
      <c r="D218"/>
      <c r="E218"/>
      <c r="F218"/>
      <c r="G218"/>
      <c r="H218"/>
      <c r="I218"/>
      <c r="J218"/>
      <c r="K218"/>
      <c r="L218"/>
      <c r="M218"/>
      <c r="N218"/>
      <c r="O218"/>
      <c r="P218"/>
      <c r="Q218"/>
      <c r="R218"/>
      <c r="S218"/>
      <c r="T218"/>
      <c r="U218" s="29"/>
      <c r="V218" s="156"/>
      <c r="W218"/>
      <c r="X218"/>
      <c r="Y218" s="157"/>
      <c r="Z218" s="29"/>
      <c r="AA218" s="157"/>
      <c r="AB218" s="157"/>
      <c r="AC218" s="157"/>
    </row>
    <row r="219" spans="2:29" ht="20" customHeight="1" x14ac:dyDescent="0.35">
      <c r="B219"/>
      <c r="C219"/>
      <c r="D219"/>
      <c r="E219"/>
      <c r="F219"/>
      <c r="G219"/>
      <c r="H219"/>
      <c r="I219"/>
      <c r="J219"/>
      <c r="K219"/>
      <c r="L219"/>
      <c r="M219"/>
      <c r="N219"/>
      <c r="O219"/>
      <c r="P219"/>
      <c r="Q219"/>
      <c r="R219"/>
      <c r="S219"/>
      <c r="T219"/>
      <c r="U219" s="29"/>
      <c r="V219" s="156"/>
      <c r="W219"/>
      <c r="X219"/>
      <c r="Y219" s="157"/>
      <c r="Z219" s="29"/>
      <c r="AA219" s="157"/>
      <c r="AB219" s="157"/>
      <c r="AC219" s="157"/>
    </row>
    <row r="220" spans="2:29" ht="20" customHeight="1" x14ac:dyDescent="0.35">
      <c r="B220"/>
      <c r="C220"/>
      <c r="D220"/>
      <c r="E220"/>
      <c r="F220"/>
      <c r="G220"/>
      <c r="H220"/>
      <c r="I220"/>
      <c r="J220"/>
      <c r="K220"/>
      <c r="L220"/>
      <c r="M220"/>
      <c r="N220"/>
      <c r="O220"/>
      <c r="P220"/>
      <c r="Q220"/>
      <c r="R220"/>
      <c r="S220"/>
      <c r="T220"/>
      <c r="U220" s="29"/>
      <c r="V220" s="156"/>
      <c r="W220"/>
      <c r="X220"/>
      <c r="Y220" s="157"/>
      <c r="Z220" s="29"/>
      <c r="AA220" s="157"/>
      <c r="AB220" s="157"/>
      <c r="AC220" s="157"/>
    </row>
    <row r="221" spans="2:29" ht="20" customHeight="1" x14ac:dyDescent="0.35">
      <c r="B221"/>
      <c r="C221"/>
      <c r="D221"/>
      <c r="E221"/>
      <c r="F221"/>
      <c r="G221"/>
      <c r="H221"/>
      <c r="I221"/>
      <c r="J221"/>
      <c r="K221"/>
      <c r="L221"/>
      <c r="M221"/>
      <c r="N221"/>
      <c r="O221"/>
      <c r="P221"/>
      <c r="Q221"/>
      <c r="R221"/>
      <c r="S221"/>
      <c r="T221"/>
      <c r="U221" s="29"/>
      <c r="V221" s="156"/>
      <c r="W221"/>
      <c r="X221"/>
      <c r="Y221" s="157"/>
      <c r="Z221" s="29"/>
      <c r="AA221" s="157"/>
      <c r="AB221" s="157"/>
      <c r="AC221" s="157"/>
    </row>
    <row r="222" spans="2:29" ht="20" customHeight="1" x14ac:dyDescent="0.35">
      <c r="B222"/>
      <c r="C222"/>
      <c r="D222"/>
      <c r="E222"/>
      <c r="F222"/>
      <c r="G222"/>
      <c r="H222"/>
      <c r="I222"/>
      <c r="J222"/>
      <c r="K222"/>
      <c r="L222"/>
      <c r="M222"/>
      <c r="N222"/>
      <c r="O222"/>
      <c r="P222"/>
      <c r="Q222"/>
      <c r="R222"/>
      <c r="S222"/>
      <c r="T222"/>
      <c r="U222" s="29"/>
      <c r="V222" s="156"/>
      <c r="W222"/>
      <c r="X222"/>
      <c r="Y222" s="157"/>
      <c r="Z222" s="29"/>
      <c r="AA222" s="157"/>
      <c r="AB222" s="157"/>
      <c r="AC222" s="157"/>
    </row>
    <row r="223" spans="2:29" ht="20" customHeight="1" x14ac:dyDescent="0.35">
      <c r="B223"/>
      <c r="C223"/>
      <c r="D223"/>
      <c r="E223"/>
      <c r="F223"/>
      <c r="G223"/>
      <c r="H223"/>
      <c r="I223"/>
      <c r="J223"/>
      <c r="K223"/>
      <c r="L223"/>
      <c r="M223"/>
      <c r="N223"/>
      <c r="O223"/>
      <c r="P223"/>
      <c r="Q223"/>
      <c r="R223"/>
      <c r="S223"/>
      <c r="T223"/>
      <c r="U223" s="29"/>
      <c r="V223" s="156"/>
      <c r="W223"/>
      <c r="X223"/>
      <c r="Y223" s="157"/>
      <c r="Z223" s="29"/>
      <c r="AA223" s="157"/>
      <c r="AB223" s="157"/>
      <c r="AC223" s="157"/>
    </row>
    <row r="224" spans="2:29" ht="20" customHeight="1" x14ac:dyDescent="0.35">
      <c r="B224"/>
      <c r="C224"/>
      <c r="D224"/>
      <c r="E224"/>
      <c r="F224"/>
      <c r="G224"/>
      <c r="H224"/>
      <c r="I224"/>
      <c r="J224"/>
      <c r="K224"/>
      <c r="L224"/>
      <c r="M224"/>
      <c r="N224"/>
      <c r="O224"/>
      <c r="P224"/>
      <c r="Q224"/>
      <c r="R224"/>
      <c r="S224"/>
      <c r="T224"/>
      <c r="U224" s="29"/>
      <c r="V224" s="156"/>
      <c r="W224"/>
      <c r="X224"/>
      <c r="Y224" s="157"/>
      <c r="Z224" s="29"/>
      <c r="AA224" s="157"/>
      <c r="AB224" s="157"/>
      <c r="AC224" s="157"/>
    </row>
    <row r="225" spans="2:29" ht="20" customHeight="1" x14ac:dyDescent="0.35">
      <c r="B225"/>
      <c r="C225"/>
      <c r="D225"/>
      <c r="E225"/>
      <c r="F225"/>
      <c r="G225"/>
      <c r="H225"/>
      <c r="I225"/>
      <c r="J225"/>
      <c r="K225"/>
      <c r="L225"/>
      <c r="M225"/>
      <c r="N225"/>
      <c r="O225"/>
      <c r="P225"/>
      <c r="Q225"/>
      <c r="R225"/>
      <c r="S225"/>
      <c r="T225"/>
      <c r="U225" s="29"/>
      <c r="V225" s="156"/>
      <c r="W225"/>
      <c r="X225"/>
      <c r="Y225" s="157"/>
      <c r="Z225" s="29"/>
      <c r="AA225" s="157"/>
      <c r="AB225" s="157"/>
      <c r="AC225" s="157"/>
    </row>
    <row r="226" spans="2:29" ht="20" customHeight="1" x14ac:dyDescent="0.35">
      <c r="B226"/>
      <c r="C226"/>
      <c r="D226"/>
      <c r="E226"/>
      <c r="F226"/>
      <c r="G226"/>
      <c r="H226"/>
      <c r="I226"/>
      <c r="J226"/>
      <c r="K226"/>
      <c r="L226"/>
      <c r="M226"/>
      <c r="N226"/>
      <c r="O226"/>
      <c r="P226"/>
      <c r="Q226"/>
      <c r="R226"/>
      <c r="S226"/>
      <c r="T226"/>
      <c r="U226" s="29"/>
      <c r="V226" s="156"/>
      <c r="W226"/>
      <c r="X226"/>
      <c r="Y226" s="157"/>
      <c r="Z226" s="29"/>
      <c r="AA226" s="157"/>
      <c r="AB226" s="157"/>
      <c r="AC226" s="157"/>
    </row>
    <row r="227" spans="2:29" ht="20" customHeight="1" x14ac:dyDescent="0.35">
      <c r="B227"/>
      <c r="C227"/>
      <c r="D227"/>
      <c r="E227"/>
      <c r="F227"/>
      <c r="G227"/>
      <c r="H227"/>
      <c r="I227"/>
      <c r="J227"/>
      <c r="K227"/>
      <c r="L227"/>
      <c r="M227"/>
      <c r="N227"/>
      <c r="O227"/>
      <c r="P227"/>
      <c r="Q227"/>
      <c r="R227"/>
      <c r="S227"/>
      <c r="T227"/>
      <c r="U227" s="29"/>
      <c r="V227" s="156"/>
      <c r="W227"/>
      <c r="X227"/>
      <c r="Y227" s="157"/>
      <c r="Z227" s="29"/>
      <c r="AA227" s="157"/>
      <c r="AB227" s="157"/>
      <c r="AC227" s="157"/>
    </row>
    <row r="228" spans="2:29" ht="20" customHeight="1" x14ac:dyDescent="0.35">
      <c r="B228"/>
      <c r="C228"/>
      <c r="D228"/>
      <c r="E228"/>
      <c r="F228"/>
      <c r="G228"/>
      <c r="H228"/>
      <c r="I228"/>
      <c r="J228"/>
      <c r="K228"/>
      <c r="L228"/>
      <c r="M228"/>
      <c r="N228"/>
      <c r="O228"/>
      <c r="P228"/>
      <c r="Q228"/>
      <c r="R228"/>
      <c r="S228"/>
      <c r="T228"/>
      <c r="U228" s="29"/>
      <c r="V228" s="156"/>
      <c r="W228"/>
      <c r="X228"/>
      <c r="Y228" s="157"/>
      <c r="Z228" s="29"/>
      <c r="AA228" s="157"/>
      <c r="AB228" s="157"/>
      <c r="AC228" s="157"/>
    </row>
    <row r="229" spans="2:29" ht="20" customHeight="1" x14ac:dyDescent="0.35">
      <c r="B229"/>
      <c r="C229"/>
      <c r="D229"/>
      <c r="E229"/>
      <c r="F229"/>
      <c r="G229"/>
      <c r="H229"/>
      <c r="I229"/>
      <c r="J229"/>
      <c r="K229"/>
      <c r="L229"/>
      <c r="M229"/>
      <c r="N229"/>
      <c r="O229"/>
      <c r="P229"/>
      <c r="Q229"/>
      <c r="R229"/>
      <c r="S229"/>
      <c r="T229"/>
      <c r="U229" s="29"/>
      <c r="V229" s="156"/>
      <c r="W229"/>
      <c r="X229"/>
      <c r="Y229" s="157"/>
      <c r="Z229" s="29"/>
      <c r="AA229" s="157"/>
      <c r="AB229" s="157"/>
      <c r="AC229" s="157"/>
    </row>
    <row r="230" spans="2:29" ht="20" customHeight="1" x14ac:dyDescent="0.35">
      <c r="B230"/>
      <c r="C230"/>
      <c r="D230"/>
      <c r="E230"/>
      <c r="F230"/>
      <c r="G230"/>
      <c r="H230"/>
      <c r="I230"/>
      <c r="J230"/>
      <c r="K230"/>
      <c r="L230"/>
      <c r="M230"/>
      <c r="N230"/>
      <c r="O230"/>
      <c r="P230"/>
      <c r="Q230"/>
      <c r="R230"/>
      <c r="S230"/>
      <c r="T230"/>
      <c r="U230" s="29"/>
      <c r="V230" s="156"/>
      <c r="W230"/>
      <c r="X230"/>
      <c r="Y230" s="157"/>
      <c r="Z230" s="29"/>
      <c r="AA230" s="157"/>
      <c r="AB230" s="157"/>
      <c r="AC230" s="157"/>
    </row>
    <row r="231" spans="2:29" ht="20" customHeight="1" x14ac:dyDescent="0.35">
      <c r="B231"/>
      <c r="C231"/>
      <c r="D231"/>
      <c r="E231"/>
      <c r="F231"/>
      <c r="G231"/>
      <c r="H231"/>
      <c r="I231"/>
      <c r="J231"/>
      <c r="K231"/>
      <c r="L231"/>
      <c r="M231"/>
      <c r="N231"/>
      <c r="O231"/>
      <c r="P231"/>
      <c r="Q231"/>
      <c r="R231"/>
      <c r="S231"/>
      <c r="T231"/>
      <c r="U231" s="29"/>
      <c r="V231" s="156"/>
      <c r="W231"/>
      <c r="X231"/>
      <c r="Y231" s="157"/>
      <c r="Z231" s="29"/>
      <c r="AA231" s="157"/>
      <c r="AB231" s="157"/>
      <c r="AC231" s="157"/>
    </row>
    <row r="232" spans="2:29" ht="20" customHeight="1" x14ac:dyDescent="0.35">
      <c r="B232"/>
      <c r="C232"/>
      <c r="D232"/>
      <c r="E232"/>
      <c r="F232"/>
      <c r="G232"/>
      <c r="H232"/>
      <c r="I232"/>
      <c r="J232"/>
      <c r="K232"/>
      <c r="L232"/>
      <c r="M232"/>
      <c r="N232"/>
      <c r="O232"/>
      <c r="P232"/>
      <c r="Q232"/>
      <c r="R232"/>
      <c r="S232"/>
      <c r="T232"/>
      <c r="U232" s="29"/>
      <c r="V232" s="156"/>
      <c r="W232"/>
      <c r="X232"/>
      <c r="Y232" s="157"/>
      <c r="Z232" s="29"/>
      <c r="AA232" s="157"/>
      <c r="AB232" s="157"/>
      <c r="AC232" s="157"/>
    </row>
    <row r="233" spans="2:29" ht="20" customHeight="1" x14ac:dyDescent="0.35">
      <c r="B233"/>
      <c r="C233"/>
      <c r="D233"/>
      <c r="E233"/>
      <c r="F233"/>
      <c r="G233"/>
      <c r="H233"/>
      <c r="I233"/>
      <c r="J233"/>
      <c r="K233"/>
      <c r="L233"/>
      <c r="M233"/>
      <c r="N233"/>
      <c r="O233"/>
      <c r="P233"/>
      <c r="Q233"/>
      <c r="R233"/>
      <c r="S233"/>
      <c r="T233"/>
      <c r="U233" s="29"/>
      <c r="V233" s="156"/>
      <c r="W233"/>
      <c r="X233"/>
      <c r="Y233" s="157"/>
      <c r="Z233" s="29"/>
      <c r="AA233" s="157"/>
      <c r="AB233" s="157"/>
      <c r="AC233" s="157"/>
    </row>
    <row r="234" spans="2:29" ht="20" customHeight="1" x14ac:dyDescent="0.35">
      <c r="B234"/>
      <c r="C234"/>
      <c r="D234"/>
      <c r="E234"/>
      <c r="F234"/>
      <c r="G234"/>
      <c r="H234"/>
      <c r="I234"/>
      <c r="J234"/>
      <c r="K234"/>
      <c r="L234"/>
      <c r="M234"/>
      <c r="N234"/>
      <c r="O234"/>
      <c r="P234"/>
      <c r="Q234"/>
      <c r="R234"/>
      <c r="S234"/>
      <c r="T234"/>
      <c r="U234" s="29"/>
      <c r="V234" s="156"/>
      <c r="W234"/>
      <c r="X234"/>
      <c r="Y234" s="157"/>
      <c r="Z234" s="29"/>
      <c r="AA234" s="157"/>
      <c r="AB234" s="157"/>
      <c r="AC234" s="157"/>
    </row>
    <row r="235" spans="2:29" ht="20" customHeight="1" x14ac:dyDescent="0.35">
      <c r="B235"/>
      <c r="C235"/>
      <c r="D235"/>
      <c r="E235"/>
      <c r="F235"/>
      <c r="G235"/>
      <c r="H235"/>
      <c r="I235"/>
      <c r="J235"/>
      <c r="K235"/>
      <c r="L235"/>
      <c r="M235"/>
      <c r="N235"/>
      <c r="O235"/>
      <c r="P235"/>
      <c r="Q235"/>
      <c r="R235"/>
      <c r="S235"/>
      <c r="T235"/>
      <c r="U235" s="29"/>
      <c r="V235" s="156"/>
      <c r="W235"/>
      <c r="X235"/>
      <c r="Y235" s="157"/>
      <c r="Z235" s="29"/>
      <c r="AA235" s="157"/>
      <c r="AB235" s="157"/>
      <c r="AC235" s="157"/>
    </row>
    <row r="236" spans="2:29" ht="20" customHeight="1" x14ac:dyDescent="0.35">
      <c r="B236"/>
      <c r="C236"/>
      <c r="D236"/>
      <c r="E236"/>
      <c r="F236"/>
      <c r="G236"/>
      <c r="H236"/>
      <c r="I236"/>
      <c r="J236"/>
      <c r="K236"/>
      <c r="L236"/>
      <c r="M236"/>
      <c r="N236"/>
      <c r="O236"/>
      <c r="P236"/>
      <c r="Q236"/>
      <c r="R236"/>
      <c r="S236"/>
      <c r="T236"/>
      <c r="U236" s="29"/>
      <c r="V236" s="156"/>
      <c r="W236"/>
      <c r="X236"/>
      <c r="Y236" s="157"/>
      <c r="Z236" s="29"/>
      <c r="AA236" s="157"/>
      <c r="AB236" s="157"/>
      <c r="AC236" s="157"/>
    </row>
    <row r="237" spans="2:29" ht="20" customHeight="1" x14ac:dyDescent="0.35">
      <c r="B237"/>
      <c r="C237"/>
      <c r="D237"/>
      <c r="E237"/>
      <c r="F237"/>
      <c r="G237"/>
      <c r="H237"/>
      <c r="I237"/>
      <c r="J237"/>
      <c r="K237"/>
      <c r="L237"/>
      <c r="M237"/>
      <c r="N237"/>
      <c r="O237"/>
      <c r="P237"/>
      <c r="Q237"/>
      <c r="R237"/>
      <c r="S237"/>
      <c r="T237"/>
      <c r="U237" s="29"/>
      <c r="V237" s="156"/>
      <c r="W237"/>
      <c r="X237"/>
      <c r="Y237" s="157"/>
      <c r="Z237" s="29"/>
      <c r="AA237" s="157"/>
      <c r="AB237" s="157"/>
      <c r="AC237" s="157"/>
    </row>
    <row r="238" spans="2:29" ht="20" customHeight="1" x14ac:dyDescent="0.35">
      <c r="B238"/>
      <c r="C238"/>
      <c r="D238"/>
      <c r="E238"/>
      <c r="F238"/>
      <c r="G238"/>
      <c r="H238"/>
      <c r="I238"/>
      <c r="J238"/>
      <c r="K238"/>
      <c r="L238"/>
      <c r="M238"/>
      <c r="N238"/>
      <c r="O238"/>
      <c r="P238"/>
      <c r="Q238"/>
      <c r="R238"/>
      <c r="S238"/>
      <c r="T238"/>
      <c r="U238" s="29"/>
      <c r="V238" s="156"/>
      <c r="W238"/>
      <c r="X238"/>
      <c r="Y238" s="157"/>
      <c r="Z238" s="29"/>
      <c r="AA238" s="157"/>
      <c r="AB238" s="157"/>
      <c r="AC238" s="157"/>
    </row>
    <row r="239" spans="2:29" ht="20" customHeight="1" x14ac:dyDescent="0.35">
      <c r="B239"/>
      <c r="C239"/>
      <c r="D239"/>
      <c r="E239"/>
      <c r="F239"/>
      <c r="G239"/>
      <c r="H239"/>
      <c r="I239"/>
      <c r="J239"/>
      <c r="K239"/>
      <c r="L239"/>
      <c r="M239"/>
      <c r="N239"/>
      <c r="O239"/>
      <c r="P239"/>
      <c r="Q239"/>
      <c r="R239"/>
      <c r="S239"/>
      <c r="T239"/>
      <c r="U239" s="29"/>
      <c r="V239" s="156"/>
      <c r="W239"/>
      <c r="X239"/>
      <c r="Y239" s="157"/>
      <c r="Z239" s="29"/>
      <c r="AA239" s="157"/>
      <c r="AB239" s="157"/>
      <c r="AC239" s="157"/>
    </row>
    <row r="240" spans="2:29" ht="20" customHeight="1" x14ac:dyDescent="0.35">
      <c r="B240"/>
      <c r="C240"/>
      <c r="D240"/>
      <c r="E240"/>
      <c r="F240"/>
      <c r="G240"/>
      <c r="H240"/>
      <c r="I240"/>
      <c r="J240"/>
      <c r="K240"/>
      <c r="L240"/>
      <c r="M240"/>
      <c r="N240"/>
      <c r="O240"/>
      <c r="P240"/>
      <c r="Q240"/>
      <c r="R240"/>
      <c r="S240"/>
      <c r="T240"/>
      <c r="U240" s="29"/>
      <c r="V240" s="156"/>
      <c r="W240"/>
      <c r="X240"/>
      <c r="Y240" s="157"/>
      <c r="Z240" s="29"/>
      <c r="AA240" s="157"/>
      <c r="AB240" s="157"/>
      <c r="AC240" s="157"/>
    </row>
    <row r="241" spans="2:29" ht="20" customHeight="1" x14ac:dyDescent="0.35">
      <c r="B241"/>
      <c r="C241"/>
      <c r="D241"/>
      <c r="E241"/>
      <c r="F241"/>
      <c r="G241"/>
      <c r="H241"/>
      <c r="I241"/>
      <c r="J241"/>
      <c r="K241"/>
      <c r="L241"/>
      <c r="M241"/>
      <c r="N241"/>
      <c r="O241"/>
      <c r="P241"/>
      <c r="Q241"/>
      <c r="R241"/>
      <c r="S241"/>
      <c r="T241"/>
      <c r="U241" s="29"/>
      <c r="V241" s="156"/>
      <c r="W241"/>
      <c r="X241"/>
      <c r="Y241" s="157"/>
      <c r="Z241" s="29"/>
      <c r="AA241" s="157"/>
      <c r="AB241" s="157"/>
      <c r="AC241" s="157"/>
    </row>
    <row r="242" spans="2:29" ht="20" customHeight="1" x14ac:dyDescent="0.35">
      <c r="B242"/>
      <c r="C242"/>
      <c r="D242"/>
      <c r="E242"/>
      <c r="F242"/>
      <c r="G242"/>
      <c r="H242"/>
      <c r="I242"/>
      <c r="J242"/>
      <c r="K242"/>
      <c r="L242"/>
      <c r="M242"/>
      <c r="N242"/>
      <c r="O242"/>
      <c r="P242"/>
      <c r="Q242"/>
      <c r="R242"/>
      <c r="S242"/>
      <c r="T242"/>
      <c r="U242" s="29"/>
      <c r="V242" s="156"/>
      <c r="W242"/>
      <c r="X242"/>
      <c r="Y242" s="157"/>
      <c r="Z242" s="29"/>
      <c r="AA242" s="157"/>
      <c r="AB242" s="157"/>
      <c r="AC242" s="157"/>
    </row>
    <row r="243" spans="2:29" ht="20" customHeight="1" x14ac:dyDescent="0.35">
      <c r="B243"/>
      <c r="C243"/>
      <c r="D243"/>
      <c r="E243"/>
      <c r="F243"/>
      <c r="G243"/>
      <c r="H243"/>
      <c r="I243"/>
      <c r="J243"/>
      <c r="K243"/>
      <c r="L243"/>
      <c r="M243"/>
      <c r="N243"/>
      <c r="O243"/>
      <c r="P243"/>
      <c r="Q243"/>
      <c r="R243"/>
      <c r="S243"/>
      <c r="T243"/>
      <c r="U243" s="29"/>
      <c r="V243" s="156"/>
      <c r="W243"/>
      <c r="X243"/>
      <c r="Y243" s="157"/>
      <c r="Z243" s="29"/>
      <c r="AA243" s="157"/>
      <c r="AB243" s="157"/>
      <c r="AC243" s="157"/>
    </row>
    <row r="244" spans="2:29" ht="20" customHeight="1" x14ac:dyDescent="0.35">
      <c r="B244"/>
      <c r="C244"/>
      <c r="D244"/>
      <c r="E244"/>
      <c r="F244"/>
      <c r="G244"/>
      <c r="H244"/>
      <c r="I244"/>
      <c r="J244"/>
      <c r="K244"/>
      <c r="L244"/>
      <c r="M244"/>
      <c r="N244"/>
      <c r="O244"/>
      <c r="P244"/>
      <c r="Q244"/>
      <c r="R244"/>
      <c r="S244"/>
      <c r="T244"/>
      <c r="U244" s="29"/>
      <c r="V244" s="156"/>
      <c r="W244"/>
      <c r="X244"/>
      <c r="Y244" s="157"/>
      <c r="Z244" s="29"/>
      <c r="AA244" s="157"/>
      <c r="AB244" s="157"/>
      <c r="AC244" s="157"/>
    </row>
    <row r="245" spans="2:29" ht="20" customHeight="1" x14ac:dyDescent="0.35">
      <c r="B245"/>
      <c r="C245"/>
      <c r="D245"/>
      <c r="E245"/>
      <c r="F245"/>
      <c r="G245"/>
      <c r="H245"/>
      <c r="I245"/>
      <c r="J245"/>
      <c r="K245"/>
      <c r="L245"/>
      <c r="M245"/>
      <c r="N245"/>
      <c r="O245"/>
      <c r="P245"/>
      <c r="Q245"/>
      <c r="R245"/>
      <c r="S245"/>
      <c r="T245"/>
      <c r="U245" s="29"/>
      <c r="V245" s="156"/>
      <c r="W245"/>
      <c r="X245"/>
      <c r="Y245" s="157"/>
      <c r="Z245" s="29"/>
      <c r="AA245" s="157"/>
      <c r="AB245" s="157"/>
      <c r="AC245" s="157"/>
    </row>
    <row r="246" spans="2:29" ht="20" customHeight="1" x14ac:dyDescent="0.35">
      <c r="B246"/>
      <c r="C246"/>
      <c r="D246"/>
      <c r="E246"/>
      <c r="F246"/>
      <c r="G246"/>
      <c r="H246"/>
      <c r="I246"/>
      <c r="J246"/>
      <c r="K246"/>
      <c r="L246"/>
      <c r="M246"/>
      <c r="N246"/>
      <c r="O246"/>
      <c r="P246"/>
      <c r="Q246"/>
      <c r="R246"/>
      <c r="S246"/>
      <c r="T246"/>
      <c r="U246" s="29"/>
      <c r="V246" s="156"/>
      <c r="W246"/>
      <c r="X246"/>
      <c r="Y246" s="157"/>
      <c r="Z246" s="29"/>
      <c r="AA246" s="157"/>
      <c r="AB246" s="157"/>
      <c r="AC246" s="157"/>
    </row>
    <row r="247" spans="2:29" ht="20" customHeight="1" x14ac:dyDescent="0.35">
      <c r="B247"/>
      <c r="C247"/>
      <c r="D247"/>
      <c r="E247"/>
      <c r="F247"/>
      <c r="G247"/>
      <c r="H247"/>
      <c r="I247"/>
      <c r="J247"/>
      <c r="K247"/>
      <c r="M247"/>
      <c r="N247"/>
      <c r="O247"/>
      <c r="P247"/>
      <c r="Q247"/>
      <c r="R247"/>
      <c r="S247"/>
      <c r="T247"/>
      <c r="U247" s="29"/>
      <c r="V247" s="156"/>
      <c r="W247"/>
      <c r="X247"/>
      <c r="Y247" s="157"/>
      <c r="Z247" s="29"/>
      <c r="AA247" s="157"/>
      <c r="AB247" s="157"/>
      <c r="AC247" s="157"/>
    </row>
    <row r="248" spans="2:29" ht="20" customHeight="1" x14ac:dyDescent="0.35">
      <c r="B248"/>
      <c r="C248"/>
      <c r="D248"/>
      <c r="E248"/>
      <c r="F248"/>
      <c r="G248"/>
      <c r="H248"/>
      <c r="I248"/>
      <c r="J248"/>
      <c r="K248"/>
      <c r="L248"/>
      <c r="M248"/>
      <c r="N248"/>
      <c r="O248"/>
      <c r="P248"/>
      <c r="Q248"/>
      <c r="R248"/>
      <c r="S248"/>
      <c r="T248"/>
      <c r="U248" s="29"/>
      <c r="V248" s="156"/>
      <c r="W248"/>
      <c r="X248"/>
      <c r="Y248" s="157"/>
      <c r="Z248" s="29"/>
      <c r="AA248" s="157"/>
      <c r="AB248" s="157"/>
      <c r="AC248" s="157"/>
    </row>
    <row r="249" spans="2:29" ht="20" customHeight="1" x14ac:dyDescent="0.35">
      <c r="B249"/>
      <c r="C249"/>
      <c r="D249"/>
      <c r="E249"/>
      <c r="F249"/>
      <c r="G249"/>
      <c r="H249"/>
      <c r="I249"/>
      <c r="J249"/>
      <c r="K249"/>
      <c r="L249"/>
      <c r="M249"/>
      <c r="N249"/>
      <c r="O249"/>
      <c r="P249"/>
      <c r="Q249"/>
      <c r="R249"/>
      <c r="S249"/>
      <c r="T249"/>
      <c r="U249" s="29"/>
      <c r="V249" s="156"/>
      <c r="W249"/>
      <c r="X249"/>
      <c r="Y249" s="157"/>
      <c r="Z249" s="29"/>
      <c r="AA249" s="157"/>
      <c r="AB249" s="157"/>
      <c r="AC249" s="157"/>
    </row>
    <row r="250" spans="2:29" ht="20" customHeight="1" x14ac:dyDescent="0.35">
      <c r="B250"/>
      <c r="C250"/>
      <c r="D250"/>
      <c r="E250"/>
      <c r="F250"/>
      <c r="G250"/>
      <c r="H250"/>
      <c r="I250"/>
      <c r="J250"/>
      <c r="K250"/>
      <c r="L250"/>
      <c r="M250"/>
      <c r="N250"/>
      <c r="O250"/>
      <c r="P250"/>
      <c r="Q250"/>
      <c r="R250"/>
      <c r="S250"/>
      <c r="T250"/>
      <c r="U250" s="29"/>
      <c r="V250" s="156"/>
      <c r="W250"/>
      <c r="X250"/>
      <c r="Y250" s="157"/>
      <c r="Z250" s="29"/>
      <c r="AA250" s="157"/>
      <c r="AB250" s="157"/>
      <c r="AC250" s="157"/>
    </row>
    <row r="251" spans="2:29" ht="20" customHeight="1" x14ac:dyDescent="0.35">
      <c r="B251"/>
      <c r="C251"/>
      <c r="D251"/>
      <c r="E251"/>
      <c r="F251"/>
      <c r="G251"/>
      <c r="H251"/>
      <c r="I251"/>
      <c r="J251"/>
      <c r="K251"/>
      <c r="L251"/>
      <c r="M251"/>
      <c r="N251"/>
      <c r="O251"/>
      <c r="P251"/>
      <c r="Q251"/>
      <c r="R251"/>
      <c r="S251"/>
      <c r="T251"/>
      <c r="U251" s="29"/>
      <c r="V251" s="156"/>
      <c r="W251"/>
      <c r="X251"/>
      <c r="Y251" s="157"/>
      <c r="Z251" s="29"/>
      <c r="AA251" s="157"/>
      <c r="AB251" s="157"/>
      <c r="AC251" s="157"/>
    </row>
    <row r="252" spans="2:29" ht="20" customHeight="1" x14ac:dyDescent="0.35">
      <c r="B252"/>
      <c r="C252"/>
      <c r="D252"/>
      <c r="E252"/>
      <c r="F252"/>
      <c r="G252"/>
      <c r="H252"/>
      <c r="I252"/>
      <c r="J252"/>
      <c r="K252"/>
      <c r="L252"/>
      <c r="M252"/>
      <c r="N252"/>
      <c r="O252"/>
      <c r="P252"/>
      <c r="Q252"/>
      <c r="R252"/>
      <c r="S252"/>
      <c r="T252"/>
      <c r="U252" s="29"/>
      <c r="V252" s="156"/>
      <c r="W252"/>
      <c r="X252"/>
      <c r="Y252" s="157"/>
      <c r="Z252" s="29"/>
      <c r="AA252" s="157"/>
      <c r="AB252" s="157"/>
      <c r="AC252" s="157"/>
    </row>
    <row r="253" spans="2:29" ht="20" customHeight="1" x14ac:dyDescent="0.35">
      <c r="B253"/>
      <c r="C253"/>
      <c r="D253"/>
      <c r="E253"/>
      <c r="F253"/>
      <c r="G253"/>
      <c r="H253"/>
      <c r="I253"/>
      <c r="J253"/>
      <c r="K253"/>
      <c r="L253"/>
      <c r="M253"/>
      <c r="N253"/>
      <c r="O253"/>
      <c r="P253"/>
      <c r="Q253"/>
      <c r="R253"/>
      <c r="S253"/>
      <c r="T253"/>
      <c r="U253" s="29"/>
      <c r="V253" s="156"/>
      <c r="W253"/>
      <c r="X253"/>
      <c r="Y253" s="157"/>
      <c r="Z253" s="29"/>
      <c r="AA253" s="157"/>
      <c r="AB253" s="157"/>
      <c r="AC253" s="157"/>
    </row>
    <row r="254" spans="2:29" ht="20" customHeight="1" x14ac:dyDescent="0.35">
      <c r="B254"/>
      <c r="C254"/>
      <c r="D254"/>
      <c r="E254"/>
      <c r="F254"/>
      <c r="G254"/>
      <c r="H254"/>
      <c r="I254"/>
      <c r="J254"/>
      <c r="K254"/>
      <c r="L254"/>
      <c r="M254"/>
      <c r="N254"/>
      <c r="O254"/>
      <c r="P254"/>
      <c r="Q254"/>
      <c r="R254"/>
      <c r="S254"/>
      <c r="T254"/>
      <c r="U254" s="29"/>
      <c r="V254" s="156"/>
      <c r="W254"/>
      <c r="X254"/>
      <c r="Y254" s="157"/>
      <c r="Z254" s="29"/>
      <c r="AA254" s="157"/>
      <c r="AB254" s="157"/>
      <c r="AC254" s="157"/>
    </row>
    <row r="255" spans="2:29" ht="20" customHeight="1" x14ac:dyDescent="0.35">
      <c r="B255"/>
      <c r="C255"/>
      <c r="D255"/>
      <c r="E255"/>
      <c r="F255"/>
      <c r="G255"/>
      <c r="H255"/>
      <c r="I255"/>
      <c r="J255"/>
      <c r="K255"/>
      <c r="L255"/>
      <c r="M255"/>
      <c r="N255"/>
      <c r="O255"/>
      <c r="P255"/>
      <c r="Q255"/>
      <c r="R255"/>
      <c r="S255"/>
      <c r="T255"/>
      <c r="U255" s="29"/>
      <c r="V255" s="156"/>
      <c r="W255"/>
      <c r="X255"/>
      <c r="Y255" s="157"/>
      <c r="Z255" s="29"/>
      <c r="AA255" s="157"/>
      <c r="AB255" s="157"/>
      <c r="AC255" s="157"/>
    </row>
    <row r="256" spans="2:29" ht="20" customHeight="1" x14ac:dyDescent="0.35">
      <c r="B256"/>
      <c r="C256"/>
      <c r="D256"/>
      <c r="E256"/>
      <c r="F256"/>
      <c r="G256"/>
      <c r="H256"/>
      <c r="I256"/>
      <c r="J256"/>
      <c r="K256"/>
      <c r="L256"/>
      <c r="M256"/>
      <c r="N256"/>
      <c r="O256"/>
      <c r="P256"/>
      <c r="Q256"/>
      <c r="R256"/>
      <c r="S256"/>
      <c r="T256"/>
      <c r="U256" s="29"/>
      <c r="V256" s="156"/>
      <c r="W256"/>
      <c r="X256"/>
      <c r="Y256" s="157"/>
      <c r="Z256" s="29"/>
      <c r="AA256" s="157"/>
      <c r="AB256" s="157"/>
      <c r="AC256" s="157"/>
    </row>
    <row r="257" spans="2:29" ht="20" customHeight="1" x14ac:dyDescent="0.35">
      <c r="B257"/>
      <c r="C257"/>
      <c r="D257"/>
      <c r="E257"/>
      <c r="F257"/>
      <c r="G257"/>
      <c r="H257"/>
      <c r="I257"/>
      <c r="J257"/>
      <c r="K257"/>
      <c r="L257"/>
      <c r="M257"/>
      <c r="N257"/>
      <c r="O257"/>
      <c r="P257"/>
      <c r="Q257"/>
      <c r="R257"/>
      <c r="S257"/>
      <c r="T257"/>
      <c r="U257" s="29"/>
      <c r="V257" s="156"/>
      <c r="W257"/>
      <c r="X257"/>
      <c r="Y257" s="157"/>
      <c r="Z257" s="29"/>
      <c r="AA257" s="157"/>
      <c r="AB257" s="157"/>
      <c r="AC257" s="157"/>
    </row>
    <row r="258" spans="2:29" ht="20" customHeight="1" x14ac:dyDescent="0.35">
      <c r="B258"/>
      <c r="C258"/>
      <c r="D258"/>
      <c r="E258"/>
      <c r="F258"/>
      <c r="G258"/>
      <c r="H258"/>
      <c r="I258"/>
      <c r="J258"/>
      <c r="K258"/>
      <c r="L258"/>
      <c r="M258"/>
      <c r="N258"/>
      <c r="O258"/>
      <c r="P258"/>
      <c r="Q258"/>
      <c r="R258"/>
      <c r="S258"/>
      <c r="T258"/>
      <c r="U258" s="29"/>
      <c r="V258" s="156"/>
      <c r="W258"/>
      <c r="X258"/>
      <c r="Y258" s="157"/>
      <c r="Z258" s="29"/>
      <c r="AA258" s="157"/>
      <c r="AB258" s="157"/>
      <c r="AC258" s="157"/>
    </row>
    <row r="259" spans="2:29" ht="20" customHeight="1" x14ac:dyDescent="0.35">
      <c r="B259"/>
      <c r="C259"/>
      <c r="D259"/>
      <c r="E259"/>
      <c r="F259"/>
      <c r="G259"/>
      <c r="H259"/>
      <c r="I259"/>
      <c r="J259"/>
      <c r="K259"/>
      <c r="L259"/>
      <c r="M259"/>
      <c r="N259"/>
      <c r="O259"/>
      <c r="P259"/>
      <c r="Q259"/>
      <c r="R259"/>
      <c r="S259"/>
      <c r="T259"/>
      <c r="U259" s="29"/>
      <c r="V259" s="156"/>
      <c r="W259"/>
      <c r="X259"/>
      <c r="Y259" s="157"/>
      <c r="Z259" s="29"/>
      <c r="AA259" s="157"/>
      <c r="AB259" s="157"/>
      <c r="AC259" s="157"/>
    </row>
    <row r="260" spans="2:29" ht="20" customHeight="1" x14ac:dyDescent="0.35">
      <c r="B260"/>
      <c r="C260"/>
      <c r="D260"/>
      <c r="E260"/>
      <c r="F260"/>
      <c r="G260"/>
      <c r="H260"/>
      <c r="I260"/>
      <c r="J260"/>
      <c r="K260"/>
      <c r="L260"/>
      <c r="M260"/>
      <c r="N260"/>
      <c r="O260"/>
      <c r="P260"/>
      <c r="Q260"/>
      <c r="R260"/>
      <c r="S260"/>
      <c r="T260"/>
      <c r="U260" s="29"/>
      <c r="V260" s="156"/>
      <c r="W260"/>
      <c r="X260"/>
      <c r="Y260" s="157"/>
      <c r="Z260" s="29"/>
      <c r="AA260" s="157"/>
      <c r="AB260" s="157"/>
      <c r="AC260" s="157"/>
    </row>
    <row r="261" spans="2:29" ht="20" customHeight="1" x14ac:dyDescent="0.35">
      <c r="B261"/>
      <c r="C261"/>
      <c r="D261"/>
      <c r="E261"/>
      <c r="F261"/>
      <c r="G261"/>
      <c r="H261"/>
      <c r="I261"/>
      <c r="J261"/>
      <c r="K261"/>
      <c r="L261"/>
      <c r="M261"/>
      <c r="N261"/>
      <c r="O261"/>
      <c r="P261"/>
      <c r="Q261"/>
      <c r="R261"/>
      <c r="S261"/>
      <c r="T261"/>
      <c r="U261" s="29"/>
      <c r="V261" s="156"/>
      <c r="W261"/>
      <c r="X261"/>
      <c r="Y261" s="157"/>
      <c r="Z261" s="29"/>
      <c r="AA261" s="157"/>
      <c r="AB261" s="157"/>
      <c r="AC261" s="157"/>
    </row>
    <row r="262" spans="2:29" ht="20" customHeight="1" x14ac:dyDescent="0.35">
      <c r="B262"/>
      <c r="C262"/>
      <c r="D262"/>
      <c r="E262"/>
      <c r="F262"/>
      <c r="G262"/>
      <c r="H262"/>
      <c r="I262"/>
      <c r="J262"/>
      <c r="K262"/>
      <c r="L262"/>
      <c r="M262"/>
      <c r="N262"/>
      <c r="O262"/>
      <c r="P262"/>
      <c r="Q262"/>
      <c r="R262"/>
      <c r="S262"/>
      <c r="T262"/>
      <c r="U262" s="29"/>
      <c r="V262" s="156"/>
      <c r="W262"/>
      <c r="X262"/>
      <c r="Y262" s="157"/>
      <c r="Z262" s="29"/>
      <c r="AA262" s="157"/>
      <c r="AB262" s="157"/>
      <c r="AC262" s="157"/>
    </row>
    <row r="263" spans="2:29" ht="20" customHeight="1" x14ac:dyDescent="0.35">
      <c r="B263"/>
      <c r="C263"/>
      <c r="D263"/>
      <c r="E263"/>
      <c r="F263"/>
      <c r="G263"/>
      <c r="H263"/>
      <c r="I263"/>
      <c r="J263"/>
      <c r="K263"/>
      <c r="L263"/>
      <c r="M263"/>
      <c r="N263"/>
      <c r="O263"/>
      <c r="P263"/>
      <c r="Q263"/>
      <c r="R263"/>
      <c r="S263"/>
      <c r="T263"/>
      <c r="U263" s="29"/>
      <c r="V263" s="156"/>
      <c r="W263"/>
      <c r="X263"/>
      <c r="Y263" s="157"/>
      <c r="Z263" s="29"/>
      <c r="AA263" s="157"/>
      <c r="AB263" s="157"/>
      <c r="AC263" s="157"/>
    </row>
    <row r="264" spans="2:29" ht="20" customHeight="1" x14ac:dyDescent="0.35">
      <c r="B264"/>
      <c r="C264"/>
      <c r="D264"/>
      <c r="E264"/>
      <c r="F264"/>
      <c r="G264"/>
      <c r="H264"/>
      <c r="I264"/>
      <c r="J264"/>
      <c r="K264"/>
      <c r="L264"/>
      <c r="M264"/>
      <c r="N264"/>
      <c r="O264"/>
      <c r="P264"/>
      <c r="Q264"/>
      <c r="R264"/>
      <c r="S264"/>
      <c r="T264"/>
      <c r="U264" s="29"/>
      <c r="V264" s="156"/>
      <c r="W264"/>
      <c r="X264"/>
      <c r="Y264" s="157"/>
      <c r="Z264" s="29"/>
      <c r="AA264" s="157"/>
      <c r="AB264" s="157"/>
      <c r="AC264" s="157"/>
    </row>
    <row r="265" spans="2:29" ht="20" customHeight="1" x14ac:dyDescent="0.35">
      <c r="B265"/>
      <c r="C265"/>
      <c r="D265"/>
      <c r="E265"/>
      <c r="F265"/>
      <c r="G265"/>
      <c r="H265"/>
      <c r="I265"/>
      <c r="J265"/>
      <c r="K265"/>
      <c r="L265"/>
      <c r="M265"/>
      <c r="N265"/>
      <c r="O265"/>
      <c r="P265"/>
      <c r="Q265"/>
      <c r="R265"/>
      <c r="S265"/>
      <c r="T265"/>
      <c r="U265" s="29"/>
      <c r="V265" s="156"/>
      <c r="W265"/>
      <c r="X265"/>
      <c r="Y265" s="157"/>
      <c r="Z265" s="29"/>
      <c r="AA265" s="157"/>
      <c r="AB265" s="157"/>
      <c r="AC265" s="157"/>
    </row>
    <row r="266" spans="2:29" ht="20" customHeight="1" x14ac:dyDescent="0.35">
      <c r="B266"/>
      <c r="C266"/>
      <c r="D266"/>
      <c r="E266"/>
      <c r="F266"/>
      <c r="G266"/>
      <c r="H266"/>
      <c r="I266"/>
      <c r="J266"/>
      <c r="K266"/>
      <c r="L266"/>
      <c r="M266"/>
      <c r="N266"/>
      <c r="O266"/>
      <c r="P266"/>
      <c r="Q266"/>
      <c r="R266"/>
      <c r="S266"/>
      <c r="T266"/>
      <c r="U266" s="29"/>
      <c r="V266" s="156"/>
      <c r="W266"/>
      <c r="X266"/>
      <c r="Y266" s="157"/>
      <c r="Z266" s="29"/>
      <c r="AA266" s="157"/>
      <c r="AB266" s="157"/>
      <c r="AC266" s="157"/>
    </row>
    <row r="267" spans="2:29" ht="20" customHeight="1" x14ac:dyDescent="0.35">
      <c r="B267"/>
      <c r="C267"/>
      <c r="D267"/>
      <c r="E267"/>
      <c r="F267"/>
      <c r="G267"/>
      <c r="H267"/>
      <c r="I267"/>
      <c r="J267"/>
      <c r="K267"/>
      <c r="L267"/>
      <c r="M267"/>
      <c r="N267"/>
      <c r="O267"/>
      <c r="P267"/>
      <c r="Q267"/>
      <c r="R267"/>
      <c r="S267"/>
      <c r="T267"/>
      <c r="U267" s="29"/>
      <c r="V267" s="156"/>
      <c r="W267"/>
      <c r="X267"/>
      <c r="Y267" s="157"/>
      <c r="Z267" s="29"/>
      <c r="AA267" s="157"/>
      <c r="AB267" s="157"/>
      <c r="AC267" s="157"/>
    </row>
    <row r="268" spans="2:29" ht="20" customHeight="1" x14ac:dyDescent="0.35">
      <c r="B268"/>
      <c r="C268"/>
      <c r="D268"/>
      <c r="E268"/>
      <c r="F268"/>
      <c r="G268"/>
      <c r="H268"/>
      <c r="I268"/>
      <c r="J268"/>
      <c r="K268"/>
      <c r="L268"/>
      <c r="M268"/>
      <c r="N268"/>
      <c r="O268"/>
      <c r="P268"/>
      <c r="Q268"/>
      <c r="R268"/>
      <c r="S268"/>
      <c r="T268"/>
      <c r="U268" s="29"/>
      <c r="V268" s="156"/>
      <c r="W268"/>
      <c r="X268"/>
      <c r="Y268" s="157"/>
      <c r="Z268" s="29"/>
      <c r="AA268" s="157"/>
      <c r="AB268" s="157"/>
      <c r="AC268" s="157"/>
    </row>
    <row r="269" spans="2:29" ht="20" customHeight="1" x14ac:dyDescent="0.35">
      <c r="B269"/>
      <c r="C269"/>
      <c r="D269"/>
      <c r="E269"/>
      <c r="F269"/>
      <c r="G269"/>
      <c r="H269"/>
      <c r="I269"/>
      <c r="J269"/>
      <c r="K269"/>
      <c r="L269"/>
      <c r="M269"/>
      <c r="N269"/>
      <c r="O269"/>
      <c r="P269"/>
      <c r="Q269"/>
      <c r="R269"/>
      <c r="S269"/>
      <c r="T269"/>
      <c r="U269" s="29"/>
      <c r="V269" s="156"/>
      <c r="W269"/>
      <c r="X269"/>
      <c r="Y269" s="157"/>
      <c r="Z269" s="29"/>
      <c r="AA269" s="157"/>
      <c r="AB269" s="157"/>
      <c r="AC269" s="157"/>
    </row>
    <row r="270" spans="2:29" ht="20" customHeight="1" x14ac:dyDescent="0.35">
      <c r="B270"/>
      <c r="C270"/>
      <c r="D270"/>
      <c r="E270"/>
      <c r="F270"/>
      <c r="G270"/>
      <c r="H270"/>
      <c r="I270"/>
      <c r="J270"/>
      <c r="K270"/>
      <c r="L270"/>
      <c r="M270"/>
      <c r="N270"/>
      <c r="O270"/>
      <c r="P270"/>
      <c r="Q270"/>
      <c r="R270"/>
      <c r="S270"/>
      <c r="T270"/>
      <c r="U270" s="29"/>
      <c r="V270" s="156"/>
      <c r="W270"/>
      <c r="X270"/>
      <c r="Y270" s="157"/>
      <c r="Z270" s="29"/>
      <c r="AA270" s="157"/>
      <c r="AB270" s="157"/>
      <c r="AC270" s="157"/>
    </row>
    <row r="271" spans="2:29" ht="20" customHeight="1" x14ac:dyDescent="0.35">
      <c r="B271"/>
      <c r="C271"/>
      <c r="D271"/>
      <c r="E271"/>
      <c r="F271"/>
      <c r="G271"/>
      <c r="H271"/>
      <c r="I271"/>
      <c r="J271"/>
      <c r="K271"/>
      <c r="L271"/>
      <c r="M271"/>
      <c r="N271"/>
      <c r="O271"/>
      <c r="P271"/>
      <c r="Q271"/>
      <c r="R271"/>
      <c r="S271"/>
      <c r="T271"/>
      <c r="U271" s="29"/>
      <c r="V271" s="156"/>
      <c r="W271"/>
      <c r="X271"/>
      <c r="Y271" s="157"/>
      <c r="Z271" s="29"/>
      <c r="AA271" s="157"/>
      <c r="AB271" s="157"/>
      <c r="AC271" s="157"/>
    </row>
    <row r="272" spans="2:29" ht="20" customHeight="1" x14ac:dyDescent="0.35">
      <c r="B272"/>
      <c r="C272"/>
      <c r="D272"/>
      <c r="E272"/>
      <c r="F272"/>
      <c r="G272"/>
      <c r="H272"/>
      <c r="I272"/>
      <c r="J272"/>
      <c r="K272"/>
      <c r="L272"/>
      <c r="M272"/>
      <c r="N272"/>
      <c r="O272"/>
      <c r="P272"/>
      <c r="Q272"/>
      <c r="R272"/>
      <c r="S272"/>
      <c r="T272"/>
      <c r="U272" s="29"/>
      <c r="V272" s="156"/>
      <c r="W272"/>
      <c r="X272"/>
      <c r="Y272" s="157"/>
      <c r="Z272" s="29"/>
      <c r="AA272" s="157"/>
      <c r="AB272" s="157"/>
      <c r="AC272" s="157"/>
    </row>
    <row r="273" spans="2:29" ht="20" customHeight="1" x14ac:dyDescent="0.35">
      <c r="B273"/>
      <c r="C273"/>
      <c r="D273"/>
      <c r="E273"/>
      <c r="F273"/>
      <c r="G273"/>
      <c r="H273"/>
      <c r="I273"/>
      <c r="J273"/>
      <c r="K273"/>
      <c r="L273"/>
      <c r="M273"/>
      <c r="N273"/>
      <c r="O273"/>
      <c r="P273"/>
      <c r="Q273"/>
      <c r="R273"/>
      <c r="S273"/>
      <c r="T273"/>
      <c r="U273" s="29"/>
      <c r="V273" s="156"/>
      <c r="W273"/>
      <c r="X273"/>
      <c r="Y273" s="157"/>
      <c r="Z273" s="29"/>
      <c r="AA273" s="157"/>
      <c r="AB273" s="157"/>
      <c r="AC273" s="157"/>
    </row>
    <row r="274" spans="2:29" ht="20" customHeight="1" x14ac:dyDescent="0.35">
      <c r="B274"/>
      <c r="C274"/>
      <c r="D274"/>
      <c r="E274"/>
      <c r="F274"/>
      <c r="G274"/>
      <c r="H274"/>
      <c r="I274"/>
      <c r="J274"/>
      <c r="K274"/>
      <c r="L274"/>
      <c r="M274"/>
      <c r="N274"/>
      <c r="O274"/>
      <c r="P274"/>
      <c r="Q274"/>
      <c r="R274"/>
      <c r="S274"/>
      <c r="T274"/>
      <c r="U274" s="29"/>
      <c r="V274" s="156"/>
      <c r="W274"/>
      <c r="X274"/>
      <c r="Y274" s="157"/>
      <c r="Z274" s="29"/>
      <c r="AA274" s="157"/>
      <c r="AB274" s="157"/>
      <c r="AC274" s="157"/>
    </row>
    <row r="275" spans="2:29" ht="20" customHeight="1" x14ac:dyDescent="0.35">
      <c r="B275"/>
      <c r="C275"/>
      <c r="D275"/>
      <c r="E275"/>
      <c r="F275"/>
      <c r="G275"/>
      <c r="H275"/>
      <c r="I275"/>
      <c r="J275"/>
      <c r="K275"/>
      <c r="L275"/>
      <c r="M275"/>
      <c r="N275"/>
      <c r="O275"/>
      <c r="P275"/>
      <c r="Q275"/>
      <c r="R275"/>
      <c r="S275"/>
      <c r="T275"/>
      <c r="U275" s="29"/>
      <c r="V275" s="156"/>
      <c r="W275"/>
      <c r="X275"/>
      <c r="Y275" s="157"/>
      <c r="Z275" s="29"/>
      <c r="AA275" s="157"/>
      <c r="AB275" s="157"/>
      <c r="AC275" s="157"/>
    </row>
    <row r="276" spans="2:29" ht="20" customHeight="1" x14ac:dyDescent="0.35">
      <c r="B276"/>
      <c r="C276"/>
      <c r="D276"/>
      <c r="E276"/>
      <c r="F276"/>
      <c r="G276"/>
      <c r="H276"/>
      <c r="I276"/>
      <c r="J276"/>
      <c r="K276"/>
      <c r="L276"/>
      <c r="M276"/>
      <c r="N276"/>
      <c r="O276"/>
      <c r="P276"/>
      <c r="Q276"/>
      <c r="R276"/>
      <c r="S276"/>
      <c r="T276"/>
      <c r="U276" s="29"/>
      <c r="V276" s="156"/>
      <c r="W276"/>
      <c r="X276"/>
      <c r="Y276" s="157"/>
      <c r="Z276" s="29"/>
      <c r="AA276" s="157"/>
      <c r="AB276" s="157"/>
      <c r="AC276" s="157"/>
    </row>
    <row r="277" spans="2:29" ht="20" customHeight="1" x14ac:dyDescent="0.35">
      <c r="B277"/>
      <c r="C277"/>
      <c r="D277"/>
      <c r="E277"/>
      <c r="F277"/>
      <c r="G277"/>
      <c r="H277"/>
      <c r="I277"/>
      <c r="J277"/>
      <c r="K277"/>
      <c r="L277"/>
      <c r="M277"/>
      <c r="N277"/>
      <c r="O277"/>
      <c r="P277"/>
      <c r="Q277"/>
      <c r="R277"/>
      <c r="T277"/>
      <c r="U277" s="29"/>
      <c r="V277" s="156"/>
      <c r="W277"/>
      <c r="X277"/>
      <c r="Y277" s="157"/>
      <c r="Z277" s="29"/>
      <c r="AA277" s="157"/>
      <c r="AB277" s="157"/>
      <c r="AC277" s="157"/>
    </row>
    <row r="278" spans="2:29" ht="20" customHeight="1" x14ac:dyDescent="0.35">
      <c r="B278"/>
      <c r="C278"/>
      <c r="D278"/>
      <c r="E278"/>
      <c r="F278"/>
      <c r="G278"/>
      <c r="H278"/>
      <c r="I278"/>
      <c r="J278"/>
      <c r="K278"/>
      <c r="L278"/>
      <c r="M278"/>
      <c r="N278"/>
      <c r="O278"/>
      <c r="P278"/>
      <c r="Q278"/>
      <c r="R278"/>
      <c r="S278"/>
      <c r="T278"/>
      <c r="U278" s="29"/>
      <c r="V278" s="156"/>
      <c r="W278"/>
      <c r="X278"/>
      <c r="Y278" s="157"/>
      <c r="Z278" s="29"/>
      <c r="AA278" s="157"/>
      <c r="AB278" s="157"/>
      <c r="AC278" s="157"/>
    </row>
    <row r="279" spans="2:29" ht="20" customHeight="1" x14ac:dyDescent="0.35">
      <c r="B279"/>
      <c r="C279"/>
      <c r="D279"/>
      <c r="E279"/>
      <c r="F279"/>
      <c r="G279"/>
      <c r="H279"/>
      <c r="I279"/>
      <c r="J279"/>
      <c r="K279"/>
      <c r="L279"/>
      <c r="M279"/>
      <c r="N279"/>
      <c r="O279"/>
      <c r="P279"/>
      <c r="Q279"/>
      <c r="R279"/>
      <c r="S279"/>
      <c r="T279"/>
      <c r="U279" s="29"/>
      <c r="V279" s="156"/>
      <c r="W279"/>
      <c r="X279"/>
      <c r="Y279" s="157"/>
      <c r="Z279" s="29"/>
      <c r="AA279" s="157"/>
      <c r="AB279" s="157"/>
      <c r="AC279" s="157"/>
    </row>
    <row r="280" spans="2:29" ht="20" customHeight="1" x14ac:dyDescent="0.35">
      <c r="B280"/>
      <c r="C280"/>
      <c r="D280"/>
      <c r="E280"/>
      <c r="F280"/>
      <c r="G280"/>
      <c r="H280"/>
      <c r="I280"/>
      <c r="J280"/>
      <c r="K280"/>
      <c r="L280"/>
      <c r="M280"/>
      <c r="N280"/>
      <c r="O280"/>
      <c r="P280"/>
      <c r="Q280"/>
      <c r="R280"/>
      <c r="S280"/>
      <c r="T280"/>
      <c r="U280" s="29"/>
      <c r="V280" s="156"/>
      <c r="W280"/>
      <c r="X280"/>
      <c r="Y280" s="157"/>
      <c r="Z280" s="29"/>
      <c r="AA280" s="157"/>
      <c r="AB280" s="157"/>
      <c r="AC280" s="157"/>
    </row>
    <row r="281" spans="2:29" ht="20" customHeight="1" x14ac:dyDescent="0.35">
      <c r="B281"/>
      <c r="C281"/>
      <c r="D281"/>
      <c r="E281"/>
      <c r="F281"/>
      <c r="G281"/>
      <c r="H281"/>
      <c r="I281"/>
      <c r="J281"/>
      <c r="K281"/>
      <c r="L281"/>
      <c r="M281"/>
      <c r="N281"/>
      <c r="O281"/>
      <c r="P281"/>
      <c r="Q281"/>
      <c r="R281"/>
      <c r="S281"/>
      <c r="T281"/>
      <c r="U281" s="29"/>
      <c r="V281" s="156"/>
      <c r="W281"/>
      <c r="X281"/>
      <c r="Y281" s="157"/>
      <c r="Z281" s="29"/>
      <c r="AA281" s="157"/>
      <c r="AB281" s="157"/>
      <c r="AC281" s="157"/>
    </row>
    <row r="282" spans="2:29" ht="20" customHeight="1" x14ac:dyDescent="0.35">
      <c r="B282"/>
      <c r="C282"/>
      <c r="D282"/>
      <c r="E282"/>
      <c r="F282"/>
      <c r="G282"/>
      <c r="H282"/>
      <c r="I282"/>
      <c r="J282"/>
      <c r="K282"/>
      <c r="L282"/>
      <c r="M282"/>
      <c r="N282"/>
      <c r="O282"/>
      <c r="P282"/>
      <c r="Q282"/>
      <c r="R282"/>
      <c r="S282"/>
      <c r="T282"/>
      <c r="U282" s="29"/>
      <c r="V282" s="156"/>
      <c r="W282"/>
      <c r="X282"/>
      <c r="Y282" s="157"/>
      <c r="Z282" s="29"/>
      <c r="AA282" s="157"/>
      <c r="AB282" s="157"/>
      <c r="AC282" s="157"/>
    </row>
    <row r="283" spans="2:29" ht="20" customHeight="1" x14ac:dyDescent="0.35">
      <c r="B283"/>
      <c r="C283"/>
      <c r="D283"/>
      <c r="E283"/>
      <c r="F283"/>
      <c r="G283"/>
      <c r="H283"/>
      <c r="I283"/>
      <c r="J283"/>
      <c r="K283"/>
      <c r="L283"/>
      <c r="M283"/>
      <c r="N283"/>
      <c r="O283"/>
      <c r="P283"/>
      <c r="Q283"/>
      <c r="R283"/>
      <c r="S283"/>
      <c r="T283"/>
      <c r="U283" s="29"/>
      <c r="V283" s="156"/>
      <c r="W283"/>
      <c r="X283"/>
      <c r="Y283" s="157"/>
      <c r="Z283" s="29"/>
      <c r="AA283" s="157"/>
      <c r="AB283" s="157"/>
      <c r="AC283" s="157"/>
    </row>
    <row r="284" spans="2:29" ht="20" customHeight="1" x14ac:dyDescent="0.35">
      <c r="B284"/>
      <c r="C284"/>
      <c r="D284"/>
      <c r="E284"/>
      <c r="F284"/>
      <c r="G284"/>
      <c r="H284"/>
      <c r="I284"/>
      <c r="J284"/>
      <c r="K284"/>
      <c r="L284"/>
      <c r="M284"/>
      <c r="N284"/>
      <c r="O284"/>
      <c r="P284"/>
      <c r="Q284"/>
      <c r="R284"/>
      <c r="S284"/>
      <c r="T284"/>
      <c r="U284" s="29"/>
      <c r="V284" s="156"/>
      <c r="W284"/>
      <c r="X284"/>
      <c r="Y284" s="157"/>
      <c r="Z284" s="29"/>
      <c r="AA284" s="157"/>
      <c r="AB284" s="157"/>
      <c r="AC284" s="157"/>
    </row>
    <row r="285" spans="2:29" ht="20" customHeight="1" x14ac:dyDescent="0.35">
      <c r="B285"/>
      <c r="C285"/>
      <c r="D285"/>
      <c r="E285"/>
      <c r="F285"/>
      <c r="G285"/>
      <c r="H285"/>
      <c r="I285"/>
      <c r="J285"/>
      <c r="K285"/>
      <c r="L285"/>
      <c r="M285"/>
      <c r="N285"/>
      <c r="O285"/>
      <c r="P285"/>
      <c r="Q285"/>
      <c r="R285"/>
      <c r="S285"/>
      <c r="T285"/>
      <c r="U285" s="29"/>
      <c r="V285" s="156"/>
      <c r="W285"/>
      <c r="X285"/>
      <c r="Y285" s="157"/>
      <c r="Z285" s="29"/>
      <c r="AA285" s="157"/>
      <c r="AB285" s="157"/>
      <c r="AC285" s="157"/>
    </row>
    <row r="286" spans="2:29" ht="20" customHeight="1" x14ac:dyDescent="0.35">
      <c r="B286"/>
      <c r="C286"/>
      <c r="D286"/>
      <c r="E286"/>
      <c r="F286"/>
      <c r="G286"/>
      <c r="H286"/>
      <c r="I286"/>
      <c r="J286"/>
      <c r="K286"/>
      <c r="L286"/>
      <c r="M286"/>
      <c r="N286"/>
      <c r="O286"/>
      <c r="P286"/>
      <c r="Q286"/>
      <c r="R286"/>
      <c r="S286"/>
      <c r="T286"/>
      <c r="U286" s="29"/>
      <c r="V286" s="156"/>
      <c r="W286"/>
      <c r="X286"/>
      <c r="Y286" s="157"/>
      <c r="Z286" s="29"/>
      <c r="AA286" s="157"/>
      <c r="AB286" s="157"/>
      <c r="AC286" s="157"/>
    </row>
    <row r="287" spans="2:29" ht="20" customHeight="1" x14ac:dyDescent="0.35">
      <c r="B287"/>
      <c r="C287"/>
      <c r="D287"/>
      <c r="E287"/>
      <c r="F287"/>
      <c r="G287"/>
      <c r="H287"/>
      <c r="I287"/>
      <c r="J287"/>
      <c r="K287"/>
      <c r="L287"/>
      <c r="M287"/>
      <c r="N287"/>
      <c r="O287"/>
      <c r="P287"/>
      <c r="Q287"/>
      <c r="R287"/>
      <c r="S287"/>
      <c r="T287"/>
      <c r="U287" s="29"/>
      <c r="V287" s="156"/>
      <c r="W287"/>
      <c r="X287"/>
      <c r="Y287" s="157"/>
      <c r="Z287" s="29"/>
      <c r="AA287" s="157"/>
      <c r="AB287" s="157"/>
      <c r="AC287" s="157"/>
    </row>
    <row r="288" spans="2:29" ht="20" customHeight="1" x14ac:dyDescent="0.35">
      <c r="B288"/>
      <c r="C288"/>
      <c r="D288"/>
      <c r="E288"/>
      <c r="F288"/>
      <c r="G288"/>
      <c r="H288"/>
      <c r="I288"/>
      <c r="J288"/>
      <c r="K288"/>
      <c r="L288"/>
      <c r="M288"/>
      <c r="N288"/>
      <c r="O288"/>
      <c r="P288"/>
      <c r="Q288"/>
      <c r="R288"/>
      <c r="S288"/>
      <c r="T288"/>
      <c r="U288" s="29"/>
      <c r="V288" s="156"/>
      <c r="W288"/>
      <c r="X288"/>
      <c r="Y288" s="157"/>
      <c r="Z288" s="29"/>
      <c r="AA288" s="157"/>
      <c r="AB288" s="157"/>
      <c r="AC288" s="157"/>
    </row>
    <row r="289" spans="2:29" ht="20" customHeight="1" x14ac:dyDescent="0.35">
      <c r="B289"/>
      <c r="C289"/>
      <c r="D289"/>
      <c r="E289"/>
      <c r="F289"/>
      <c r="G289"/>
      <c r="H289"/>
      <c r="I289"/>
      <c r="J289"/>
      <c r="K289"/>
      <c r="L289"/>
      <c r="M289"/>
      <c r="N289"/>
      <c r="O289"/>
      <c r="P289"/>
      <c r="Q289"/>
      <c r="R289"/>
      <c r="S289"/>
      <c r="T289"/>
      <c r="U289" s="29"/>
      <c r="V289" s="156"/>
      <c r="W289"/>
      <c r="X289"/>
      <c r="Y289" s="157"/>
      <c r="Z289" s="29"/>
      <c r="AA289" s="157"/>
      <c r="AB289" s="157"/>
      <c r="AC289" s="157"/>
    </row>
    <row r="290" spans="2:29" ht="20" customHeight="1" x14ac:dyDescent="0.35">
      <c r="B290"/>
      <c r="C290"/>
      <c r="D290"/>
      <c r="E290"/>
      <c r="F290"/>
      <c r="G290"/>
      <c r="H290"/>
      <c r="I290"/>
      <c r="J290"/>
      <c r="K290"/>
      <c r="L290"/>
      <c r="M290"/>
      <c r="N290"/>
      <c r="O290"/>
      <c r="P290"/>
      <c r="Q290"/>
      <c r="R290"/>
      <c r="S290"/>
      <c r="T290"/>
      <c r="U290" s="29"/>
      <c r="V290" s="156"/>
      <c r="W290"/>
      <c r="X290"/>
      <c r="Y290" s="157"/>
      <c r="Z290" s="29"/>
      <c r="AA290" s="157"/>
      <c r="AB290" s="157"/>
      <c r="AC290" s="157"/>
    </row>
    <row r="291" spans="2:29" ht="20" customHeight="1" x14ac:dyDescent="0.35">
      <c r="B291"/>
      <c r="C291"/>
      <c r="D291"/>
      <c r="E291"/>
      <c r="F291"/>
      <c r="G291"/>
      <c r="H291"/>
      <c r="I291"/>
      <c r="J291"/>
      <c r="K291"/>
      <c r="L291"/>
      <c r="M291"/>
      <c r="N291"/>
      <c r="O291"/>
      <c r="P291"/>
      <c r="Q291"/>
      <c r="R291"/>
      <c r="S291"/>
      <c r="T291"/>
      <c r="U291" s="29"/>
      <c r="V291" s="156"/>
      <c r="W291"/>
      <c r="X291"/>
      <c r="Y291" s="157"/>
      <c r="Z291" s="29"/>
      <c r="AA291" s="157"/>
      <c r="AB291" s="157"/>
      <c r="AC291" s="157"/>
    </row>
    <row r="292" spans="2:29" ht="20" customHeight="1" x14ac:dyDescent="0.35">
      <c r="B292"/>
      <c r="C292"/>
      <c r="D292"/>
      <c r="E292"/>
      <c r="F292"/>
      <c r="G292"/>
      <c r="H292"/>
      <c r="I292"/>
      <c r="J292"/>
      <c r="K292"/>
      <c r="L292"/>
      <c r="M292"/>
      <c r="N292"/>
      <c r="O292"/>
      <c r="P292"/>
      <c r="Q292"/>
      <c r="R292"/>
      <c r="S292"/>
      <c r="T292"/>
      <c r="U292" s="29"/>
      <c r="V292" s="156"/>
      <c r="W292"/>
      <c r="X292"/>
      <c r="Y292" s="157"/>
      <c r="Z292" s="29"/>
      <c r="AA292" s="157"/>
      <c r="AB292" s="157"/>
      <c r="AC292" s="157"/>
    </row>
    <row r="293" spans="2:29" ht="20" customHeight="1" x14ac:dyDescent="0.35">
      <c r="B293"/>
      <c r="C293"/>
      <c r="D293"/>
      <c r="E293"/>
      <c r="F293"/>
      <c r="G293"/>
      <c r="H293"/>
      <c r="I293"/>
      <c r="J293"/>
      <c r="K293"/>
      <c r="L293"/>
      <c r="M293"/>
      <c r="N293"/>
      <c r="O293"/>
      <c r="P293"/>
      <c r="Q293"/>
      <c r="R293"/>
      <c r="S293"/>
      <c r="T293"/>
      <c r="U293" s="29"/>
      <c r="V293" s="156"/>
      <c r="W293"/>
      <c r="X293"/>
      <c r="Y293" s="157"/>
      <c r="Z293" s="29"/>
      <c r="AA293" s="157"/>
      <c r="AB293" s="157"/>
      <c r="AC293" s="157"/>
    </row>
    <row r="294" spans="2:29" ht="20" customHeight="1" x14ac:dyDescent="0.35">
      <c r="B294"/>
      <c r="C294"/>
      <c r="D294"/>
      <c r="E294"/>
      <c r="F294"/>
      <c r="G294"/>
      <c r="H294"/>
      <c r="I294"/>
      <c r="J294"/>
      <c r="K294"/>
      <c r="L294"/>
      <c r="M294"/>
      <c r="N294"/>
      <c r="O294"/>
      <c r="P294"/>
      <c r="Q294"/>
      <c r="R294"/>
      <c r="S294"/>
      <c r="T294"/>
      <c r="U294" s="29"/>
      <c r="V294" s="156"/>
      <c r="W294"/>
      <c r="X294"/>
      <c r="Y294" s="157"/>
      <c r="Z294" s="29"/>
      <c r="AA294" s="157"/>
      <c r="AB294" s="157"/>
      <c r="AC294" s="157"/>
    </row>
    <row r="295" spans="2:29" ht="20" customHeight="1" x14ac:dyDescent="0.35">
      <c r="B295"/>
      <c r="C295"/>
      <c r="D295"/>
      <c r="E295"/>
      <c r="F295"/>
      <c r="G295"/>
      <c r="H295"/>
      <c r="I295"/>
      <c r="J295"/>
      <c r="K295"/>
      <c r="L295"/>
      <c r="M295"/>
      <c r="N295"/>
      <c r="O295"/>
      <c r="P295"/>
      <c r="Q295"/>
      <c r="R295"/>
      <c r="S295"/>
      <c r="T295"/>
      <c r="U295" s="29"/>
      <c r="V295" s="156"/>
      <c r="W295"/>
      <c r="X295"/>
      <c r="Y295" s="157"/>
      <c r="Z295" s="29"/>
      <c r="AA295" s="157"/>
      <c r="AB295" s="157"/>
      <c r="AC295" s="157"/>
    </row>
    <row r="296" spans="2:29" ht="20" customHeight="1" x14ac:dyDescent="0.35">
      <c r="B296"/>
      <c r="C296"/>
      <c r="D296"/>
      <c r="E296"/>
      <c r="F296"/>
      <c r="G296"/>
      <c r="H296"/>
      <c r="I296"/>
      <c r="J296"/>
      <c r="K296"/>
      <c r="L296"/>
      <c r="M296"/>
      <c r="N296"/>
      <c r="O296"/>
      <c r="P296"/>
      <c r="Q296"/>
      <c r="R296"/>
      <c r="S296"/>
      <c r="T296"/>
      <c r="U296" s="29"/>
      <c r="V296" s="156"/>
      <c r="W296"/>
      <c r="X296"/>
      <c r="Y296" s="157"/>
      <c r="Z296" s="29"/>
      <c r="AA296" s="157"/>
      <c r="AB296" s="157"/>
      <c r="AC296" s="157"/>
    </row>
    <row r="297" spans="2:29" ht="20" customHeight="1" x14ac:dyDescent="0.35">
      <c r="U297" s="29"/>
      <c r="V297" s="156"/>
      <c r="W297"/>
      <c r="X297"/>
      <c r="Y297" s="157"/>
      <c r="Z297" s="29"/>
      <c r="AA297" s="157"/>
      <c r="AB297" s="157"/>
      <c r="AC297" s="157"/>
    </row>
    <row r="298" spans="2:29" ht="20" customHeight="1" x14ac:dyDescent="0.35">
      <c r="U298" s="29"/>
      <c r="V298"/>
      <c r="W298" s="157"/>
      <c r="X298"/>
      <c r="Y298" s="157"/>
      <c r="Z298" s="29"/>
      <c r="AA298" s="157"/>
      <c r="AB298" s="157"/>
      <c r="AC298" s="157"/>
    </row>
    <row r="299" spans="2:29" ht="20" customHeight="1" x14ac:dyDescent="0.35">
      <c r="U299" s="29"/>
      <c r="V299"/>
      <c r="W299" s="157"/>
      <c r="X299"/>
      <c r="Y299" s="157"/>
      <c r="Z299" s="29"/>
      <c r="AA299" s="157"/>
      <c r="AB299" s="157"/>
      <c r="AC299" s="157"/>
    </row>
    <row r="300" spans="2:29" ht="20" customHeight="1" x14ac:dyDescent="0.35">
      <c r="U300" s="29"/>
      <c r="V300"/>
      <c r="W300" s="157"/>
      <c r="X300"/>
      <c r="Y300" s="157"/>
      <c r="Z300" s="29"/>
      <c r="AA300" s="157"/>
      <c r="AB300" s="157"/>
      <c r="AC300" s="157"/>
    </row>
    <row r="301" spans="2:29" ht="20" customHeight="1" x14ac:dyDescent="0.35">
      <c r="U301" s="29"/>
      <c r="V301"/>
      <c r="W301" s="157"/>
      <c r="X301"/>
      <c r="Y301" s="157"/>
      <c r="Z301" s="29"/>
      <c r="AA301" s="157"/>
      <c r="AB301" s="157"/>
      <c r="AC301" s="157"/>
    </row>
    <row r="302" spans="2:29" ht="20" customHeight="1" x14ac:dyDescent="0.35">
      <c r="U302" s="29"/>
      <c r="V302"/>
      <c r="W302" s="157"/>
      <c r="X302"/>
      <c r="Y302" s="157"/>
      <c r="Z302" s="29"/>
      <c r="AA302" s="157"/>
      <c r="AB302" s="157"/>
      <c r="AC302" s="157"/>
    </row>
    <row r="303" spans="2:29" ht="20" customHeight="1" x14ac:dyDescent="0.35">
      <c r="U303" s="29"/>
      <c r="V303"/>
      <c r="W303" s="157"/>
      <c r="X303"/>
      <c r="Y303" s="157"/>
      <c r="Z303" s="29"/>
      <c r="AA303" s="157"/>
      <c r="AB303" s="157"/>
      <c r="AC303" s="157"/>
    </row>
    <row r="304" spans="2:29" ht="20" customHeight="1" x14ac:dyDescent="0.35">
      <c r="U304" s="29"/>
      <c r="V304"/>
      <c r="W304" s="157"/>
      <c r="X304"/>
      <c r="Y304" s="157"/>
      <c r="Z304" s="29"/>
      <c r="AA304" s="157"/>
      <c r="AB304" s="157"/>
      <c r="AC304" s="157"/>
    </row>
    <row r="305" spans="21:29" ht="20" customHeight="1" x14ac:dyDescent="0.35">
      <c r="U305" s="29"/>
      <c r="V305"/>
      <c r="W305" s="157"/>
      <c r="X305"/>
      <c r="Y305" s="157"/>
      <c r="Z305" s="29"/>
      <c r="AA305" s="157"/>
      <c r="AB305" s="157"/>
      <c r="AC305" s="157"/>
    </row>
    <row r="306" spans="21:29" ht="20" customHeight="1" x14ac:dyDescent="0.35">
      <c r="U306" s="29"/>
      <c r="V306"/>
      <c r="W306" s="157"/>
      <c r="X306"/>
      <c r="Y306" s="157"/>
      <c r="Z306" s="29"/>
      <c r="AA306" s="157"/>
      <c r="AB306" s="157"/>
      <c r="AC306" s="157"/>
    </row>
    <row r="307" spans="21:29" ht="20" customHeight="1" x14ac:dyDescent="0.35">
      <c r="U307" s="29"/>
      <c r="V307"/>
      <c r="W307" s="157"/>
      <c r="X307"/>
      <c r="Y307" s="157"/>
      <c r="Z307" s="29"/>
      <c r="AA307" s="157"/>
      <c r="AB307" s="157"/>
      <c r="AC307" s="157"/>
    </row>
    <row r="308" spans="21:29" ht="20" customHeight="1" x14ac:dyDescent="0.35">
      <c r="U308" s="29"/>
      <c r="V308"/>
      <c r="W308" s="157"/>
      <c r="X308"/>
      <c r="Y308" s="157"/>
      <c r="Z308" s="29"/>
      <c r="AA308" s="157"/>
      <c r="AB308" s="157"/>
      <c r="AC308" s="157"/>
    </row>
    <row r="309" spans="21:29" ht="20" customHeight="1" x14ac:dyDescent="0.35">
      <c r="U309" s="29"/>
      <c r="V309"/>
      <c r="W309" s="157"/>
      <c r="X309"/>
      <c r="Y309" s="157"/>
      <c r="Z309" s="29"/>
      <c r="AA309" s="157"/>
      <c r="AB309" s="157"/>
      <c r="AC309" s="157"/>
    </row>
    <row r="310" spans="21:29" ht="20" customHeight="1" x14ac:dyDescent="0.35">
      <c r="U310" s="29"/>
      <c r="W310"/>
      <c r="X310"/>
      <c r="Y310" s="157"/>
      <c r="Z310" s="29"/>
      <c r="AA310" s="157"/>
      <c r="AB310" s="157"/>
      <c r="AC310" s="157"/>
    </row>
    <row r="311" spans="21:29" ht="20" customHeight="1" x14ac:dyDescent="0.35">
      <c r="U311" s="29"/>
      <c r="W311"/>
      <c r="X311"/>
      <c r="Y311" s="157"/>
      <c r="Z311" s="29"/>
      <c r="AA311" s="157"/>
      <c r="AB311" s="157"/>
      <c r="AC311" s="157"/>
    </row>
    <row r="312" spans="21:29" ht="20" customHeight="1" x14ac:dyDescent="0.35">
      <c r="W312"/>
      <c r="X312"/>
      <c r="Y312" s="157"/>
      <c r="Z312" s="29"/>
      <c r="AA312" s="157"/>
      <c r="AB312" s="157"/>
      <c r="AC312" s="157"/>
    </row>
    <row r="313" spans="21:29" ht="20" customHeight="1" x14ac:dyDescent="0.35">
      <c r="U313" s="29"/>
      <c r="W313"/>
      <c r="X313"/>
      <c r="Y313" s="157"/>
      <c r="Z313" s="29"/>
      <c r="AA313" s="157"/>
      <c r="AB313" s="157"/>
      <c r="AC313" s="157"/>
    </row>
    <row r="314" spans="21:29" ht="20" customHeight="1" x14ac:dyDescent="0.35">
      <c r="U314" s="29"/>
      <c r="W314"/>
      <c r="X314"/>
      <c r="Y314" s="157"/>
      <c r="Z314" s="29"/>
      <c r="AA314" s="157"/>
      <c r="AB314" s="157"/>
      <c r="AC314" s="157"/>
    </row>
    <row r="315" spans="21:29" ht="20" customHeight="1" x14ac:dyDescent="0.35">
      <c r="U315" s="29"/>
      <c r="W315"/>
      <c r="X315"/>
      <c r="Y315" s="157"/>
      <c r="Z315" s="29"/>
      <c r="AA315" s="157"/>
      <c r="AB315" s="157"/>
      <c r="AC315" s="157"/>
    </row>
    <row r="316" spans="21:29" ht="20" customHeight="1" x14ac:dyDescent="0.35">
      <c r="U316" s="29"/>
      <c r="W316"/>
      <c r="X316"/>
      <c r="Y316" s="157"/>
      <c r="Z316" s="29"/>
      <c r="AA316" s="157"/>
      <c r="AB316" s="157"/>
      <c r="AC316" s="157"/>
    </row>
    <row r="317" spans="21:29" ht="20" customHeight="1" x14ac:dyDescent="0.35">
      <c r="U317" s="29"/>
      <c r="W317"/>
      <c r="X317"/>
      <c r="Y317" s="157"/>
      <c r="Z317" s="29"/>
      <c r="AA317" s="157"/>
      <c r="AB317" s="157"/>
      <c r="AC317" s="157"/>
    </row>
    <row r="318" spans="21:29" ht="20" customHeight="1" x14ac:dyDescent="0.35">
      <c r="U318" s="29"/>
      <c r="W318"/>
      <c r="X318"/>
      <c r="Y318" s="157"/>
      <c r="Z318" s="29"/>
      <c r="AA318" s="157"/>
      <c r="AB318" s="157"/>
      <c r="AC318" s="157"/>
    </row>
    <row r="319" spans="21:29" ht="20" customHeight="1" x14ac:dyDescent="0.35">
      <c r="U319" s="29"/>
      <c r="W319"/>
      <c r="X319"/>
      <c r="Y319" s="157"/>
      <c r="Z319" s="29"/>
      <c r="AA319" s="157"/>
      <c r="AB319" s="157"/>
      <c r="AC319" s="157"/>
    </row>
    <row r="320" spans="21:29" ht="20" customHeight="1" x14ac:dyDescent="0.35">
      <c r="U320" s="29"/>
      <c r="W320"/>
      <c r="X320"/>
      <c r="Y320" s="157"/>
      <c r="Z320" s="29"/>
      <c r="AA320" s="157"/>
      <c r="AB320" s="157"/>
      <c r="AC320" s="157"/>
    </row>
    <row r="321" spans="21:29" ht="20" customHeight="1" x14ac:dyDescent="0.35">
      <c r="U321" s="29"/>
      <c r="W321"/>
      <c r="X321"/>
      <c r="Y321" s="157"/>
      <c r="Z321" s="29"/>
      <c r="AA321" s="157"/>
      <c r="AB321" s="157"/>
      <c r="AC321" s="157"/>
    </row>
    <row r="322" spans="21:29" ht="20" customHeight="1" x14ac:dyDescent="0.35">
      <c r="U322" s="29"/>
      <c r="W322"/>
      <c r="X322"/>
      <c r="Y322" s="157"/>
      <c r="Z322" s="29"/>
      <c r="AA322" s="157"/>
      <c r="AB322" s="157"/>
      <c r="AC322" s="157"/>
    </row>
    <row r="323" spans="21:29" ht="20" customHeight="1" x14ac:dyDescent="0.35">
      <c r="U323" s="29"/>
      <c r="W323"/>
      <c r="X323"/>
      <c r="Y323" s="157"/>
      <c r="Z323" s="29"/>
      <c r="AA323" s="157"/>
      <c r="AB323" s="157"/>
      <c r="AC323" s="157"/>
    </row>
    <row r="324" spans="21:29" ht="20" customHeight="1" x14ac:dyDescent="0.35">
      <c r="U324" s="29"/>
      <c r="W324"/>
      <c r="X324"/>
      <c r="Y324" s="157"/>
      <c r="Z324" s="29"/>
      <c r="AA324" s="157"/>
      <c r="AB324" s="157"/>
      <c r="AC324" s="157"/>
    </row>
    <row r="325" spans="21:29" ht="20" customHeight="1" x14ac:dyDescent="0.35">
      <c r="U325" s="29"/>
      <c r="W325"/>
      <c r="X325"/>
      <c r="Y325" s="157"/>
      <c r="Z325" s="29"/>
      <c r="AA325" s="157"/>
      <c r="AB325" s="157"/>
      <c r="AC325" s="157"/>
    </row>
    <row r="326" spans="21:29" ht="20" customHeight="1" x14ac:dyDescent="0.35">
      <c r="U326" s="29"/>
      <c r="W326"/>
      <c r="X326"/>
      <c r="Y326" s="157"/>
      <c r="Z326" s="29"/>
      <c r="AA326" s="157"/>
      <c r="AB326" s="157"/>
      <c r="AC326" s="157"/>
    </row>
    <row r="327" spans="21:29" ht="20" customHeight="1" x14ac:dyDescent="0.35">
      <c r="U327" s="29"/>
      <c r="W327"/>
      <c r="X327"/>
      <c r="Y327" s="157"/>
      <c r="Z327" s="29"/>
      <c r="AA327" s="157"/>
      <c r="AB327" s="157"/>
      <c r="AC327" s="157"/>
    </row>
    <row r="328" spans="21:29" ht="20" customHeight="1" x14ac:dyDescent="0.35">
      <c r="U328" s="29"/>
      <c r="W328"/>
      <c r="X328"/>
      <c r="Y328" s="157"/>
      <c r="Z328" s="29"/>
      <c r="AA328" s="157"/>
      <c r="AB328" s="157"/>
      <c r="AC328" s="157"/>
    </row>
    <row r="329" spans="21:29" ht="20" customHeight="1" x14ac:dyDescent="0.35">
      <c r="U329" s="29"/>
      <c r="W329"/>
      <c r="X329"/>
      <c r="Y329" s="157"/>
      <c r="Z329" s="29"/>
      <c r="AA329" s="157"/>
      <c r="AB329" s="157"/>
      <c r="AC329" s="157"/>
    </row>
    <row r="330" spans="21:29" ht="20" customHeight="1" x14ac:dyDescent="0.35">
      <c r="U330" s="29"/>
      <c r="W330"/>
      <c r="X330"/>
      <c r="Y330" s="157"/>
      <c r="Z330" s="29"/>
      <c r="AA330" s="157"/>
      <c r="AB330" s="157"/>
      <c r="AC330" s="157"/>
    </row>
    <row r="331" spans="21:29" ht="20" customHeight="1" x14ac:dyDescent="0.35">
      <c r="U331" s="29"/>
      <c r="W331"/>
      <c r="X331"/>
      <c r="Y331" s="157"/>
      <c r="Z331" s="29"/>
      <c r="AA331" s="157"/>
      <c r="AB331" s="157"/>
      <c r="AC331" s="157"/>
    </row>
    <row r="332" spans="21:29" ht="20" customHeight="1" x14ac:dyDescent="0.35">
      <c r="U332" s="29"/>
      <c r="W332"/>
      <c r="X332"/>
      <c r="Y332" s="157"/>
      <c r="Z332" s="29"/>
      <c r="AA332" s="157"/>
      <c r="AB332" s="157"/>
      <c r="AC332" s="157"/>
    </row>
    <row r="333" spans="21:29" ht="20" customHeight="1" x14ac:dyDescent="0.35">
      <c r="U333" s="29"/>
      <c r="W333"/>
      <c r="X333"/>
      <c r="Y333" s="157"/>
      <c r="Z333" s="29"/>
      <c r="AA333" s="157"/>
      <c r="AB333" s="157"/>
      <c r="AC333" s="157"/>
    </row>
    <row r="334" spans="21:29" ht="20" customHeight="1" x14ac:dyDescent="0.35">
      <c r="U334" s="29"/>
      <c r="W334"/>
      <c r="X334"/>
      <c r="Y334" s="157"/>
      <c r="Z334" s="29"/>
      <c r="AA334" s="157"/>
      <c r="AB334" s="157"/>
      <c r="AC334" s="157"/>
    </row>
    <row r="335" spans="21:29" ht="20" customHeight="1" x14ac:dyDescent="0.35">
      <c r="U335" s="29"/>
      <c r="W335"/>
      <c r="X335"/>
      <c r="Y335" s="157"/>
      <c r="Z335" s="29"/>
      <c r="AA335" s="157"/>
      <c r="AB335" s="157"/>
      <c r="AC335" s="157"/>
    </row>
    <row r="336" spans="21:29" ht="20" customHeight="1" x14ac:dyDescent="0.35">
      <c r="U336" s="29"/>
      <c r="W336"/>
      <c r="X336"/>
      <c r="Y336" s="157"/>
      <c r="Z336" s="29"/>
      <c r="AA336" s="157"/>
      <c r="AB336" s="157"/>
      <c r="AC336" s="157"/>
    </row>
    <row r="337" spans="2:29" ht="20" customHeight="1" x14ac:dyDescent="0.35">
      <c r="U337" s="29"/>
      <c r="W337"/>
      <c r="X337"/>
      <c r="Y337" s="157"/>
      <c r="Z337" s="29"/>
      <c r="AA337" s="157"/>
      <c r="AB337" s="157"/>
      <c r="AC337" s="157"/>
    </row>
    <row r="338" spans="2:29" ht="20" customHeight="1" x14ac:dyDescent="0.35">
      <c r="U338" s="29"/>
      <c r="W338"/>
      <c r="X338"/>
      <c r="Y338" s="157"/>
      <c r="Z338" s="29"/>
      <c r="AA338" s="157"/>
      <c r="AB338" s="157"/>
      <c r="AC338" s="157"/>
    </row>
    <row r="339" spans="2:29" ht="20" customHeight="1" x14ac:dyDescent="0.35">
      <c r="U339" s="29"/>
      <c r="W339"/>
      <c r="X339"/>
      <c r="Y339" s="157"/>
      <c r="Z339" s="29"/>
      <c r="AA339" s="157"/>
      <c r="AB339" s="157"/>
      <c r="AC339" s="157"/>
    </row>
    <row r="340" spans="2:29" ht="20" customHeight="1" x14ac:dyDescent="0.35">
      <c r="U340" s="29"/>
      <c r="W340"/>
      <c r="X340"/>
      <c r="Y340" s="157"/>
      <c r="Z340" s="29"/>
      <c r="AA340" s="157"/>
      <c r="AB340" s="157"/>
      <c r="AC340" s="157"/>
    </row>
    <row r="341" spans="2:29" ht="20" customHeight="1" x14ac:dyDescent="0.35">
      <c r="U341" s="29"/>
      <c r="W341"/>
      <c r="X341"/>
      <c r="Y341" s="157"/>
      <c r="Z341" s="29"/>
      <c r="AA341" s="157"/>
      <c r="AB341" s="157"/>
      <c r="AC341" s="157"/>
    </row>
    <row r="342" spans="2:29" ht="20" customHeight="1" x14ac:dyDescent="0.35">
      <c r="U342" s="29"/>
      <c r="W342"/>
      <c r="X342"/>
      <c r="Y342" s="157"/>
      <c r="Z342" s="29"/>
      <c r="AA342" s="157"/>
      <c r="AB342" s="157"/>
      <c r="AC342" s="157"/>
    </row>
    <row r="343" spans="2:29" ht="20" customHeight="1" x14ac:dyDescent="0.35">
      <c r="U343" s="29"/>
      <c r="W343"/>
      <c r="X343"/>
      <c r="Y343" s="157"/>
      <c r="Z343" s="29"/>
      <c r="AA343" s="157"/>
      <c r="AB343" s="157"/>
      <c r="AC343" s="157"/>
    </row>
    <row r="344" spans="2:29" ht="20" customHeight="1" x14ac:dyDescent="0.35">
      <c r="U344" s="29"/>
      <c r="W344"/>
      <c r="X344"/>
      <c r="Y344" s="157"/>
      <c r="Z344" s="29"/>
      <c r="AA344" s="157"/>
      <c r="AB344" s="157"/>
      <c r="AC344" s="157"/>
    </row>
    <row r="345" spans="2:29" ht="20" customHeight="1" x14ac:dyDescent="0.35">
      <c r="U345" s="29"/>
      <c r="W345"/>
      <c r="X345"/>
      <c r="Y345" s="157"/>
      <c r="Z345" s="29"/>
      <c r="AA345" s="157"/>
      <c r="AB345" s="157"/>
      <c r="AC345" s="157"/>
    </row>
    <row r="346" spans="2:29" ht="20" customHeight="1" x14ac:dyDescent="0.35">
      <c r="U346" s="29"/>
      <c r="W346"/>
      <c r="X346"/>
      <c r="Y346" s="157"/>
      <c r="Z346" s="29"/>
      <c r="AA346" s="157"/>
      <c r="AB346" s="157"/>
      <c r="AC346" s="157"/>
    </row>
    <row r="347" spans="2:29" ht="20" customHeight="1" x14ac:dyDescent="0.35">
      <c r="U347" s="29"/>
      <c r="W347"/>
      <c r="X347"/>
      <c r="Y347" s="157"/>
      <c r="Z347" s="29"/>
      <c r="AA347" s="157"/>
      <c r="AB347" s="157"/>
      <c r="AC347" s="157"/>
    </row>
    <row r="348" spans="2:29" ht="20" customHeight="1" x14ac:dyDescent="0.35">
      <c r="U348" s="29"/>
      <c r="W348"/>
      <c r="X348"/>
      <c r="Y348" s="157"/>
      <c r="Z348" s="29"/>
      <c r="AA348" s="157"/>
      <c r="AB348" s="157"/>
      <c r="AC348" s="157"/>
    </row>
    <row r="349" spans="2:29" ht="20" customHeight="1" x14ac:dyDescent="0.35">
      <c r="U349" s="29"/>
      <c r="V349"/>
      <c r="W349"/>
      <c r="X349"/>
      <c r="Y349" s="157"/>
      <c r="Z349" s="29"/>
      <c r="AA349" s="157"/>
      <c r="AB349" s="157"/>
      <c r="AC349" s="157"/>
    </row>
    <row r="350" spans="2:29" ht="20" customHeight="1" x14ac:dyDescent="0.35">
      <c r="B350" s="65"/>
      <c r="C350" s="1"/>
      <c r="D350" s="68"/>
      <c r="E350" s="68"/>
      <c r="F350" s="68"/>
      <c r="G350" s="68"/>
      <c r="H350" s="68"/>
      <c r="I350" s="75"/>
      <c r="J350" s="75"/>
      <c r="K350" s="75"/>
      <c r="L350" s="75"/>
      <c r="M350" s="75"/>
      <c r="N350" s="48"/>
      <c r="O350" s="21"/>
      <c r="P350" s="76"/>
      <c r="Q350" s="19"/>
      <c r="R350" s="158"/>
      <c r="S350" s="158"/>
      <c r="T350" s="158"/>
      <c r="V350" s="29"/>
      <c r="X350" s="22"/>
      <c r="Z350"/>
    </row>
    <row r="351" spans="2:29" ht="17" customHeight="1" x14ac:dyDescent="0.35">
      <c r="C351"/>
      <c r="O351"/>
      <c r="Q351"/>
      <c r="R351" s="158"/>
      <c r="S351" s="158"/>
      <c r="T351" s="158"/>
      <c r="U351"/>
      <c r="V351"/>
      <c r="W351"/>
      <c r="X351"/>
    </row>
    <row r="352" spans="2:29" ht="17" customHeight="1" x14ac:dyDescent="0.35">
      <c r="C352" s="18"/>
      <c r="O352"/>
      <c r="P352"/>
      <c r="Q352"/>
      <c r="R352" s="158"/>
      <c r="S352" s="158"/>
      <c r="T352" s="158"/>
      <c r="U352"/>
      <c r="V352"/>
      <c r="W352"/>
      <c r="X352"/>
    </row>
    <row r="353" spans="2:24" ht="17" customHeight="1" x14ac:dyDescent="0.35">
      <c r="C353" s="18"/>
      <c r="O353" s="75"/>
      <c r="P353"/>
      <c r="Q353"/>
      <c r="R353" s="158"/>
      <c r="S353" s="158"/>
      <c r="T353" s="158"/>
      <c r="U353"/>
      <c r="V353"/>
      <c r="W353"/>
      <c r="X353"/>
    </row>
    <row r="354" spans="2:24" ht="17" customHeight="1" x14ac:dyDescent="0.35">
      <c r="C354" s="18"/>
      <c r="O354"/>
      <c r="P354"/>
      <c r="Q354"/>
      <c r="R354" s="158"/>
      <c r="S354" s="158"/>
      <c r="T354" s="158"/>
      <c r="U354"/>
      <c r="V354"/>
      <c r="W354"/>
      <c r="X354"/>
    </row>
    <row r="355" spans="2:24" ht="15.5" x14ac:dyDescent="0.35">
      <c r="C355" s="18"/>
      <c r="O355"/>
      <c r="P355"/>
      <c r="Q355"/>
      <c r="R355" s="158"/>
      <c r="S355" s="158"/>
      <c r="T355" s="158"/>
      <c r="U355"/>
      <c r="V355"/>
      <c r="W355"/>
      <c r="X355"/>
    </row>
    <row r="356" spans="2:24" ht="15.5" x14ac:dyDescent="0.35">
      <c r="C356" s="18"/>
      <c r="O356"/>
      <c r="P356"/>
      <c r="Q356"/>
      <c r="R356" s="158"/>
      <c r="S356" s="158"/>
      <c r="T356" s="158"/>
      <c r="U356"/>
      <c r="V356"/>
      <c r="W356"/>
      <c r="X356"/>
    </row>
    <row r="357" spans="2:24" ht="15.5" x14ac:dyDescent="0.35">
      <c r="C357" s="18"/>
      <c r="O357"/>
      <c r="P357"/>
      <c r="Q357"/>
      <c r="R357" s="158"/>
      <c r="S357" s="158"/>
      <c r="T357" s="158"/>
      <c r="U357"/>
      <c r="V357"/>
      <c r="W357"/>
      <c r="X357"/>
    </row>
    <row r="358" spans="2:24" ht="15.5" x14ac:dyDescent="0.35">
      <c r="C358" s="18"/>
      <c r="O358"/>
      <c r="P358"/>
      <c r="Q358"/>
      <c r="R358" s="158"/>
      <c r="S358" s="158"/>
      <c r="T358" s="158"/>
      <c r="U358"/>
      <c r="V358"/>
      <c r="W358"/>
      <c r="X358"/>
    </row>
    <row r="359" spans="2:24" ht="15.5" x14ac:dyDescent="0.35">
      <c r="B359" s="18"/>
      <c r="N359"/>
      <c r="O359"/>
      <c r="P359"/>
      <c r="Q359"/>
      <c r="R359" s="158"/>
      <c r="S359" s="158"/>
      <c r="T359" s="158"/>
      <c r="U359"/>
      <c r="V359"/>
      <c r="W359"/>
    </row>
    <row r="360" spans="2:24" ht="15.5" x14ac:dyDescent="0.35">
      <c r="B360" s="18"/>
      <c r="N360"/>
      <c r="O360"/>
      <c r="P360"/>
      <c r="Q360"/>
      <c r="R360" s="158"/>
      <c r="S360" s="158"/>
      <c r="T360" s="158"/>
      <c r="U360"/>
      <c r="V360"/>
      <c r="W360"/>
    </row>
    <row r="361" spans="2:24" ht="15.5" x14ac:dyDescent="0.35">
      <c r="B361" s="18"/>
      <c r="N361"/>
      <c r="O361"/>
      <c r="P361"/>
      <c r="Q361"/>
      <c r="R361" s="158"/>
      <c r="S361" s="158"/>
      <c r="T361" s="158"/>
      <c r="U361"/>
      <c r="V361"/>
      <c r="W361"/>
    </row>
    <row r="362" spans="2:24" ht="15.5" x14ac:dyDescent="0.35">
      <c r="B362" s="18"/>
      <c r="N362"/>
      <c r="O362"/>
      <c r="P362"/>
      <c r="Q362"/>
      <c r="R362" s="158"/>
      <c r="S362" s="158"/>
      <c r="T362" s="158"/>
      <c r="U362"/>
      <c r="V362"/>
      <c r="W362"/>
    </row>
    <row r="363" spans="2:24" ht="15.5" x14ac:dyDescent="0.35">
      <c r="B363" s="18"/>
      <c r="N363"/>
      <c r="O363"/>
      <c r="P363"/>
      <c r="Q363"/>
      <c r="R363"/>
      <c r="S363"/>
      <c r="T363"/>
      <c r="U363"/>
      <c r="V363"/>
      <c r="W363"/>
    </row>
    <row r="364" spans="2:24" ht="15.5" x14ac:dyDescent="0.35">
      <c r="B364" s="18"/>
      <c r="N364"/>
      <c r="O364"/>
      <c r="P364"/>
      <c r="Q364"/>
      <c r="R364"/>
      <c r="S364"/>
      <c r="T364"/>
      <c r="U364"/>
      <c r="V364"/>
      <c r="W364"/>
    </row>
    <row r="365" spans="2:24" ht="15.5" x14ac:dyDescent="0.35">
      <c r="B365" s="18"/>
      <c r="N365"/>
      <c r="O365"/>
      <c r="P365"/>
      <c r="Q365"/>
      <c r="R365"/>
      <c r="S365"/>
      <c r="T365"/>
      <c r="U365"/>
      <c r="V365"/>
      <c r="W365"/>
    </row>
    <row r="366" spans="2:24" ht="15.5" x14ac:dyDescent="0.35">
      <c r="B366" s="18"/>
      <c r="N366"/>
      <c r="O366"/>
      <c r="P366"/>
      <c r="Q366"/>
      <c r="R366"/>
      <c r="S366"/>
      <c r="T366"/>
      <c r="U366"/>
      <c r="V366"/>
      <c r="W366"/>
    </row>
    <row r="367" spans="2:24" ht="15.5" x14ac:dyDescent="0.35">
      <c r="B367" s="18"/>
      <c r="N367"/>
      <c r="O367"/>
      <c r="P367"/>
      <c r="Q367"/>
      <c r="R367"/>
      <c r="S367"/>
      <c r="T367"/>
      <c r="U367"/>
      <c r="V367"/>
      <c r="W367"/>
    </row>
    <row r="368" spans="2:24" ht="15.5" x14ac:dyDescent="0.35">
      <c r="B368" s="18"/>
      <c r="N368"/>
      <c r="O368"/>
      <c r="P368"/>
      <c r="Q368"/>
      <c r="R368"/>
      <c r="S368"/>
      <c r="T368"/>
      <c r="U368"/>
      <c r="V368"/>
      <c r="W368"/>
    </row>
    <row r="369" spans="2:23" ht="15.5" x14ac:dyDescent="0.35">
      <c r="B369" s="18"/>
      <c r="N369"/>
      <c r="O369"/>
      <c r="P369"/>
      <c r="Q369"/>
      <c r="R369"/>
      <c r="S369"/>
      <c r="T369"/>
      <c r="U369"/>
      <c r="V369"/>
      <c r="W369"/>
    </row>
    <row r="370" spans="2:23" ht="15.5" x14ac:dyDescent="0.35">
      <c r="B370" s="18"/>
      <c r="O370"/>
      <c r="P370"/>
      <c r="Q370"/>
      <c r="R370"/>
      <c r="S370"/>
      <c r="T370"/>
      <c r="U370"/>
    </row>
    <row r="371" spans="2:23" ht="15.5" x14ac:dyDescent="0.35">
      <c r="B371" s="18"/>
      <c r="O371"/>
      <c r="P371"/>
      <c r="Q371"/>
      <c r="R371"/>
      <c r="S371"/>
      <c r="T371"/>
      <c r="U371"/>
    </row>
    <row r="372" spans="2:23" ht="15.5" x14ac:dyDescent="0.35">
      <c r="B372" s="18"/>
      <c r="O372"/>
      <c r="P372"/>
      <c r="Q372"/>
      <c r="R372"/>
      <c r="S372"/>
      <c r="T372"/>
      <c r="U372"/>
    </row>
    <row r="373" spans="2:23" ht="15.5" x14ac:dyDescent="0.35">
      <c r="B373" s="18"/>
      <c r="O373"/>
      <c r="P373"/>
      <c r="Q373"/>
      <c r="R373"/>
      <c r="S373"/>
      <c r="T373"/>
      <c r="U373"/>
    </row>
    <row r="374" spans="2:23" ht="15.5" x14ac:dyDescent="0.35">
      <c r="B374" s="18"/>
      <c r="O374"/>
      <c r="P374"/>
      <c r="Q374"/>
      <c r="R374"/>
      <c r="S374"/>
      <c r="T374"/>
      <c r="U374"/>
    </row>
    <row r="375" spans="2:23" ht="15.5" x14ac:dyDescent="0.35">
      <c r="B375" s="18"/>
      <c r="O375"/>
      <c r="P375"/>
      <c r="Q375"/>
      <c r="R375"/>
      <c r="S375"/>
      <c r="T375"/>
      <c r="U375"/>
    </row>
    <row r="376" spans="2:23" ht="15.5" x14ac:dyDescent="0.35">
      <c r="B376" s="18"/>
      <c r="O376"/>
      <c r="P376"/>
      <c r="Q376"/>
      <c r="R376"/>
      <c r="S376"/>
      <c r="T376"/>
      <c r="U376"/>
    </row>
    <row r="377" spans="2:23" ht="15.5" x14ac:dyDescent="0.35">
      <c r="B377" s="18"/>
      <c r="O377"/>
      <c r="P377"/>
      <c r="Q377"/>
      <c r="R377"/>
      <c r="S377"/>
      <c r="T377"/>
      <c r="U377"/>
    </row>
    <row r="378" spans="2:23" ht="15.5" x14ac:dyDescent="0.35">
      <c r="B378" s="18"/>
      <c r="O378"/>
      <c r="P378"/>
      <c r="Q378"/>
      <c r="R378"/>
      <c r="S378"/>
      <c r="T378"/>
      <c r="U378"/>
    </row>
    <row r="379" spans="2:23" ht="15.5" x14ac:dyDescent="0.35">
      <c r="B379" s="18"/>
      <c r="O379"/>
      <c r="P379"/>
      <c r="Q379"/>
      <c r="R379"/>
      <c r="S379"/>
      <c r="T379"/>
      <c r="U379"/>
    </row>
    <row r="380" spans="2:23" ht="15.5" x14ac:dyDescent="0.35">
      <c r="B380" s="18"/>
      <c r="O380"/>
      <c r="P380"/>
      <c r="Q380"/>
      <c r="R380"/>
      <c r="S380"/>
      <c r="T380"/>
      <c r="U380"/>
    </row>
    <row r="381" spans="2:23" ht="15.5" x14ac:dyDescent="0.35">
      <c r="B381" s="18"/>
      <c r="O381"/>
      <c r="P381"/>
      <c r="Q381"/>
      <c r="R381"/>
      <c r="S381"/>
      <c r="T381"/>
      <c r="U381"/>
    </row>
    <row r="382" spans="2:23" ht="15.5" x14ac:dyDescent="0.35">
      <c r="B382" s="18"/>
      <c r="O382"/>
      <c r="P382"/>
      <c r="Q382"/>
      <c r="R382"/>
      <c r="S382"/>
      <c r="T382"/>
      <c r="U382"/>
    </row>
    <row r="383" spans="2:23" ht="15.5" x14ac:dyDescent="0.35">
      <c r="B383" s="18"/>
      <c r="O383"/>
      <c r="P383"/>
      <c r="Q383"/>
      <c r="R383"/>
      <c r="S383"/>
      <c r="T383"/>
      <c r="U383"/>
    </row>
    <row r="384" spans="2:23" ht="15.5" x14ac:dyDescent="0.35">
      <c r="B384" s="18"/>
      <c r="O384"/>
      <c r="P384"/>
      <c r="Q384"/>
      <c r="R384"/>
      <c r="S384"/>
      <c r="T384"/>
      <c r="U384"/>
    </row>
    <row r="385" spans="2:21" ht="15.5" x14ac:dyDescent="0.35">
      <c r="B385" s="18"/>
      <c r="O385"/>
      <c r="P385"/>
      <c r="Q385"/>
      <c r="R385"/>
      <c r="S385"/>
      <c r="T385"/>
      <c r="U385"/>
    </row>
    <row r="386" spans="2:21" ht="15.5" x14ac:dyDescent="0.35">
      <c r="B386" s="18"/>
      <c r="O386"/>
      <c r="P386"/>
      <c r="Q386"/>
      <c r="R386"/>
      <c r="S386"/>
      <c r="T386"/>
      <c r="U386"/>
    </row>
    <row r="387" spans="2:21" ht="15.5" x14ac:dyDescent="0.35">
      <c r="B387" s="18"/>
      <c r="O387"/>
      <c r="P387"/>
      <c r="Q387"/>
      <c r="R387"/>
      <c r="S387"/>
      <c r="T387"/>
      <c r="U387"/>
    </row>
    <row r="388" spans="2:21" ht="15.5" x14ac:dyDescent="0.35">
      <c r="B388" s="18"/>
      <c r="O388"/>
      <c r="P388"/>
      <c r="Q388"/>
      <c r="R388"/>
      <c r="S388"/>
      <c r="T388"/>
      <c r="U388"/>
    </row>
    <row r="389" spans="2:21" ht="15.5" x14ac:dyDescent="0.35">
      <c r="B389" s="18"/>
      <c r="O389"/>
      <c r="P389"/>
      <c r="Q389"/>
      <c r="R389"/>
      <c r="S389"/>
      <c r="T389"/>
      <c r="U389"/>
    </row>
    <row r="390" spans="2:21" ht="15.5" x14ac:dyDescent="0.35">
      <c r="B390" s="18"/>
      <c r="O390"/>
      <c r="P390"/>
      <c r="Q390"/>
      <c r="R390"/>
      <c r="S390"/>
      <c r="T390"/>
      <c r="U390"/>
    </row>
    <row r="391" spans="2:21" ht="15.5" x14ac:dyDescent="0.35">
      <c r="B391" s="18"/>
      <c r="O391"/>
      <c r="P391"/>
      <c r="Q391"/>
      <c r="R391"/>
      <c r="S391"/>
      <c r="T391"/>
      <c r="U391"/>
    </row>
    <row r="392" spans="2:21" ht="15.5" x14ac:dyDescent="0.35">
      <c r="B392" s="18"/>
      <c r="O392"/>
      <c r="P392"/>
      <c r="Q392"/>
      <c r="R392"/>
      <c r="S392"/>
      <c r="T392"/>
      <c r="U392"/>
    </row>
    <row r="393" spans="2:21" ht="15.5" x14ac:dyDescent="0.35">
      <c r="B393" s="18"/>
      <c r="O393"/>
      <c r="P393"/>
      <c r="Q393"/>
      <c r="R393"/>
      <c r="S393"/>
      <c r="T393"/>
      <c r="U393"/>
    </row>
    <row r="394" spans="2:21" ht="15.5" x14ac:dyDescent="0.35">
      <c r="B394" s="18"/>
      <c r="O394"/>
      <c r="P394"/>
      <c r="Q394"/>
      <c r="R394"/>
      <c r="S394"/>
      <c r="T394"/>
      <c r="U394"/>
    </row>
    <row r="395" spans="2:21" ht="15.5" x14ac:dyDescent="0.35">
      <c r="B395" s="18"/>
      <c r="O395"/>
      <c r="P395"/>
      <c r="Q395"/>
      <c r="R395"/>
      <c r="S395"/>
      <c r="T395"/>
      <c r="U395"/>
    </row>
    <row r="396" spans="2:21" ht="15.5" x14ac:dyDescent="0.35">
      <c r="B396" s="18"/>
      <c r="O396"/>
      <c r="P396"/>
      <c r="Q396"/>
      <c r="R396"/>
      <c r="S396"/>
      <c r="T396"/>
      <c r="U396"/>
    </row>
    <row r="397" spans="2:21" ht="15.5" x14ac:dyDescent="0.35">
      <c r="B397" s="18"/>
      <c r="O397"/>
      <c r="P397"/>
      <c r="Q397"/>
      <c r="R397"/>
      <c r="S397"/>
      <c r="T397"/>
      <c r="U397"/>
    </row>
    <row r="398" spans="2:21" ht="15.5" x14ac:dyDescent="0.35">
      <c r="B398" s="18"/>
      <c r="O398"/>
      <c r="P398"/>
      <c r="Q398"/>
      <c r="R398"/>
      <c r="S398"/>
      <c r="T398"/>
      <c r="U398"/>
    </row>
    <row r="399" spans="2:21" ht="15.5" x14ac:dyDescent="0.35">
      <c r="B399" s="18"/>
      <c r="O399"/>
      <c r="P399"/>
      <c r="Q399"/>
      <c r="R399"/>
      <c r="S399"/>
      <c r="T399"/>
      <c r="U399"/>
    </row>
    <row r="400" spans="2:21" ht="15.5" x14ac:dyDescent="0.35">
      <c r="B400" s="18"/>
      <c r="O400"/>
      <c r="P400"/>
      <c r="Q400"/>
      <c r="R400"/>
      <c r="S400"/>
      <c r="T400"/>
      <c r="U400"/>
    </row>
    <row r="401" spans="2:21" ht="15.5" x14ac:dyDescent="0.35">
      <c r="B401" s="18"/>
      <c r="O401"/>
      <c r="P401"/>
      <c r="Q401"/>
      <c r="R401"/>
      <c r="S401"/>
      <c r="T401"/>
      <c r="U401"/>
    </row>
    <row r="402" spans="2:21" ht="15.5" x14ac:dyDescent="0.35">
      <c r="B402" s="18"/>
      <c r="O402"/>
      <c r="P402"/>
      <c r="Q402"/>
      <c r="R402"/>
      <c r="S402"/>
      <c r="T402"/>
      <c r="U402"/>
    </row>
    <row r="403" spans="2:21" ht="15.5" x14ac:dyDescent="0.35">
      <c r="B403" s="18"/>
      <c r="O403"/>
      <c r="P403"/>
      <c r="Q403"/>
      <c r="R403"/>
      <c r="S403"/>
      <c r="T403"/>
      <c r="U403"/>
    </row>
    <row r="404" spans="2:21" ht="15.5" x14ac:dyDescent="0.35">
      <c r="B404" s="18"/>
      <c r="O404"/>
      <c r="P404"/>
      <c r="Q404"/>
      <c r="R404"/>
      <c r="S404"/>
      <c r="T404"/>
      <c r="U404"/>
    </row>
    <row r="405" spans="2:21" ht="15.5" x14ac:dyDescent="0.35">
      <c r="B405" s="18"/>
      <c r="O405"/>
      <c r="P405"/>
      <c r="Q405"/>
      <c r="R405"/>
      <c r="S405"/>
      <c r="T405"/>
      <c r="U405"/>
    </row>
    <row r="406" spans="2:21" ht="15.5" x14ac:dyDescent="0.35">
      <c r="B406" s="18"/>
      <c r="O406"/>
      <c r="P406"/>
      <c r="Q406"/>
      <c r="R406"/>
      <c r="S406"/>
      <c r="T406"/>
      <c r="U406"/>
    </row>
    <row r="407" spans="2:21" ht="15.5" x14ac:dyDescent="0.35">
      <c r="B407" s="18"/>
      <c r="O407"/>
      <c r="P407"/>
      <c r="Q407"/>
      <c r="R407"/>
      <c r="S407"/>
      <c r="T407"/>
      <c r="U407"/>
    </row>
    <row r="408" spans="2:21" ht="15.5" x14ac:dyDescent="0.35">
      <c r="B408" s="18"/>
      <c r="O408"/>
      <c r="P408"/>
      <c r="Q408"/>
      <c r="R408"/>
      <c r="S408"/>
      <c r="T408"/>
      <c r="U408"/>
    </row>
    <row r="409" spans="2:21" ht="15.5" x14ac:dyDescent="0.35">
      <c r="B409" s="18"/>
      <c r="O409"/>
      <c r="P409"/>
      <c r="Q409"/>
      <c r="R409"/>
      <c r="S409"/>
      <c r="T409"/>
      <c r="U409"/>
    </row>
    <row r="410" spans="2:21" ht="15.5" x14ac:dyDescent="0.35">
      <c r="B410" s="18"/>
      <c r="O410"/>
      <c r="P410"/>
      <c r="Q410"/>
      <c r="R410"/>
      <c r="S410"/>
      <c r="T410"/>
      <c r="U410"/>
    </row>
    <row r="411" spans="2:21" ht="15.5" x14ac:dyDescent="0.35">
      <c r="B411" s="18"/>
      <c r="O411"/>
      <c r="P411"/>
      <c r="Q411"/>
      <c r="R411"/>
      <c r="S411"/>
      <c r="T411"/>
      <c r="U411"/>
    </row>
    <row r="412" spans="2:21" ht="15.5" x14ac:dyDescent="0.35">
      <c r="B412" s="18"/>
      <c r="O412"/>
      <c r="P412"/>
      <c r="Q412"/>
      <c r="R412"/>
      <c r="S412"/>
      <c r="T412"/>
      <c r="U412"/>
    </row>
    <row r="413" spans="2:21" ht="15.5" x14ac:dyDescent="0.35">
      <c r="B413" s="18"/>
      <c r="O413"/>
      <c r="P413"/>
      <c r="Q413"/>
      <c r="R413"/>
      <c r="S413"/>
      <c r="T413"/>
      <c r="U413"/>
    </row>
    <row r="414" spans="2:21" ht="15.5" x14ac:dyDescent="0.35">
      <c r="B414" s="18"/>
      <c r="O414"/>
      <c r="P414"/>
      <c r="Q414"/>
      <c r="R414"/>
      <c r="S414"/>
      <c r="T414"/>
      <c r="U414"/>
    </row>
    <row r="415" spans="2:21" ht="15.5" x14ac:dyDescent="0.35">
      <c r="B415" s="18"/>
      <c r="O415"/>
      <c r="P415"/>
      <c r="Q415"/>
      <c r="R415"/>
      <c r="S415"/>
      <c r="T415"/>
      <c r="U415"/>
    </row>
    <row r="416" spans="2:21" ht="15.5" x14ac:dyDescent="0.35">
      <c r="B416" s="18"/>
      <c r="O416"/>
      <c r="P416"/>
      <c r="Q416"/>
      <c r="R416"/>
      <c r="S416"/>
      <c r="T416"/>
      <c r="U416"/>
    </row>
    <row r="417" spans="2:21" ht="15.5" x14ac:dyDescent="0.35">
      <c r="B417" s="18"/>
      <c r="O417"/>
      <c r="P417"/>
      <c r="Q417"/>
      <c r="R417"/>
      <c r="S417"/>
      <c r="T417"/>
      <c r="U417"/>
    </row>
    <row r="418" spans="2:21" ht="15.5" x14ac:dyDescent="0.35">
      <c r="B418" s="18"/>
      <c r="O418"/>
      <c r="P418"/>
      <c r="Q418"/>
      <c r="R418"/>
      <c r="S418"/>
      <c r="T418"/>
      <c r="U418"/>
    </row>
    <row r="419" spans="2:21" ht="15.5" x14ac:dyDescent="0.35">
      <c r="B419" s="18"/>
      <c r="O419"/>
      <c r="P419"/>
      <c r="Q419"/>
      <c r="R419"/>
      <c r="S419"/>
      <c r="T419"/>
      <c r="U419"/>
    </row>
    <row r="420" spans="2:21" ht="15.5" x14ac:dyDescent="0.35">
      <c r="B420" s="18"/>
      <c r="O420"/>
      <c r="P420"/>
      <c r="Q420"/>
      <c r="R420"/>
      <c r="S420"/>
      <c r="T420"/>
      <c r="U420"/>
    </row>
    <row r="421" spans="2:21" ht="15.5" x14ac:dyDescent="0.35">
      <c r="B421" s="18"/>
      <c r="O421"/>
      <c r="P421"/>
      <c r="Q421"/>
      <c r="R421"/>
      <c r="S421"/>
      <c r="T421"/>
      <c r="U421"/>
    </row>
    <row r="422" spans="2:21" ht="15.5" x14ac:dyDescent="0.35">
      <c r="B422" s="18"/>
      <c r="O422"/>
      <c r="P422"/>
      <c r="Q422"/>
      <c r="R422"/>
      <c r="S422"/>
      <c r="T422"/>
      <c r="U422"/>
    </row>
    <row r="423" spans="2:21" ht="15.5" x14ac:dyDescent="0.35">
      <c r="B423" s="18"/>
      <c r="O423"/>
      <c r="P423"/>
      <c r="Q423"/>
      <c r="R423"/>
      <c r="S423"/>
      <c r="T423"/>
      <c r="U423"/>
    </row>
    <row r="424" spans="2:21" ht="15.5" x14ac:dyDescent="0.35">
      <c r="B424" s="18"/>
      <c r="O424"/>
      <c r="P424"/>
      <c r="Q424"/>
      <c r="R424"/>
      <c r="S424"/>
      <c r="T424"/>
      <c r="U424"/>
    </row>
    <row r="425" spans="2:21" ht="15.5" x14ac:dyDescent="0.35">
      <c r="B425" s="18"/>
      <c r="O425"/>
      <c r="P425"/>
      <c r="Q425"/>
      <c r="R425"/>
      <c r="S425"/>
      <c r="T425"/>
      <c r="U425"/>
    </row>
    <row r="426" spans="2:21" ht="15.5" x14ac:dyDescent="0.35">
      <c r="B426" s="18"/>
      <c r="O426"/>
      <c r="P426"/>
      <c r="Q426"/>
      <c r="R426"/>
      <c r="S426"/>
      <c r="T426"/>
      <c r="U426"/>
    </row>
    <row r="427" spans="2:21" ht="15.5" x14ac:dyDescent="0.35">
      <c r="B427" s="18"/>
      <c r="O427"/>
      <c r="P427"/>
      <c r="Q427"/>
      <c r="R427"/>
      <c r="S427"/>
      <c r="T427"/>
      <c r="U427"/>
    </row>
    <row r="428" spans="2:21" ht="15.5" x14ac:dyDescent="0.35">
      <c r="B428" s="18"/>
      <c r="O428"/>
      <c r="P428"/>
      <c r="Q428"/>
      <c r="R428"/>
      <c r="S428"/>
      <c r="T428"/>
      <c r="U428"/>
    </row>
    <row r="429" spans="2:21" ht="15.5" x14ac:dyDescent="0.35">
      <c r="B429" s="18"/>
      <c r="O429"/>
      <c r="P429"/>
      <c r="Q429"/>
      <c r="R429"/>
      <c r="S429"/>
      <c r="T429"/>
      <c r="U429"/>
    </row>
    <row r="430" spans="2:21" ht="15.5" x14ac:dyDescent="0.35">
      <c r="B430" s="18"/>
      <c r="O430"/>
      <c r="P430"/>
      <c r="Q430"/>
      <c r="R430"/>
      <c r="S430"/>
      <c r="T430"/>
      <c r="U430"/>
    </row>
    <row r="431" spans="2:21" ht="15.5" x14ac:dyDescent="0.35">
      <c r="B431" s="18"/>
      <c r="O431"/>
      <c r="P431"/>
      <c r="Q431"/>
      <c r="R431"/>
      <c r="S431"/>
      <c r="T431"/>
      <c r="U431"/>
    </row>
    <row r="432" spans="2:21" ht="15.5" x14ac:dyDescent="0.35">
      <c r="B432" s="18"/>
      <c r="O432"/>
      <c r="P432"/>
      <c r="Q432"/>
      <c r="R432"/>
      <c r="S432"/>
      <c r="T432"/>
      <c r="U432"/>
    </row>
    <row r="433" spans="2:21" ht="15.5" x14ac:dyDescent="0.35">
      <c r="B433" s="18"/>
      <c r="O433"/>
      <c r="P433"/>
      <c r="Q433"/>
      <c r="R433"/>
      <c r="S433"/>
      <c r="T433"/>
      <c r="U433"/>
    </row>
    <row r="434" spans="2:21" ht="15.5" x14ac:dyDescent="0.35">
      <c r="B434" s="18"/>
      <c r="O434"/>
      <c r="P434"/>
      <c r="Q434"/>
      <c r="R434"/>
      <c r="S434"/>
      <c r="T434"/>
      <c r="U434"/>
    </row>
    <row r="435" spans="2:21" ht="15.5" x14ac:dyDescent="0.35">
      <c r="B435" s="18"/>
      <c r="O435"/>
      <c r="P435"/>
      <c r="Q435"/>
      <c r="R435"/>
      <c r="S435"/>
      <c r="T435"/>
      <c r="U435"/>
    </row>
    <row r="436" spans="2:21" ht="15.5" x14ac:dyDescent="0.35">
      <c r="B436" s="18"/>
      <c r="O436"/>
      <c r="P436"/>
      <c r="Q436"/>
      <c r="R436"/>
      <c r="S436"/>
      <c r="T436"/>
      <c r="U436"/>
    </row>
    <row r="437" spans="2:21" ht="15.5" x14ac:dyDescent="0.35">
      <c r="B437" s="18"/>
      <c r="O437"/>
      <c r="P437"/>
      <c r="Q437"/>
      <c r="R437"/>
      <c r="S437"/>
      <c r="T437"/>
      <c r="U437"/>
    </row>
    <row r="438" spans="2:21" ht="15.5" x14ac:dyDescent="0.35">
      <c r="B438" s="18"/>
      <c r="O438"/>
      <c r="P438"/>
      <c r="Q438"/>
      <c r="R438"/>
      <c r="S438"/>
      <c r="T438"/>
      <c r="U438"/>
    </row>
    <row r="439" spans="2:21" ht="15.5" x14ac:dyDescent="0.35">
      <c r="B439" s="18"/>
      <c r="O439"/>
      <c r="P439"/>
      <c r="Q439"/>
      <c r="R439"/>
      <c r="S439"/>
      <c r="T439"/>
      <c r="U439"/>
    </row>
    <row r="440" spans="2:21" ht="15.5" x14ac:dyDescent="0.35">
      <c r="B440" s="18"/>
      <c r="O440"/>
      <c r="P440"/>
      <c r="Q440"/>
      <c r="R440"/>
      <c r="S440"/>
      <c r="T440"/>
      <c r="U440"/>
    </row>
    <row r="441" spans="2:21" ht="15.5" x14ac:dyDescent="0.35">
      <c r="B441" s="18"/>
      <c r="O441"/>
      <c r="P441"/>
      <c r="Q441"/>
      <c r="R441"/>
      <c r="S441"/>
      <c r="T441"/>
      <c r="U441"/>
    </row>
    <row r="442" spans="2:21" ht="15.5" x14ac:dyDescent="0.35">
      <c r="B442" s="18"/>
      <c r="O442"/>
      <c r="P442"/>
      <c r="Q442"/>
      <c r="R442"/>
      <c r="S442"/>
      <c r="T442"/>
      <c r="U442"/>
    </row>
    <row r="443" spans="2:21" ht="15.5" x14ac:dyDescent="0.35">
      <c r="B443" s="18"/>
      <c r="O443"/>
      <c r="P443"/>
      <c r="Q443"/>
      <c r="R443"/>
      <c r="S443"/>
      <c r="T443"/>
      <c r="U443"/>
    </row>
    <row r="444" spans="2:21" ht="15.5" x14ac:dyDescent="0.35">
      <c r="B444" s="18"/>
      <c r="O444"/>
      <c r="P444"/>
      <c r="Q444"/>
      <c r="R444"/>
      <c r="S444"/>
      <c r="T444"/>
      <c r="U444"/>
    </row>
    <row r="445" spans="2:21" ht="15.5" x14ac:dyDescent="0.35">
      <c r="B445" s="18"/>
      <c r="O445"/>
      <c r="P445"/>
      <c r="Q445"/>
      <c r="R445"/>
      <c r="S445"/>
      <c r="T445"/>
      <c r="U445"/>
    </row>
    <row r="446" spans="2:21" ht="15.5" x14ac:dyDescent="0.35">
      <c r="B446" s="18"/>
      <c r="O446"/>
      <c r="P446"/>
      <c r="Q446"/>
      <c r="R446"/>
      <c r="S446"/>
      <c r="T446"/>
      <c r="U446"/>
    </row>
    <row r="447" spans="2:21" ht="15.5" x14ac:dyDescent="0.35">
      <c r="B447" s="18"/>
      <c r="O447"/>
      <c r="P447"/>
      <c r="Q447"/>
      <c r="R447"/>
      <c r="S447"/>
      <c r="T447"/>
      <c r="U447"/>
    </row>
    <row r="448" spans="2:21" ht="15.5" x14ac:dyDescent="0.35">
      <c r="B448" s="18"/>
      <c r="O448"/>
      <c r="P448"/>
      <c r="Q448"/>
      <c r="R448"/>
      <c r="S448"/>
      <c r="T448"/>
      <c r="U448"/>
    </row>
    <row r="449" spans="2:21" ht="15.5" x14ac:dyDescent="0.35">
      <c r="B449" s="18"/>
      <c r="O449"/>
      <c r="P449"/>
      <c r="Q449"/>
      <c r="R449"/>
      <c r="S449"/>
      <c r="T449"/>
      <c r="U449"/>
    </row>
    <row r="450" spans="2:21" ht="15.5" x14ac:dyDescent="0.35">
      <c r="B450" s="18"/>
      <c r="O450"/>
      <c r="P450"/>
      <c r="Q450"/>
      <c r="R450"/>
      <c r="S450"/>
      <c r="T450"/>
      <c r="U450"/>
    </row>
    <row r="451" spans="2:21" ht="15.5" x14ac:dyDescent="0.35">
      <c r="B451" s="18"/>
      <c r="O451"/>
      <c r="P451"/>
      <c r="Q451"/>
      <c r="R451"/>
      <c r="S451"/>
      <c r="T451"/>
      <c r="U451"/>
    </row>
    <row r="452" spans="2:21" ht="15.5" x14ac:dyDescent="0.35">
      <c r="B452" s="18"/>
      <c r="O452"/>
      <c r="P452"/>
      <c r="Q452"/>
      <c r="R452"/>
      <c r="S452"/>
      <c r="T452"/>
      <c r="U452"/>
    </row>
    <row r="453" spans="2:21" ht="15.5" x14ac:dyDescent="0.35">
      <c r="B453" s="18"/>
      <c r="O453"/>
      <c r="P453"/>
      <c r="Q453"/>
      <c r="R453"/>
      <c r="S453"/>
      <c r="T453"/>
      <c r="U453"/>
    </row>
    <row r="454" spans="2:21" ht="15.5" x14ac:dyDescent="0.35">
      <c r="B454" s="18"/>
      <c r="O454"/>
      <c r="P454"/>
      <c r="Q454"/>
      <c r="R454"/>
      <c r="S454"/>
      <c r="T454"/>
      <c r="U454"/>
    </row>
    <row r="455" spans="2:21" ht="15.5" x14ac:dyDescent="0.35">
      <c r="B455" s="18"/>
      <c r="O455"/>
      <c r="P455"/>
      <c r="Q455"/>
      <c r="R455"/>
      <c r="S455"/>
      <c r="T455"/>
      <c r="U455"/>
    </row>
    <row r="456" spans="2:21" ht="15.5" x14ac:dyDescent="0.35">
      <c r="B456" s="18"/>
      <c r="O456"/>
      <c r="P456"/>
      <c r="Q456"/>
      <c r="R456"/>
      <c r="S456"/>
      <c r="T456"/>
      <c r="U456"/>
    </row>
    <row r="457" spans="2:21" ht="15.5" x14ac:dyDescent="0.35">
      <c r="B457" s="18"/>
      <c r="O457"/>
      <c r="P457"/>
      <c r="Q457"/>
      <c r="R457"/>
      <c r="S457"/>
      <c r="T457"/>
      <c r="U457"/>
    </row>
    <row r="458" spans="2:21" ht="15.5" x14ac:dyDescent="0.35">
      <c r="B458" s="18"/>
      <c r="O458"/>
      <c r="P458"/>
      <c r="Q458"/>
      <c r="R458"/>
      <c r="S458"/>
      <c r="T458"/>
      <c r="U458"/>
    </row>
    <row r="459" spans="2:21" ht="15.5" x14ac:dyDescent="0.35">
      <c r="B459" s="18"/>
      <c r="O459"/>
      <c r="P459"/>
      <c r="Q459"/>
      <c r="R459"/>
      <c r="S459"/>
      <c r="T459"/>
      <c r="U459"/>
    </row>
    <row r="460" spans="2:21" ht="15.5" x14ac:dyDescent="0.35">
      <c r="B460" s="18"/>
      <c r="O460"/>
      <c r="P460"/>
      <c r="Q460"/>
      <c r="R460"/>
      <c r="S460"/>
      <c r="T460"/>
      <c r="U460"/>
    </row>
    <row r="461" spans="2:21" ht="15.5" x14ac:dyDescent="0.35">
      <c r="B461" s="18"/>
      <c r="O461"/>
      <c r="P461"/>
      <c r="Q461"/>
      <c r="R461"/>
      <c r="S461"/>
      <c r="T461"/>
      <c r="U461"/>
    </row>
    <row r="462" spans="2:21" ht="15.5" x14ac:dyDescent="0.35">
      <c r="B462" s="18"/>
      <c r="O462"/>
      <c r="P462"/>
      <c r="Q462"/>
      <c r="R462"/>
      <c r="S462"/>
      <c r="T462"/>
      <c r="U462"/>
    </row>
    <row r="463" spans="2:21" ht="15.5" x14ac:dyDescent="0.35">
      <c r="B463" s="18"/>
      <c r="O463"/>
      <c r="P463"/>
      <c r="Q463"/>
      <c r="R463"/>
      <c r="S463"/>
      <c r="T463"/>
      <c r="U463"/>
    </row>
    <row r="464" spans="2:21" ht="15.5" x14ac:dyDescent="0.35">
      <c r="B464" s="18"/>
      <c r="O464"/>
      <c r="P464"/>
      <c r="Q464"/>
      <c r="R464"/>
      <c r="S464"/>
      <c r="T464"/>
      <c r="U464"/>
    </row>
    <row r="465" spans="2:21" ht="15.5" x14ac:dyDescent="0.35">
      <c r="B465" s="18"/>
      <c r="O465"/>
      <c r="P465"/>
      <c r="Q465"/>
      <c r="R465"/>
      <c r="S465"/>
      <c r="T465"/>
      <c r="U465"/>
    </row>
    <row r="466" spans="2:21" ht="15.5" x14ac:dyDescent="0.35">
      <c r="B466" s="18"/>
      <c r="O466"/>
      <c r="P466"/>
      <c r="Q466"/>
      <c r="R466"/>
      <c r="S466"/>
      <c r="T466"/>
      <c r="U466"/>
    </row>
    <row r="467" spans="2:21" ht="15.5" x14ac:dyDescent="0.35">
      <c r="B467" s="18"/>
      <c r="O467"/>
      <c r="P467"/>
      <c r="Q467"/>
      <c r="R467"/>
      <c r="S467"/>
      <c r="T467"/>
      <c r="U467"/>
    </row>
    <row r="468" spans="2:21" ht="15.5" x14ac:dyDescent="0.35">
      <c r="B468" s="18"/>
      <c r="O468"/>
      <c r="P468"/>
      <c r="Q468"/>
      <c r="R468"/>
      <c r="S468"/>
      <c r="T468"/>
      <c r="U468"/>
    </row>
    <row r="469" spans="2:21" ht="15.5" x14ac:dyDescent="0.35">
      <c r="B469" s="18"/>
      <c r="O469"/>
      <c r="P469"/>
      <c r="Q469"/>
      <c r="R469"/>
      <c r="S469"/>
      <c r="T469"/>
      <c r="U469"/>
    </row>
    <row r="470" spans="2:21" ht="15.5" x14ac:dyDescent="0.35">
      <c r="B470" s="18"/>
      <c r="O470"/>
      <c r="P470"/>
      <c r="Q470"/>
      <c r="R470"/>
      <c r="S470"/>
      <c r="T470"/>
      <c r="U470"/>
    </row>
    <row r="471" spans="2:21" ht="15.5" x14ac:dyDescent="0.35">
      <c r="B471" s="18"/>
      <c r="O471"/>
      <c r="P471"/>
      <c r="Q471"/>
      <c r="R471"/>
      <c r="S471"/>
      <c r="T471"/>
      <c r="U471"/>
    </row>
    <row r="472" spans="2:21" ht="15.5" x14ac:dyDescent="0.35">
      <c r="B472" s="18"/>
      <c r="O472"/>
      <c r="P472"/>
      <c r="Q472"/>
      <c r="R472"/>
      <c r="S472"/>
      <c r="T472"/>
      <c r="U472"/>
    </row>
    <row r="473" spans="2:21" ht="15.5" x14ac:dyDescent="0.35">
      <c r="B473" s="18"/>
      <c r="O473"/>
      <c r="P473"/>
      <c r="Q473"/>
      <c r="R473"/>
      <c r="S473"/>
      <c r="T473"/>
      <c r="U473"/>
    </row>
    <row r="474" spans="2:21" ht="15.5" x14ac:dyDescent="0.35">
      <c r="B474" s="18"/>
      <c r="O474"/>
      <c r="P474"/>
      <c r="Q474"/>
      <c r="R474"/>
      <c r="S474"/>
      <c r="T474"/>
      <c r="U474"/>
    </row>
    <row r="475" spans="2:21" ht="15.5" x14ac:dyDescent="0.35">
      <c r="B475" s="18"/>
      <c r="O475"/>
      <c r="P475"/>
      <c r="Q475"/>
      <c r="R475"/>
      <c r="S475"/>
      <c r="T475"/>
      <c r="U475"/>
    </row>
    <row r="476" spans="2:21" ht="15.5" x14ac:dyDescent="0.35">
      <c r="B476" s="18"/>
      <c r="O476"/>
      <c r="P476"/>
      <c r="Q476"/>
      <c r="R476"/>
      <c r="S476"/>
      <c r="T476"/>
      <c r="U476"/>
    </row>
    <row r="477" spans="2:21" ht="15.5" x14ac:dyDescent="0.35">
      <c r="B477" s="18"/>
      <c r="O477"/>
      <c r="P477"/>
      <c r="Q477"/>
      <c r="R477"/>
      <c r="S477"/>
      <c r="T477"/>
      <c r="U477"/>
    </row>
    <row r="478" spans="2:21" ht="15.5" x14ac:dyDescent="0.35">
      <c r="B478" s="18"/>
      <c r="O478"/>
      <c r="P478"/>
      <c r="Q478"/>
      <c r="R478"/>
      <c r="S478"/>
      <c r="T478"/>
      <c r="U478"/>
    </row>
    <row r="479" spans="2:21" ht="15.5" x14ac:dyDescent="0.35">
      <c r="B479" s="18"/>
      <c r="O479"/>
      <c r="P479"/>
      <c r="Q479"/>
      <c r="R479"/>
      <c r="S479"/>
      <c r="T479"/>
      <c r="U479"/>
    </row>
    <row r="480" spans="2:21" ht="15.5" x14ac:dyDescent="0.35">
      <c r="B480" s="18"/>
      <c r="O480"/>
      <c r="P480"/>
      <c r="Q480"/>
      <c r="R480"/>
      <c r="S480"/>
      <c r="T480"/>
      <c r="U480"/>
    </row>
    <row r="481" spans="2:21" ht="15.5" x14ac:dyDescent="0.35">
      <c r="B481" s="18"/>
      <c r="O481"/>
      <c r="P481"/>
      <c r="Q481"/>
      <c r="R481"/>
      <c r="S481"/>
      <c r="T481"/>
      <c r="U481"/>
    </row>
    <row r="482" spans="2:21" ht="15.5" x14ac:dyDescent="0.35">
      <c r="B482" s="18"/>
      <c r="O482"/>
      <c r="P482"/>
      <c r="Q482"/>
      <c r="R482"/>
      <c r="S482"/>
      <c r="T482"/>
      <c r="U482"/>
    </row>
    <row r="483" spans="2:21" ht="15.5" x14ac:dyDescent="0.35">
      <c r="B483" s="18"/>
      <c r="O483"/>
      <c r="P483"/>
      <c r="Q483"/>
      <c r="R483"/>
      <c r="S483"/>
      <c r="T483"/>
      <c r="U483"/>
    </row>
    <row r="484" spans="2:21" ht="15.5" x14ac:dyDescent="0.35">
      <c r="B484" s="18"/>
      <c r="O484"/>
      <c r="P484"/>
      <c r="Q484"/>
      <c r="R484"/>
      <c r="S484"/>
      <c r="T484"/>
      <c r="U484"/>
    </row>
    <row r="485" spans="2:21" ht="15.5" x14ac:dyDescent="0.35">
      <c r="B485" s="18"/>
      <c r="O485"/>
      <c r="P485"/>
      <c r="Q485"/>
      <c r="R485"/>
      <c r="S485"/>
      <c r="T485"/>
      <c r="U485"/>
    </row>
    <row r="486" spans="2:21" ht="15.5" x14ac:dyDescent="0.35">
      <c r="B486" s="18"/>
      <c r="O486"/>
      <c r="P486"/>
      <c r="Q486"/>
      <c r="R486"/>
      <c r="S486"/>
      <c r="T486"/>
      <c r="U486"/>
    </row>
    <row r="487" spans="2:21" ht="15.5" x14ac:dyDescent="0.35">
      <c r="B487" s="18"/>
      <c r="O487"/>
      <c r="P487"/>
      <c r="Q487"/>
      <c r="R487"/>
      <c r="S487"/>
      <c r="T487"/>
      <c r="U487"/>
    </row>
    <row r="488" spans="2:21" ht="15.5" x14ac:dyDescent="0.35">
      <c r="B488" s="18"/>
      <c r="O488"/>
      <c r="P488"/>
      <c r="Q488"/>
      <c r="R488"/>
      <c r="S488"/>
      <c r="T488"/>
      <c r="U488"/>
    </row>
    <row r="489" spans="2:21" ht="15.5" x14ac:dyDescent="0.35">
      <c r="B489" s="18"/>
      <c r="O489"/>
      <c r="P489"/>
      <c r="Q489"/>
      <c r="R489"/>
      <c r="S489"/>
      <c r="T489"/>
      <c r="U489"/>
    </row>
    <row r="490" spans="2:21" ht="15.5" x14ac:dyDescent="0.35">
      <c r="B490" s="18"/>
      <c r="O490"/>
      <c r="P490"/>
      <c r="Q490"/>
      <c r="R490"/>
      <c r="S490"/>
      <c r="T490"/>
      <c r="U490"/>
    </row>
    <row r="491" spans="2:21" ht="15.5" x14ac:dyDescent="0.35">
      <c r="B491" s="18"/>
      <c r="O491"/>
      <c r="P491"/>
      <c r="Q491"/>
      <c r="R491"/>
      <c r="S491"/>
      <c r="T491"/>
      <c r="U491"/>
    </row>
    <row r="492" spans="2:21" ht="15.5" x14ac:dyDescent="0.35">
      <c r="B492" s="18"/>
      <c r="O492"/>
      <c r="P492"/>
      <c r="Q492"/>
      <c r="R492"/>
      <c r="S492"/>
      <c r="T492"/>
      <c r="U492"/>
    </row>
    <row r="493" spans="2:21" ht="15.5" x14ac:dyDescent="0.35">
      <c r="B493" s="18"/>
      <c r="O493"/>
      <c r="P493"/>
      <c r="Q493"/>
      <c r="R493"/>
      <c r="S493"/>
      <c r="T493"/>
      <c r="U493"/>
    </row>
    <row r="494" spans="2:21" ht="15.5" x14ac:dyDescent="0.35">
      <c r="B494" s="18"/>
      <c r="O494"/>
      <c r="P494"/>
      <c r="Q494"/>
      <c r="R494"/>
      <c r="S494"/>
      <c r="T494"/>
      <c r="U494"/>
    </row>
    <row r="495" spans="2:21" ht="15.5" x14ac:dyDescent="0.35">
      <c r="B495" s="18"/>
      <c r="O495"/>
      <c r="P495"/>
      <c r="Q495"/>
      <c r="R495"/>
      <c r="S495"/>
      <c r="T495"/>
      <c r="U495"/>
    </row>
    <row r="496" spans="2:21" ht="15.5" x14ac:dyDescent="0.35">
      <c r="B496" s="18"/>
      <c r="O496"/>
      <c r="P496"/>
      <c r="Q496"/>
      <c r="R496"/>
      <c r="S496"/>
      <c r="T496"/>
      <c r="U496"/>
    </row>
    <row r="497" spans="2:21" ht="15.5" x14ac:dyDescent="0.35">
      <c r="B497" s="18"/>
      <c r="O497"/>
      <c r="P497"/>
      <c r="Q497"/>
      <c r="R497"/>
      <c r="S497"/>
      <c r="T497"/>
      <c r="U497"/>
    </row>
    <row r="498" spans="2:21" ht="15.5" x14ac:dyDescent="0.35">
      <c r="B498" s="18"/>
      <c r="O498"/>
      <c r="P498"/>
      <c r="Q498"/>
      <c r="R498"/>
      <c r="S498"/>
      <c r="T498"/>
      <c r="U498"/>
    </row>
    <row r="499" spans="2:21" ht="15.5" x14ac:dyDescent="0.35">
      <c r="B499" s="18"/>
      <c r="O499"/>
      <c r="P499"/>
      <c r="Q499"/>
      <c r="R499"/>
      <c r="S499"/>
      <c r="T499"/>
      <c r="U499"/>
    </row>
    <row r="500" spans="2:21" ht="15.5" x14ac:dyDescent="0.35">
      <c r="B500" s="18"/>
      <c r="O500"/>
      <c r="P500"/>
      <c r="Q500"/>
      <c r="R500"/>
      <c r="S500"/>
      <c r="T500"/>
      <c r="U500"/>
    </row>
    <row r="501" spans="2:21" ht="15.5" x14ac:dyDescent="0.35">
      <c r="B501" s="18"/>
      <c r="O501"/>
      <c r="P501"/>
      <c r="Q501"/>
      <c r="R501"/>
      <c r="S501"/>
      <c r="T501"/>
      <c r="U501"/>
    </row>
    <row r="502" spans="2:21" ht="15.5" x14ac:dyDescent="0.35">
      <c r="B502" s="18"/>
      <c r="O502"/>
      <c r="P502"/>
      <c r="Q502"/>
      <c r="R502"/>
      <c r="S502"/>
      <c r="T502"/>
      <c r="U502"/>
    </row>
    <row r="503" spans="2:21" ht="15.5" x14ac:dyDescent="0.35">
      <c r="B503" s="18"/>
      <c r="O503"/>
      <c r="P503"/>
      <c r="Q503"/>
      <c r="R503"/>
      <c r="S503"/>
      <c r="T503"/>
      <c r="U503"/>
    </row>
    <row r="504" spans="2:21" ht="15.5" x14ac:dyDescent="0.35">
      <c r="B504" s="18"/>
      <c r="O504"/>
      <c r="P504"/>
      <c r="Q504"/>
      <c r="R504"/>
      <c r="S504"/>
      <c r="T504"/>
      <c r="U504"/>
    </row>
    <row r="505" spans="2:21" ht="15.5" x14ac:dyDescent="0.35">
      <c r="B505" s="18"/>
      <c r="O505"/>
      <c r="P505"/>
      <c r="Q505"/>
      <c r="R505"/>
      <c r="S505"/>
      <c r="T505"/>
      <c r="U505"/>
    </row>
    <row r="506" spans="2:21" ht="15.5" x14ac:dyDescent="0.35">
      <c r="B506" s="18"/>
      <c r="O506"/>
      <c r="P506"/>
      <c r="Q506"/>
      <c r="R506"/>
      <c r="S506"/>
      <c r="T506"/>
      <c r="U506"/>
    </row>
    <row r="507" spans="2:21" ht="15.5" x14ac:dyDescent="0.35">
      <c r="B507" s="18"/>
      <c r="O507"/>
      <c r="P507"/>
      <c r="Q507"/>
      <c r="R507"/>
      <c r="S507"/>
      <c r="T507"/>
      <c r="U507"/>
    </row>
    <row r="508" spans="2:21" ht="15.5" x14ac:dyDescent="0.35">
      <c r="B508" s="18"/>
      <c r="O508"/>
      <c r="P508"/>
      <c r="Q508"/>
      <c r="R508"/>
      <c r="S508"/>
      <c r="T508"/>
      <c r="U508"/>
    </row>
    <row r="509" spans="2:21" ht="15.5" x14ac:dyDescent="0.35">
      <c r="B509" s="18"/>
      <c r="O509"/>
      <c r="P509"/>
      <c r="Q509"/>
      <c r="R509"/>
      <c r="S509"/>
      <c r="T509"/>
      <c r="U509"/>
    </row>
    <row r="510" spans="2:21" ht="15.5" x14ac:dyDescent="0.35">
      <c r="B510" s="18"/>
      <c r="O510"/>
      <c r="P510"/>
      <c r="Q510"/>
      <c r="R510"/>
      <c r="S510"/>
      <c r="T510"/>
      <c r="U510"/>
    </row>
    <row r="511" spans="2:21" ht="15.5" x14ac:dyDescent="0.35">
      <c r="B511" s="18"/>
      <c r="O511"/>
      <c r="P511"/>
      <c r="Q511"/>
      <c r="R511"/>
      <c r="S511"/>
      <c r="T511"/>
      <c r="U511"/>
    </row>
    <row r="512" spans="2:21" ht="15.5" x14ac:dyDescent="0.35">
      <c r="B512" s="18"/>
      <c r="O512"/>
      <c r="P512"/>
      <c r="Q512"/>
      <c r="R512"/>
      <c r="S512"/>
      <c r="T512"/>
      <c r="U512"/>
    </row>
    <row r="513" spans="2:21" ht="15.5" x14ac:dyDescent="0.35">
      <c r="B513" s="18"/>
      <c r="O513"/>
      <c r="P513"/>
      <c r="Q513"/>
      <c r="R513"/>
      <c r="S513"/>
      <c r="T513"/>
      <c r="U513"/>
    </row>
    <row r="514" spans="2:21" ht="15.5" x14ac:dyDescent="0.35">
      <c r="B514" s="18"/>
      <c r="O514"/>
      <c r="P514"/>
      <c r="Q514"/>
      <c r="R514"/>
      <c r="S514"/>
      <c r="T514"/>
      <c r="U514"/>
    </row>
    <row r="515" spans="2:21" ht="15.5" x14ac:dyDescent="0.35">
      <c r="B515" s="18"/>
      <c r="O515"/>
      <c r="P515"/>
      <c r="Q515"/>
      <c r="R515"/>
      <c r="S515"/>
      <c r="T515"/>
      <c r="U515"/>
    </row>
    <row r="516" spans="2:21" ht="15.5" x14ac:dyDescent="0.35">
      <c r="B516" s="18"/>
      <c r="O516"/>
      <c r="P516"/>
      <c r="Q516"/>
      <c r="R516"/>
      <c r="S516"/>
      <c r="T516"/>
      <c r="U516"/>
    </row>
    <row r="517" spans="2:21" ht="15.5" x14ac:dyDescent="0.35">
      <c r="B517" s="18"/>
      <c r="O517"/>
      <c r="P517"/>
      <c r="Q517"/>
      <c r="R517"/>
      <c r="S517"/>
      <c r="T517"/>
      <c r="U517"/>
    </row>
    <row r="518" spans="2:21" ht="15.5" x14ac:dyDescent="0.35">
      <c r="B518" s="18"/>
      <c r="O518"/>
      <c r="P518"/>
      <c r="Q518"/>
      <c r="R518"/>
      <c r="S518"/>
      <c r="T518"/>
      <c r="U518"/>
    </row>
    <row r="519" spans="2:21" ht="15.5" x14ac:dyDescent="0.35">
      <c r="B519" s="18"/>
      <c r="O519"/>
      <c r="P519"/>
      <c r="Q519"/>
      <c r="R519"/>
      <c r="S519"/>
      <c r="T519"/>
      <c r="U519"/>
    </row>
    <row r="520" spans="2:21" ht="15.5" x14ac:dyDescent="0.35">
      <c r="B520" s="18"/>
      <c r="O520"/>
      <c r="P520"/>
      <c r="Q520"/>
      <c r="R520"/>
      <c r="S520"/>
      <c r="T520"/>
      <c r="U520"/>
    </row>
    <row r="521" spans="2:21" ht="15.5" x14ac:dyDescent="0.35">
      <c r="B521" s="18"/>
      <c r="O521"/>
      <c r="P521"/>
      <c r="Q521"/>
      <c r="R521"/>
      <c r="S521"/>
      <c r="T521"/>
      <c r="U521"/>
    </row>
    <row r="522" spans="2:21" ht="15.5" x14ac:dyDescent="0.35">
      <c r="B522" s="18"/>
      <c r="O522"/>
      <c r="P522"/>
      <c r="Q522"/>
      <c r="R522"/>
      <c r="S522"/>
      <c r="T522"/>
      <c r="U522"/>
    </row>
    <row r="523" spans="2:21" ht="15.5" x14ac:dyDescent="0.35">
      <c r="B523" s="18"/>
      <c r="O523"/>
      <c r="P523"/>
      <c r="Q523"/>
      <c r="R523"/>
      <c r="S523"/>
      <c r="T523"/>
      <c r="U523"/>
    </row>
    <row r="524" spans="2:21" ht="15.5" x14ac:dyDescent="0.35">
      <c r="B524" s="18"/>
      <c r="O524"/>
      <c r="P524"/>
      <c r="Q524"/>
      <c r="R524"/>
      <c r="S524"/>
      <c r="T524"/>
      <c r="U524"/>
    </row>
    <row r="525" spans="2:21" ht="15.5" x14ac:dyDescent="0.35">
      <c r="B525" s="18"/>
      <c r="O525"/>
      <c r="P525"/>
      <c r="Q525"/>
      <c r="R525"/>
      <c r="S525"/>
      <c r="T525"/>
      <c r="U525"/>
    </row>
    <row r="526" spans="2:21" ht="15.5" x14ac:dyDescent="0.35">
      <c r="B526" s="18"/>
      <c r="O526"/>
      <c r="P526"/>
      <c r="Q526"/>
      <c r="R526"/>
      <c r="S526"/>
      <c r="T526"/>
      <c r="U526"/>
    </row>
    <row r="527" spans="2:21" ht="15.5" x14ac:dyDescent="0.35">
      <c r="B527" s="18"/>
      <c r="O527"/>
      <c r="P527"/>
      <c r="Q527"/>
      <c r="R527"/>
      <c r="S527"/>
      <c r="T527"/>
      <c r="U527"/>
    </row>
    <row r="528" spans="2:21" ht="15.5" x14ac:dyDescent="0.35">
      <c r="B528" s="18"/>
      <c r="O528"/>
      <c r="P528"/>
      <c r="Q528"/>
      <c r="R528"/>
      <c r="S528"/>
      <c r="T528"/>
      <c r="U528"/>
    </row>
    <row r="529" spans="2:21" ht="15.5" x14ac:dyDescent="0.35">
      <c r="B529" s="18"/>
      <c r="O529"/>
      <c r="P529"/>
      <c r="Q529"/>
      <c r="R529"/>
      <c r="S529"/>
      <c r="T529"/>
      <c r="U529"/>
    </row>
    <row r="530" spans="2:21" ht="15.5" x14ac:dyDescent="0.35">
      <c r="B530" s="18"/>
      <c r="O530"/>
      <c r="P530"/>
      <c r="Q530"/>
      <c r="R530"/>
      <c r="S530"/>
      <c r="T530"/>
      <c r="U530"/>
    </row>
    <row r="531" spans="2:21" ht="15.5" x14ac:dyDescent="0.35">
      <c r="B531" s="18"/>
      <c r="O531"/>
      <c r="P531"/>
      <c r="Q531"/>
      <c r="R531"/>
      <c r="S531"/>
      <c r="T531"/>
      <c r="U531"/>
    </row>
    <row r="532" spans="2:21" ht="15.5" x14ac:dyDescent="0.35">
      <c r="B532" s="18"/>
      <c r="O532"/>
      <c r="P532"/>
      <c r="Q532"/>
      <c r="R532"/>
      <c r="S532"/>
      <c r="T532"/>
      <c r="U532"/>
    </row>
    <row r="533" spans="2:21" ht="15.5" x14ac:dyDescent="0.35">
      <c r="B533" s="18"/>
      <c r="O533"/>
      <c r="P533"/>
      <c r="Q533"/>
      <c r="R533"/>
      <c r="S533"/>
      <c r="T533"/>
      <c r="U533"/>
    </row>
    <row r="534" spans="2:21" ht="15.5" x14ac:dyDescent="0.35">
      <c r="B534" s="18"/>
      <c r="O534"/>
      <c r="P534"/>
      <c r="Q534"/>
      <c r="R534"/>
      <c r="S534"/>
      <c r="T534"/>
      <c r="U534"/>
    </row>
    <row r="535" spans="2:21" ht="15.5" x14ac:dyDescent="0.35">
      <c r="B535" s="18"/>
      <c r="O535"/>
      <c r="P535"/>
      <c r="Q535"/>
      <c r="R535"/>
      <c r="S535"/>
      <c r="T535"/>
      <c r="U535"/>
    </row>
    <row r="536" spans="2:21" ht="15.5" x14ac:dyDescent="0.35">
      <c r="B536" s="18"/>
      <c r="O536"/>
      <c r="P536"/>
      <c r="Q536"/>
      <c r="R536"/>
      <c r="S536"/>
      <c r="T536"/>
      <c r="U536"/>
    </row>
    <row r="537" spans="2:21" ht="15.5" x14ac:dyDescent="0.35">
      <c r="B537" s="18"/>
      <c r="O537"/>
      <c r="P537"/>
      <c r="Q537"/>
      <c r="R537"/>
      <c r="S537"/>
      <c r="T537"/>
      <c r="U537"/>
    </row>
    <row r="538" spans="2:21" ht="15.5" x14ac:dyDescent="0.35">
      <c r="B538" s="18"/>
      <c r="O538"/>
      <c r="P538"/>
      <c r="Q538"/>
      <c r="R538"/>
      <c r="S538"/>
      <c r="T538"/>
      <c r="U538"/>
    </row>
    <row r="539" spans="2:21" ht="15.5" x14ac:dyDescent="0.35">
      <c r="B539" s="18"/>
      <c r="O539"/>
      <c r="P539"/>
      <c r="Q539"/>
      <c r="R539"/>
      <c r="S539"/>
      <c r="T539"/>
      <c r="U539"/>
    </row>
    <row r="540" spans="2:21" ht="15.5" x14ac:dyDescent="0.35">
      <c r="B540" s="18"/>
      <c r="O540"/>
      <c r="P540"/>
      <c r="Q540"/>
      <c r="R540"/>
      <c r="S540"/>
      <c r="T540"/>
      <c r="U540"/>
    </row>
    <row r="541" spans="2:21" ht="15.5" x14ac:dyDescent="0.35">
      <c r="B541" s="18"/>
      <c r="O541"/>
      <c r="P541"/>
      <c r="Q541"/>
      <c r="R541"/>
      <c r="S541"/>
      <c r="T541"/>
      <c r="U541"/>
    </row>
    <row r="542" spans="2:21" ht="15.5" x14ac:dyDescent="0.35">
      <c r="B542" s="18"/>
      <c r="O542"/>
      <c r="P542"/>
      <c r="Q542"/>
      <c r="R542"/>
      <c r="S542"/>
      <c r="T542"/>
      <c r="U542"/>
    </row>
    <row r="543" spans="2:21" ht="15.5" x14ac:dyDescent="0.35">
      <c r="B543" s="18"/>
      <c r="O543"/>
      <c r="P543"/>
      <c r="Q543"/>
      <c r="R543"/>
      <c r="S543"/>
      <c r="T543"/>
      <c r="U543"/>
    </row>
    <row r="544" spans="2:21" ht="15.5" x14ac:dyDescent="0.35">
      <c r="B544" s="18"/>
      <c r="O544"/>
      <c r="P544"/>
      <c r="Q544"/>
      <c r="R544"/>
      <c r="S544"/>
      <c r="T544"/>
      <c r="U544"/>
    </row>
    <row r="545" spans="2:21" ht="15.5" x14ac:dyDescent="0.35">
      <c r="B545" s="18"/>
      <c r="O545"/>
      <c r="P545"/>
      <c r="Q545"/>
      <c r="R545"/>
      <c r="S545"/>
      <c r="T545"/>
      <c r="U545"/>
    </row>
    <row r="546" spans="2:21" ht="15.5" x14ac:dyDescent="0.35">
      <c r="B546" s="18"/>
      <c r="O546"/>
      <c r="P546"/>
      <c r="Q546"/>
      <c r="R546"/>
      <c r="S546"/>
      <c r="T546"/>
      <c r="U546"/>
    </row>
    <row r="547" spans="2:21" ht="15.5" x14ac:dyDescent="0.35">
      <c r="B547" s="18"/>
      <c r="O547"/>
      <c r="P547"/>
      <c r="Q547"/>
      <c r="R547"/>
      <c r="S547"/>
      <c r="T547"/>
      <c r="U547"/>
    </row>
    <row r="548" spans="2:21" ht="15.5" x14ac:dyDescent="0.35">
      <c r="B548" s="18"/>
      <c r="O548"/>
      <c r="P548"/>
      <c r="Q548"/>
      <c r="R548"/>
      <c r="S548"/>
      <c r="T548"/>
      <c r="U548"/>
    </row>
    <row r="549" spans="2:21" ht="15.5" x14ac:dyDescent="0.35">
      <c r="B549" s="18"/>
      <c r="O549"/>
      <c r="P549"/>
      <c r="Q549"/>
      <c r="R549"/>
      <c r="S549"/>
      <c r="T549"/>
      <c r="U549"/>
    </row>
    <row r="550" spans="2:21" ht="15.5" x14ac:dyDescent="0.35">
      <c r="B550" s="18"/>
      <c r="O550"/>
      <c r="P550"/>
      <c r="Q550"/>
      <c r="R550"/>
      <c r="S550"/>
      <c r="T550"/>
      <c r="U550"/>
    </row>
    <row r="551" spans="2:21" ht="15.5" x14ac:dyDescent="0.35">
      <c r="B551" s="18"/>
      <c r="O551"/>
      <c r="P551"/>
      <c r="Q551"/>
      <c r="R551"/>
      <c r="S551"/>
      <c r="T551"/>
      <c r="U551"/>
    </row>
    <row r="552" spans="2:21" ht="15.5" x14ac:dyDescent="0.35">
      <c r="B552" s="18"/>
      <c r="O552"/>
      <c r="P552"/>
      <c r="Q552"/>
      <c r="R552"/>
      <c r="S552"/>
      <c r="T552"/>
      <c r="U552"/>
    </row>
    <row r="553" spans="2:21" ht="15.5" x14ac:dyDescent="0.35">
      <c r="B553" s="18"/>
      <c r="O553"/>
      <c r="P553"/>
      <c r="Q553"/>
      <c r="R553"/>
      <c r="S553"/>
      <c r="T553"/>
      <c r="U553"/>
    </row>
    <row r="554" spans="2:21" ht="15.5" x14ac:dyDescent="0.35">
      <c r="B554" s="18"/>
      <c r="O554"/>
      <c r="P554"/>
      <c r="Q554"/>
      <c r="R554"/>
      <c r="S554"/>
      <c r="T554"/>
      <c r="U554"/>
    </row>
    <row r="555" spans="2:21" ht="15.5" x14ac:dyDescent="0.35">
      <c r="B555" s="18"/>
      <c r="O555"/>
      <c r="P555"/>
      <c r="Q555"/>
      <c r="R555"/>
      <c r="S555"/>
      <c r="T555"/>
      <c r="U555"/>
    </row>
    <row r="556" spans="2:21" ht="15.5" x14ac:dyDescent="0.35">
      <c r="B556" s="18"/>
      <c r="O556"/>
      <c r="P556"/>
      <c r="Q556"/>
      <c r="R556"/>
      <c r="S556"/>
      <c r="T556"/>
      <c r="U556"/>
    </row>
    <row r="557" spans="2:21" ht="15.5" x14ac:dyDescent="0.35">
      <c r="B557" s="18"/>
      <c r="O557"/>
      <c r="P557"/>
      <c r="Q557"/>
      <c r="R557"/>
      <c r="S557"/>
      <c r="T557"/>
      <c r="U557"/>
    </row>
    <row r="558" spans="2:21" ht="15.5" x14ac:dyDescent="0.35">
      <c r="B558" s="18"/>
      <c r="O558"/>
      <c r="P558"/>
      <c r="Q558"/>
      <c r="R558"/>
      <c r="S558"/>
      <c r="T558"/>
      <c r="U558"/>
    </row>
    <row r="559" spans="2:21" ht="15.5" x14ac:dyDescent="0.35">
      <c r="B559" s="18"/>
      <c r="O559"/>
      <c r="P559"/>
      <c r="Q559"/>
      <c r="R559"/>
      <c r="S559"/>
      <c r="T559"/>
      <c r="U559"/>
    </row>
    <row r="560" spans="2:21" ht="15.5" x14ac:dyDescent="0.35">
      <c r="B560" s="18"/>
      <c r="O560"/>
      <c r="P560"/>
      <c r="Q560"/>
      <c r="R560"/>
      <c r="S560"/>
      <c r="T560"/>
      <c r="U560"/>
    </row>
    <row r="561" spans="2:21" ht="15.5" x14ac:dyDescent="0.35">
      <c r="B561" s="18"/>
      <c r="O561"/>
      <c r="P561"/>
      <c r="Q561"/>
      <c r="R561"/>
      <c r="S561"/>
      <c r="T561"/>
      <c r="U561"/>
    </row>
    <row r="562" spans="2:21" ht="15.5" x14ac:dyDescent="0.35">
      <c r="B562" s="18"/>
      <c r="O562"/>
      <c r="P562"/>
      <c r="Q562"/>
      <c r="R562"/>
      <c r="S562"/>
      <c r="T562"/>
      <c r="U562"/>
    </row>
    <row r="563" spans="2:21" ht="15.5" x14ac:dyDescent="0.35">
      <c r="B563" s="18"/>
      <c r="O563"/>
      <c r="P563"/>
      <c r="Q563"/>
      <c r="R563"/>
      <c r="S563"/>
      <c r="T563"/>
      <c r="U563"/>
    </row>
    <row r="564" spans="2:21" ht="15.5" x14ac:dyDescent="0.35">
      <c r="B564" s="18"/>
      <c r="O564"/>
      <c r="P564"/>
      <c r="Q564"/>
      <c r="R564"/>
      <c r="S564"/>
      <c r="T564"/>
      <c r="U564"/>
    </row>
    <row r="565" spans="2:21" ht="15.5" x14ac:dyDescent="0.35">
      <c r="B565" s="18"/>
      <c r="O565"/>
      <c r="P565"/>
      <c r="Q565"/>
      <c r="R565"/>
      <c r="S565"/>
      <c r="T565"/>
      <c r="U565"/>
    </row>
    <row r="566" spans="2:21" ht="15.5" x14ac:dyDescent="0.35">
      <c r="B566" s="18"/>
      <c r="O566"/>
      <c r="P566"/>
      <c r="Q566"/>
      <c r="R566"/>
      <c r="S566"/>
      <c r="T566"/>
      <c r="U566"/>
    </row>
    <row r="567" spans="2:21" ht="15.5" x14ac:dyDescent="0.35">
      <c r="B567" s="18"/>
      <c r="O567"/>
      <c r="P567"/>
      <c r="Q567"/>
      <c r="R567"/>
      <c r="S567"/>
      <c r="T567"/>
      <c r="U567"/>
    </row>
    <row r="568" spans="2:21" ht="15.5" x14ac:dyDescent="0.35">
      <c r="B568" s="18"/>
      <c r="O568"/>
      <c r="P568"/>
      <c r="Q568"/>
      <c r="R568"/>
      <c r="S568"/>
      <c r="T568"/>
      <c r="U568"/>
    </row>
    <row r="569" spans="2:21" ht="15.5" x14ac:dyDescent="0.35">
      <c r="B569" s="18"/>
      <c r="O569"/>
      <c r="P569"/>
      <c r="Q569"/>
      <c r="R569"/>
      <c r="S569"/>
      <c r="T569"/>
      <c r="U569"/>
    </row>
    <row r="570" spans="2:21" ht="15.5" x14ac:dyDescent="0.35">
      <c r="B570" s="18"/>
      <c r="O570"/>
      <c r="P570"/>
      <c r="Q570"/>
      <c r="R570"/>
      <c r="S570"/>
      <c r="T570"/>
      <c r="U570"/>
    </row>
    <row r="571" spans="2:21" ht="15.5" x14ac:dyDescent="0.35">
      <c r="B571" s="18"/>
      <c r="O571"/>
      <c r="P571"/>
      <c r="Q571"/>
      <c r="R571"/>
      <c r="S571"/>
      <c r="T571"/>
      <c r="U571"/>
    </row>
    <row r="572" spans="2:21" ht="15.5" x14ac:dyDescent="0.35">
      <c r="B572" s="18"/>
      <c r="O572"/>
      <c r="P572"/>
      <c r="Q572"/>
      <c r="R572"/>
      <c r="S572"/>
      <c r="T572"/>
      <c r="U572"/>
    </row>
    <row r="573" spans="2:21" ht="15.5" x14ac:dyDescent="0.35">
      <c r="B573" s="18"/>
      <c r="O573"/>
      <c r="P573"/>
      <c r="Q573"/>
      <c r="R573"/>
      <c r="S573"/>
      <c r="T573"/>
      <c r="U573"/>
    </row>
    <row r="574" spans="2:21" ht="15.5" x14ac:dyDescent="0.35">
      <c r="B574" s="18"/>
      <c r="O574"/>
      <c r="P574"/>
      <c r="Q574"/>
      <c r="R574"/>
      <c r="S574"/>
      <c r="T574"/>
      <c r="U574"/>
    </row>
    <row r="575" spans="2:21" ht="15.5" x14ac:dyDescent="0.35">
      <c r="B575" s="18"/>
      <c r="O575"/>
      <c r="P575"/>
      <c r="Q575"/>
      <c r="R575"/>
      <c r="S575"/>
      <c r="T575"/>
      <c r="U575"/>
    </row>
    <row r="576" spans="2:21" ht="15.5" x14ac:dyDescent="0.35">
      <c r="B576" s="18"/>
      <c r="O576"/>
      <c r="P576"/>
      <c r="Q576"/>
      <c r="R576"/>
      <c r="S576"/>
      <c r="T576"/>
      <c r="U576"/>
    </row>
    <row r="577" spans="2:21" ht="15.5" x14ac:dyDescent="0.35">
      <c r="B577" s="18"/>
      <c r="O577"/>
      <c r="P577"/>
      <c r="Q577"/>
      <c r="R577"/>
      <c r="S577"/>
      <c r="T577"/>
      <c r="U577"/>
    </row>
    <row r="578" spans="2:21" ht="15.5" x14ac:dyDescent="0.35">
      <c r="B578" s="18"/>
    </row>
    <row r="579" spans="2:21" ht="15.5" x14ac:dyDescent="0.35">
      <c r="B579" s="18"/>
    </row>
    <row r="580" spans="2:21" ht="15.5" x14ac:dyDescent="0.35">
      <c r="B580" s="18"/>
    </row>
    <row r="581" spans="2:21" ht="15.5" x14ac:dyDescent="0.35">
      <c r="B581" s="18"/>
    </row>
    <row r="582" spans="2:21" ht="15.5" x14ac:dyDescent="0.35">
      <c r="B582" s="18"/>
    </row>
    <row r="583" spans="2:21" ht="15.5" x14ac:dyDescent="0.35">
      <c r="B583" s="18"/>
    </row>
    <row r="584" spans="2:21" ht="15.5" x14ac:dyDescent="0.35">
      <c r="B584" s="18"/>
    </row>
    <row r="585" spans="2:21" ht="15.5" x14ac:dyDescent="0.35">
      <c r="B585" s="18"/>
    </row>
    <row r="586" spans="2:21" ht="15.5" x14ac:dyDescent="0.35">
      <c r="B586" s="18"/>
    </row>
    <row r="587" spans="2:21" ht="15.5" x14ac:dyDescent="0.35">
      <c r="B587" s="18"/>
    </row>
    <row r="588" spans="2:21" ht="15.5" x14ac:dyDescent="0.35">
      <c r="B588" s="18"/>
    </row>
    <row r="589" spans="2:21" ht="15.5" x14ac:dyDescent="0.35">
      <c r="B589" s="18"/>
    </row>
    <row r="590" spans="2:21" ht="15.5" x14ac:dyDescent="0.35">
      <c r="B590" s="18"/>
    </row>
    <row r="591" spans="2:21" ht="15.5" x14ac:dyDescent="0.35">
      <c r="B591" s="18"/>
    </row>
    <row r="592" spans="2:21" ht="15.5" x14ac:dyDescent="0.35">
      <c r="B592" s="18"/>
    </row>
    <row r="593" spans="2:2" ht="15.5" x14ac:dyDescent="0.35">
      <c r="B593" s="18"/>
    </row>
    <row r="594" spans="2:2" ht="15.5" x14ac:dyDescent="0.35">
      <c r="B594" s="18"/>
    </row>
    <row r="595" spans="2:2" ht="15.5" x14ac:dyDescent="0.35">
      <c r="B595" s="18"/>
    </row>
    <row r="596" spans="2:2" ht="15.5" x14ac:dyDescent="0.35">
      <c r="B596" s="18"/>
    </row>
    <row r="597" spans="2:2" ht="15.5" x14ac:dyDescent="0.35">
      <c r="B597" s="18"/>
    </row>
    <row r="598" spans="2:2" ht="15.5" x14ac:dyDescent="0.35">
      <c r="B598" s="18"/>
    </row>
    <row r="599" spans="2:2" ht="15.5" x14ac:dyDescent="0.35">
      <c r="B599" s="18"/>
    </row>
    <row r="600" spans="2:2" ht="15.5" x14ac:dyDescent="0.35">
      <c r="B600" s="18"/>
    </row>
    <row r="601" spans="2:2" ht="15.5" x14ac:dyDescent="0.35">
      <c r="B601" s="18"/>
    </row>
    <row r="602" spans="2:2" ht="15.5" x14ac:dyDescent="0.35">
      <c r="B602" s="18"/>
    </row>
    <row r="603" spans="2:2" ht="15.5" x14ac:dyDescent="0.35">
      <c r="B603" s="18"/>
    </row>
    <row r="604" spans="2:2" ht="15.5" x14ac:dyDescent="0.35">
      <c r="B604" s="18"/>
    </row>
    <row r="605" spans="2:2" ht="15.5" x14ac:dyDescent="0.35">
      <c r="B605" s="18"/>
    </row>
    <row r="606" spans="2:2" ht="15.5" x14ac:dyDescent="0.35">
      <c r="B606" s="18"/>
    </row>
    <row r="607" spans="2:2" ht="15.5" x14ac:dyDescent="0.35">
      <c r="B607" s="18"/>
    </row>
    <row r="608" spans="2:2" ht="15.5" x14ac:dyDescent="0.35">
      <c r="B608" s="18"/>
    </row>
    <row r="609" spans="2:2" ht="15.5" x14ac:dyDescent="0.35">
      <c r="B609" s="18"/>
    </row>
    <row r="610" spans="2:2" ht="15.5" x14ac:dyDescent="0.35">
      <c r="B610" s="18"/>
    </row>
    <row r="611" spans="2:2" ht="15.5" x14ac:dyDescent="0.35">
      <c r="B611" s="18"/>
    </row>
    <row r="612" spans="2:2" ht="15.5" x14ac:dyDescent="0.35">
      <c r="B612" s="18"/>
    </row>
    <row r="613" spans="2:2" ht="15.5" x14ac:dyDescent="0.35">
      <c r="B613" s="18"/>
    </row>
    <row r="614" spans="2:2" ht="15.5" x14ac:dyDescent="0.35">
      <c r="B614" s="18"/>
    </row>
    <row r="615" spans="2:2" ht="15.5" x14ac:dyDescent="0.35">
      <c r="B615" s="18"/>
    </row>
    <row r="616" spans="2:2" ht="15.5" x14ac:dyDescent="0.35">
      <c r="B616" s="18"/>
    </row>
    <row r="617" spans="2:2" ht="15.5" x14ac:dyDescent="0.35">
      <c r="B617" s="18"/>
    </row>
    <row r="618" spans="2:2" ht="15.5" x14ac:dyDescent="0.35">
      <c r="B618" s="18"/>
    </row>
    <row r="619" spans="2:2" ht="15.5" x14ac:dyDescent="0.35">
      <c r="B619" s="18"/>
    </row>
    <row r="620" spans="2:2" ht="15.5" x14ac:dyDescent="0.35">
      <c r="B620" s="18"/>
    </row>
    <row r="621" spans="2:2" ht="15.5" x14ac:dyDescent="0.35">
      <c r="B621" s="18"/>
    </row>
    <row r="622" spans="2:2" ht="15.5" x14ac:dyDescent="0.35">
      <c r="B622" s="18"/>
    </row>
    <row r="623" spans="2:2" ht="15.5" x14ac:dyDescent="0.35">
      <c r="B623" s="18"/>
    </row>
    <row r="624" spans="2:2" ht="15.5" x14ac:dyDescent="0.35">
      <c r="B624" s="18"/>
    </row>
    <row r="625" spans="2:2" ht="15.5" x14ac:dyDescent="0.35">
      <c r="B625" s="18"/>
    </row>
    <row r="626" spans="2:2" ht="15.5" x14ac:dyDescent="0.35">
      <c r="B626" s="18"/>
    </row>
    <row r="627" spans="2:2" ht="15.5" x14ac:dyDescent="0.35">
      <c r="B627" s="18"/>
    </row>
    <row r="628" spans="2:2" ht="15.5" x14ac:dyDescent="0.35">
      <c r="B628" s="18"/>
    </row>
    <row r="629" spans="2:2" ht="15.5" x14ac:dyDescent="0.35">
      <c r="B629" s="18"/>
    </row>
    <row r="630" spans="2:2" ht="15.5" x14ac:dyDescent="0.35">
      <c r="B630" s="18"/>
    </row>
    <row r="631" spans="2:2" ht="15.5" x14ac:dyDescent="0.35">
      <c r="B631" s="18"/>
    </row>
    <row r="632" spans="2:2" ht="15.5" x14ac:dyDescent="0.35">
      <c r="B632" s="18"/>
    </row>
    <row r="633" spans="2:2" ht="15.5" x14ac:dyDescent="0.35">
      <c r="B633" s="18"/>
    </row>
    <row r="634" spans="2:2" ht="15.5" x14ac:dyDescent="0.35">
      <c r="B634" s="18"/>
    </row>
    <row r="635" spans="2:2" ht="15.5" x14ac:dyDescent="0.35">
      <c r="B635" s="18"/>
    </row>
    <row r="636" spans="2:2" ht="15.5" x14ac:dyDescent="0.35">
      <c r="B636" s="18"/>
    </row>
    <row r="637" spans="2:2" ht="15.5" x14ac:dyDescent="0.35">
      <c r="B637" s="18"/>
    </row>
    <row r="638" spans="2:2" ht="15.5" x14ac:dyDescent="0.35">
      <c r="B638" s="18"/>
    </row>
    <row r="639" spans="2:2" ht="15.5" x14ac:dyDescent="0.35">
      <c r="B639" s="18"/>
    </row>
    <row r="640" spans="2:2" ht="15.5" x14ac:dyDescent="0.35">
      <c r="B640" s="18"/>
    </row>
    <row r="641" spans="2:2" ht="15.5" x14ac:dyDescent="0.35">
      <c r="B641" s="18"/>
    </row>
    <row r="642" spans="2:2" ht="15.5" x14ac:dyDescent="0.35">
      <c r="B642" s="18"/>
    </row>
    <row r="643" spans="2:2" ht="15.5" x14ac:dyDescent="0.35">
      <c r="B643" s="18"/>
    </row>
    <row r="644" spans="2:2" ht="15.5" x14ac:dyDescent="0.35">
      <c r="B644" s="18"/>
    </row>
    <row r="645" spans="2:2" ht="15.5" x14ac:dyDescent="0.35">
      <c r="B645" s="18"/>
    </row>
    <row r="646" spans="2:2" ht="15.5" x14ac:dyDescent="0.35">
      <c r="B646" s="18"/>
    </row>
    <row r="647" spans="2:2" ht="15.5" x14ac:dyDescent="0.35">
      <c r="B647" s="18"/>
    </row>
    <row r="648" spans="2:2" ht="15.5" x14ac:dyDescent="0.35">
      <c r="B648" s="18"/>
    </row>
    <row r="649" spans="2:2" ht="15.5" x14ac:dyDescent="0.35">
      <c r="B649" s="18"/>
    </row>
    <row r="650" spans="2:2" ht="15.5" x14ac:dyDescent="0.35">
      <c r="B650" s="18"/>
    </row>
    <row r="651" spans="2:2" ht="15.5" x14ac:dyDescent="0.35">
      <c r="B651" s="18"/>
    </row>
    <row r="652" spans="2:2" ht="15.5" x14ac:dyDescent="0.35">
      <c r="B652" s="18"/>
    </row>
    <row r="653" spans="2:2" ht="15.5" x14ac:dyDescent="0.35">
      <c r="B653" s="18"/>
    </row>
    <row r="654" spans="2:2" ht="15.5" x14ac:dyDescent="0.35">
      <c r="B654" s="18"/>
    </row>
    <row r="655" spans="2:2" ht="15.5" x14ac:dyDescent="0.35">
      <c r="B655" s="18"/>
    </row>
    <row r="656" spans="2:2" ht="15.5" x14ac:dyDescent="0.35">
      <c r="B656" s="18"/>
    </row>
    <row r="657" spans="2:2" ht="15.5" x14ac:dyDescent="0.35">
      <c r="B657" s="18"/>
    </row>
    <row r="658" spans="2:2" ht="15.5" x14ac:dyDescent="0.35">
      <c r="B658" s="18"/>
    </row>
    <row r="659" spans="2:2" ht="15.5" x14ac:dyDescent="0.35">
      <c r="B659" s="18"/>
    </row>
    <row r="660" spans="2:2" ht="15.5" x14ac:dyDescent="0.35">
      <c r="B660" s="18"/>
    </row>
    <row r="661" spans="2:2" ht="15.5" x14ac:dyDescent="0.35">
      <c r="B661" s="18"/>
    </row>
    <row r="662" spans="2:2" ht="15.5" x14ac:dyDescent="0.35">
      <c r="B662" s="18"/>
    </row>
    <row r="663" spans="2:2" ht="15.5" x14ac:dyDescent="0.35">
      <c r="B663" s="18"/>
    </row>
    <row r="664" spans="2:2" ht="15.5" x14ac:dyDescent="0.35">
      <c r="B664" s="18"/>
    </row>
    <row r="665" spans="2:2" ht="15.5" x14ac:dyDescent="0.35">
      <c r="B665" s="18"/>
    </row>
    <row r="666" spans="2:2" ht="15.5" x14ac:dyDescent="0.35">
      <c r="B666" s="18"/>
    </row>
    <row r="667" spans="2:2" ht="15.5" x14ac:dyDescent="0.35">
      <c r="B667" s="18"/>
    </row>
    <row r="668" spans="2:2" ht="15.5" x14ac:dyDescent="0.35">
      <c r="B668" s="18"/>
    </row>
    <row r="669" spans="2:2" ht="15.5" x14ac:dyDescent="0.35">
      <c r="B669" s="18"/>
    </row>
    <row r="670" spans="2:2" ht="15.5" x14ac:dyDescent="0.35">
      <c r="B670" s="18"/>
    </row>
    <row r="671" spans="2:2" ht="15.5" x14ac:dyDescent="0.35">
      <c r="B671" s="18"/>
    </row>
    <row r="672" spans="2:2" ht="15.5" x14ac:dyDescent="0.35">
      <c r="B672" s="18"/>
    </row>
    <row r="673" spans="2:2" ht="15.5" x14ac:dyDescent="0.35">
      <c r="B673" s="18"/>
    </row>
    <row r="674" spans="2:2" ht="15.5" x14ac:dyDescent="0.35">
      <c r="B674" s="18"/>
    </row>
    <row r="675" spans="2:2" ht="15.5" x14ac:dyDescent="0.35">
      <c r="B675" s="18"/>
    </row>
    <row r="676" spans="2:2" ht="15.5" x14ac:dyDescent="0.35">
      <c r="B676" s="18"/>
    </row>
    <row r="677" spans="2:2" ht="15.5" x14ac:dyDescent="0.35">
      <c r="B677" s="18"/>
    </row>
    <row r="678" spans="2:2" ht="15.5" x14ac:dyDescent="0.35">
      <c r="B678" s="18"/>
    </row>
    <row r="679" spans="2:2" ht="15.5" x14ac:dyDescent="0.35">
      <c r="B679" s="18"/>
    </row>
    <row r="680" spans="2:2" ht="15.5" x14ac:dyDescent="0.35">
      <c r="B680" s="18"/>
    </row>
    <row r="681" spans="2:2" ht="15.5" x14ac:dyDescent="0.35">
      <c r="B681" s="18"/>
    </row>
    <row r="682" spans="2:2" ht="15.5" x14ac:dyDescent="0.35">
      <c r="B682" s="18"/>
    </row>
    <row r="683" spans="2:2" ht="15.5" x14ac:dyDescent="0.35">
      <c r="B683" s="18"/>
    </row>
    <row r="684" spans="2:2" ht="15.5" x14ac:dyDescent="0.35">
      <c r="B684" s="18"/>
    </row>
    <row r="685" spans="2:2" ht="15.5" x14ac:dyDescent="0.35">
      <c r="B685" s="18"/>
    </row>
    <row r="686" spans="2:2" ht="15.5" x14ac:dyDescent="0.35">
      <c r="B686" s="18"/>
    </row>
    <row r="687" spans="2:2" ht="15.5" x14ac:dyDescent="0.35">
      <c r="B687" s="18"/>
    </row>
    <row r="688" spans="2:2" ht="15.5" x14ac:dyDescent="0.35">
      <c r="B688" s="18"/>
    </row>
    <row r="689" spans="2:2" ht="15.5" x14ac:dyDescent="0.35">
      <c r="B689" s="18"/>
    </row>
    <row r="690" spans="2:2" ht="15.5" x14ac:dyDescent="0.35">
      <c r="B690" s="18"/>
    </row>
    <row r="691" spans="2:2" ht="15.5" x14ac:dyDescent="0.35">
      <c r="B691" s="18"/>
    </row>
    <row r="692" spans="2:2" ht="15.5" x14ac:dyDescent="0.35">
      <c r="B692" s="18"/>
    </row>
    <row r="693" spans="2:2" ht="15.5" x14ac:dyDescent="0.35">
      <c r="B693" s="18"/>
    </row>
    <row r="694" spans="2:2" ht="15.5" x14ac:dyDescent="0.35">
      <c r="B694" s="18"/>
    </row>
    <row r="695" spans="2:2" ht="15.5" x14ac:dyDescent="0.35">
      <c r="B695" s="18"/>
    </row>
    <row r="696" spans="2:2" ht="15.5" x14ac:dyDescent="0.35">
      <c r="B696" s="18"/>
    </row>
    <row r="697" spans="2:2" ht="15.5" x14ac:dyDescent="0.35">
      <c r="B697" s="18"/>
    </row>
    <row r="698" spans="2:2" ht="15.5" x14ac:dyDescent="0.35">
      <c r="B698" s="18"/>
    </row>
    <row r="699" spans="2:2" ht="15.5" x14ac:dyDescent="0.35">
      <c r="B699" s="18"/>
    </row>
    <row r="700" spans="2:2" ht="15.5" x14ac:dyDescent="0.35">
      <c r="B700" s="18"/>
    </row>
    <row r="701" spans="2:2" ht="15.5" x14ac:dyDescent="0.35">
      <c r="B701" s="18"/>
    </row>
    <row r="702" spans="2:2" ht="15.5" x14ac:dyDescent="0.35">
      <c r="B702" s="18"/>
    </row>
    <row r="703" spans="2:2" ht="15.5" x14ac:dyDescent="0.35">
      <c r="B703" s="18"/>
    </row>
    <row r="704" spans="2:2" ht="15.5" x14ac:dyDescent="0.35">
      <c r="B704" s="18"/>
    </row>
    <row r="705" spans="2:2" ht="15.5" x14ac:dyDescent="0.35">
      <c r="B705" s="18"/>
    </row>
    <row r="706" spans="2:2" ht="15.5" x14ac:dyDescent="0.35">
      <c r="B706" s="18"/>
    </row>
    <row r="707" spans="2:2" ht="15.5" x14ac:dyDescent="0.35">
      <c r="B707" s="18"/>
    </row>
    <row r="708" spans="2:2" ht="15.5" x14ac:dyDescent="0.35">
      <c r="B708" s="18"/>
    </row>
    <row r="709" spans="2:2" ht="15.5" x14ac:dyDescent="0.35">
      <c r="B709" s="18"/>
    </row>
    <row r="710" spans="2:2" ht="15.5" x14ac:dyDescent="0.35">
      <c r="B710" s="18"/>
    </row>
    <row r="711" spans="2:2" ht="15.5" x14ac:dyDescent="0.35">
      <c r="B711" s="18"/>
    </row>
    <row r="712" spans="2:2" ht="15.5" x14ac:dyDescent="0.35">
      <c r="B712" s="18"/>
    </row>
    <row r="713" spans="2:2" ht="15.5" x14ac:dyDescent="0.35">
      <c r="B713" s="18"/>
    </row>
    <row r="714" spans="2:2" ht="15.5" x14ac:dyDescent="0.35">
      <c r="B714" s="18"/>
    </row>
    <row r="715" spans="2:2" ht="15.5" x14ac:dyDescent="0.35">
      <c r="B715" s="18"/>
    </row>
    <row r="716" spans="2:2" ht="15.5" x14ac:dyDescent="0.35">
      <c r="B716" s="18"/>
    </row>
    <row r="717" spans="2:2" ht="15.5" x14ac:dyDescent="0.35">
      <c r="B717" s="18"/>
    </row>
    <row r="718" spans="2:2" ht="15.5" x14ac:dyDescent="0.35">
      <c r="B718" s="18"/>
    </row>
    <row r="719" spans="2:2" ht="15.5" x14ac:dyDescent="0.35">
      <c r="B719" s="18"/>
    </row>
    <row r="720" spans="2:2" ht="15.5" x14ac:dyDescent="0.35">
      <c r="B720" s="18"/>
    </row>
    <row r="721" spans="2:2" ht="15.5" x14ac:dyDescent="0.35">
      <c r="B721" s="18"/>
    </row>
    <row r="722" spans="2:2" ht="15.5" x14ac:dyDescent="0.35">
      <c r="B722" s="18"/>
    </row>
    <row r="723" spans="2:2" ht="15.5" x14ac:dyDescent="0.35">
      <c r="B723" s="18"/>
    </row>
    <row r="724" spans="2:2" ht="15.5" x14ac:dyDescent="0.35">
      <c r="B724" s="18"/>
    </row>
    <row r="725" spans="2:2" ht="15.5" x14ac:dyDescent="0.35">
      <c r="B725" s="18"/>
    </row>
    <row r="726" spans="2:2" ht="15.5" x14ac:dyDescent="0.35">
      <c r="B726" s="18"/>
    </row>
    <row r="727" spans="2:2" ht="15.5" x14ac:dyDescent="0.35">
      <c r="B727" s="18"/>
    </row>
    <row r="728" spans="2:2" ht="15.5" x14ac:dyDescent="0.35">
      <c r="B728" s="18"/>
    </row>
    <row r="729" spans="2:2" ht="15.5" x14ac:dyDescent="0.35">
      <c r="B729" s="18"/>
    </row>
    <row r="730" spans="2:2" ht="15.5" x14ac:dyDescent="0.35">
      <c r="B730" s="18"/>
    </row>
    <row r="731" spans="2:2" ht="15.5" x14ac:dyDescent="0.35">
      <c r="B731" s="18"/>
    </row>
    <row r="732" spans="2:2" ht="15.5" x14ac:dyDescent="0.35">
      <c r="B732" s="18"/>
    </row>
    <row r="733" spans="2:2" ht="15.5" x14ac:dyDescent="0.35">
      <c r="B733" s="18"/>
    </row>
    <row r="734" spans="2:2" ht="15.5" x14ac:dyDescent="0.35">
      <c r="B734" s="18"/>
    </row>
    <row r="735" spans="2:2" ht="15.5" x14ac:dyDescent="0.35">
      <c r="B735" s="18"/>
    </row>
    <row r="736" spans="2:2" ht="15.5" x14ac:dyDescent="0.35">
      <c r="B736" s="18"/>
    </row>
    <row r="737" spans="2:2" ht="15.5" x14ac:dyDescent="0.35">
      <c r="B737" s="18"/>
    </row>
    <row r="738" spans="2:2" ht="15.5" x14ac:dyDescent="0.35">
      <c r="B738" s="18"/>
    </row>
    <row r="739" spans="2:2" ht="15.5" x14ac:dyDescent="0.35">
      <c r="B739" s="18"/>
    </row>
    <row r="740" spans="2:2" ht="15.5" x14ac:dyDescent="0.35">
      <c r="B740" s="18"/>
    </row>
    <row r="741" spans="2:2" ht="15.5" x14ac:dyDescent="0.35">
      <c r="B741" s="18"/>
    </row>
    <row r="742" spans="2:2" ht="15.5" x14ac:dyDescent="0.35">
      <c r="B742" s="18"/>
    </row>
    <row r="743" spans="2:2" ht="15.5" x14ac:dyDescent="0.35">
      <c r="B743" s="18"/>
    </row>
    <row r="744" spans="2:2" ht="15.5" x14ac:dyDescent="0.35">
      <c r="B744" s="18"/>
    </row>
    <row r="745" spans="2:2" ht="15.5" x14ac:dyDescent="0.35">
      <c r="B745" s="18"/>
    </row>
    <row r="746" spans="2:2" ht="15.5" x14ac:dyDescent="0.35">
      <c r="B746" s="18"/>
    </row>
    <row r="747" spans="2:2" ht="15.5" x14ac:dyDescent="0.35">
      <c r="B747" s="18"/>
    </row>
    <row r="748" spans="2:2" ht="15.5" x14ac:dyDescent="0.35">
      <c r="B748" s="18"/>
    </row>
    <row r="749" spans="2:2" ht="15.5" x14ac:dyDescent="0.35">
      <c r="B749" s="18"/>
    </row>
    <row r="750" spans="2:2" ht="15.5" x14ac:dyDescent="0.35">
      <c r="B750" s="18"/>
    </row>
    <row r="751" spans="2:2" ht="15.5" x14ac:dyDescent="0.35">
      <c r="B751" s="18"/>
    </row>
    <row r="752" spans="2:2" ht="15.5" x14ac:dyDescent="0.35">
      <c r="B752" s="18"/>
    </row>
    <row r="753" spans="2:2" ht="15.5" x14ac:dyDescent="0.35">
      <c r="B753" s="18"/>
    </row>
    <row r="754" spans="2:2" ht="15.5" x14ac:dyDescent="0.35">
      <c r="B754" s="18"/>
    </row>
    <row r="755" spans="2:2" ht="15.5" x14ac:dyDescent="0.35">
      <c r="B755" s="18"/>
    </row>
    <row r="756" spans="2:2" ht="15.5" x14ac:dyDescent="0.35">
      <c r="B756" s="18"/>
    </row>
    <row r="757" spans="2:2" ht="15.5" x14ac:dyDescent="0.35">
      <c r="B757" s="18"/>
    </row>
    <row r="758" spans="2:2" ht="15.5" x14ac:dyDescent="0.35">
      <c r="B758" s="18"/>
    </row>
    <row r="759" spans="2:2" ht="15.5" x14ac:dyDescent="0.35">
      <c r="B759" s="18"/>
    </row>
    <row r="760" spans="2:2" ht="15.5" x14ac:dyDescent="0.35">
      <c r="B760" s="18"/>
    </row>
    <row r="761" spans="2:2" ht="15.5" x14ac:dyDescent="0.35">
      <c r="B761" s="18"/>
    </row>
    <row r="762" spans="2:2" ht="15.5" x14ac:dyDescent="0.35">
      <c r="B762" s="18"/>
    </row>
    <row r="763" spans="2:2" ht="15.5" x14ac:dyDescent="0.35">
      <c r="B763" s="18"/>
    </row>
    <row r="764" spans="2:2" ht="15.5" x14ac:dyDescent="0.35">
      <c r="B764" s="18"/>
    </row>
    <row r="765" spans="2:2" ht="15.5" x14ac:dyDescent="0.35">
      <c r="B765" s="18"/>
    </row>
    <row r="766" spans="2:2" ht="15.5" x14ac:dyDescent="0.35">
      <c r="B766" s="18"/>
    </row>
    <row r="767" spans="2:2" ht="15.5" x14ac:dyDescent="0.35">
      <c r="B767" s="18"/>
    </row>
    <row r="768" spans="2:2" ht="15.5" x14ac:dyDescent="0.35">
      <c r="B768" s="18"/>
    </row>
    <row r="769" spans="2:2" ht="15.5" x14ac:dyDescent="0.35">
      <c r="B769" s="18"/>
    </row>
    <row r="770" spans="2:2" ht="15.5" x14ac:dyDescent="0.35">
      <c r="B770" s="18"/>
    </row>
    <row r="771" spans="2:2" ht="15.5" x14ac:dyDescent="0.35">
      <c r="B771" s="18"/>
    </row>
    <row r="772" spans="2:2" ht="15.5" x14ac:dyDescent="0.35">
      <c r="B772" s="18"/>
    </row>
    <row r="773" spans="2:2" ht="15.5" x14ac:dyDescent="0.35">
      <c r="B773" s="18"/>
    </row>
    <row r="774" spans="2:2" ht="15.5" x14ac:dyDescent="0.35">
      <c r="B774" s="18"/>
    </row>
    <row r="775" spans="2:2" ht="15.5" x14ac:dyDescent="0.35">
      <c r="B775" s="18"/>
    </row>
    <row r="776" spans="2:2" ht="15.5" x14ac:dyDescent="0.35">
      <c r="B776" s="18"/>
    </row>
    <row r="777" spans="2:2" ht="15.5" x14ac:dyDescent="0.35">
      <c r="B777" s="18"/>
    </row>
    <row r="778" spans="2:2" ht="15.5" x14ac:dyDescent="0.35">
      <c r="B778" s="18"/>
    </row>
    <row r="779" spans="2:2" ht="15.5" x14ac:dyDescent="0.35">
      <c r="B779" s="18"/>
    </row>
    <row r="780" spans="2:2" ht="15.5" x14ac:dyDescent="0.35">
      <c r="B780" s="18"/>
    </row>
    <row r="781" spans="2:2" ht="15.5" x14ac:dyDescent="0.35">
      <c r="B781" s="18"/>
    </row>
    <row r="782" spans="2:2" ht="15.5" x14ac:dyDescent="0.35">
      <c r="B782" s="18"/>
    </row>
    <row r="783" spans="2:2" ht="15.5" x14ac:dyDescent="0.35">
      <c r="B783" s="18"/>
    </row>
    <row r="784" spans="2:2" ht="15.5" x14ac:dyDescent="0.35">
      <c r="B784" s="18"/>
    </row>
    <row r="785" spans="2:2" ht="15.5" x14ac:dyDescent="0.35">
      <c r="B785" s="18"/>
    </row>
    <row r="786" spans="2:2" ht="15.5" x14ac:dyDescent="0.35">
      <c r="B786" s="18"/>
    </row>
    <row r="787" spans="2:2" ht="15.5" x14ac:dyDescent="0.35">
      <c r="B787" s="18"/>
    </row>
    <row r="788" spans="2:2" ht="15.5" x14ac:dyDescent="0.35">
      <c r="B788" s="18"/>
    </row>
    <row r="789" spans="2:2" ht="15.5" x14ac:dyDescent="0.35">
      <c r="B789" s="18"/>
    </row>
    <row r="790" spans="2:2" ht="15.5" x14ac:dyDescent="0.35">
      <c r="B790" s="18"/>
    </row>
    <row r="791" spans="2:2" ht="15.5" x14ac:dyDescent="0.35">
      <c r="B791" s="18"/>
    </row>
    <row r="792" spans="2:2" ht="15.5" x14ac:dyDescent="0.35">
      <c r="B792" s="18"/>
    </row>
    <row r="793" spans="2:2" ht="15.5" x14ac:dyDescent="0.35">
      <c r="B793" s="18"/>
    </row>
    <row r="794" spans="2:2" ht="15.5" x14ac:dyDescent="0.35">
      <c r="B794" s="18"/>
    </row>
    <row r="795" spans="2:2" ht="15.5" x14ac:dyDescent="0.35">
      <c r="B795" s="18"/>
    </row>
    <row r="796" spans="2:2" ht="15.5" x14ac:dyDescent="0.35">
      <c r="B796" s="18"/>
    </row>
    <row r="797" spans="2:2" ht="15.5" x14ac:dyDescent="0.35">
      <c r="B797" s="18"/>
    </row>
    <row r="798" spans="2:2" ht="15.5" x14ac:dyDescent="0.35">
      <c r="B798" s="18"/>
    </row>
    <row r="799" spans="2:2" ht="15.5" x14ac:dyDescent="0.35">
      <c r="B799" s="18"/>
    </row>
    <row r="800" spans="2:2" ht="15.5" x14ac:dyDescent="0.35">
      <c r="B800" s="18"/>
    </row>
    <row r="801" spans="2:2" ht="15.5" x14ac:dyDescent="0.35">
      <c r="B801" s="18"/>
    </row>
    <row r="802" spans="2:2" ht="15.5" x14ac:dyDescent="0.35">
      <c r="B802" s="18"/>
    </row>
    <row r="803" spans="2:2" ht="15.5" x14ac:dyDescent="0.35">
      <c r="B803" s="18"/>
    </row>
    <row r="804" spans="2:2" ht="15.5" x14ac:dyDescent="0.35">
      <c r="B804" s="18"/>
    </row>
    <row r="805" spans="2:2" ht="15.5" x14ac:dyDescent="0.35">
      <c r="B805" s="18"/>
    </row>
    <row r="806" spans="2:2" ht="15.5" x14ac:dyDescent="0.35">
      <c r="B806" s="18"/>
    </row>
    <row r="807" spans="2:2" ht="15.5" x14ac:dyDescent="0.35">
      <c r="B807" s="18"/>
    </row>
    <row r="808" spans="2:2" ht="15.5" x14ac:dyDescent="0.35">
      <c r="B808" s="18"/>
    </row>
    <row r="809" spans="2:2" ht="15.5" x14ac:dyDescent="0.35">
      <c r="B809" s="18"/>
    </row>
    <row r="810" spans="2:2" ht="15.5" x14ac:dyDescent="0.35">
      <c r="B810" s="18"/>
    </row>
    <row r="811" spans="2:2" ht="15.5" x14ac:dyDescent="0.35">
      <c r="B811" s="18"/>
    </row>
    <row r="812" spans="2:2" ht="15.5" x14ac:dyDescent="0.35">
      <c r="B812" s="18"/>
    </row>
    <row r="813" spans="2:2" ht="15.5" x14ac:dyDescent="0.35">
      <c r="B813" s="18"/>
    </row>
    <row r="814" spans="2:2" ht="15.5" x14ac:dyDescent="0.35">
      <c r="B814" s="18"/>
    </row>
    <row r="815" spans="2:2" ht="15.5" x14ac:dyDescent="0.35">
      <c r="B815" s="18"/>
    </row>
    <row r="816" spans="2:2" ht="15.5" x14ac:dyDescent="0.35">
      <c r="B816" s="18"/>
    </row>
    <row r="817" spans="2:2" ht="15.5" x14ac:dyDescent="0.35">
      <c r="B817" s="18"/>
    </row>
    <row r="818" spans="2:2" ht="15.5" x14ac:dyDescent="0.35">
      <c r="B818" s="18"/>
    </row>
    <row r="819" spans="2:2" ht="15.5" x14ac:dyDescent="0.35">
      <c r="B819" s="18"/>
    </row>
    <row r="820" spans="2:2" ht="15.5" x14ac:dyDescent="0.35">
      <c r="B820" s="18"/>
    </row>
    <row r="821" spans="2:2" ht="15.5" x14ac:dyDescent="0.35">
      <c r="B821" s="18"/>
    </row>
    <row r="822" spans="2:2" ht="15.5" x14ac:dyDescent="0.35">
      <c r="B822" s="18"/>
    </row>
    <row r="823" spans="2:2" ht="15.5" x14ac:dyDescent="0.35">
      <c r="B823" s="18"/>
    </row>
    <row r="824" spans="2:2" ht="15.5" x14ac:dyDescent="0.35">
      <c r="B824" s="18"/>
    </row>
    <row r="825" spans="2:2" ht="15.5" x14ac:dyDescent="0.35">
      <c r="B825" s="18"/>
    </row>
    <row r="826" spans="2:2" ht="15.5" x14ac:dyDescent="0.35">
      <c r="B826" s="18"/>
    </row>
    <row r="827" spans="2:2" ht="15.5" x14ac:dyDescent="0.35">
      <c r="B827" s="18"/>
    </row>
    <row r="828" spans="2:2" ht="15.5" x14ac:dyDescent="0.35">
      <c r="B828" s="18"/>
    </row>
    <row r="829" spans="2:2" ht="15.5" x14ac:dyDescent="0.35">
      <c r="B829" s="18"/>
    </row>
    <row r="830" spans="2:2" ht="15.5" x14ac:dyDescent="0.35">
      <c r="B830" s="18"/>
    </row>
    <row r="831" spans="2:2" ht="15.5" x14ac:dyDescent="0.35">
      <c r="B831" s="18"/>
    </row>
    <row r="832" spans="2:2" ht="15.5" x14ac:dyDescent="0.35">
      <c r="B832" s="18"/>
    </row>
    <row r="833" spans="2:2" ht="15.5" x14ac:dyDescent="0.35">
      <c r="B833" s="18"/>
    </row>
    <row r="834" spans="2:2" ht="15.5" x14ac:dyDescent="0.35">
      <c r="B834" s="18"/>
    </row>
    <row r="835" spans="2:2" ht="15.5" x14ac:dyDescent="0.35">
      <c r="B835" s="18"/>
    </row>
    <row r="836" spans="2:2" ht="15.5" x14ac:dyDescent="0.35">
      <c r="B836" s="18"/>
    </row>
    <row r="837" spans="2:2" ht="15.5" x14ac:dyDescent="0.35">
      <c r="B837" s="18"/>
    </row>
    <row r="838" spans="2:2" ht="15.5" x14ac:dyDescent="0.35">
      <c r="B838" s="18"/>
    </row>
    <row r="839" spans="2:2" ht="15.5" x14ac:dyDescent="0.35">
      <c r="B839" s="18"/>
    </row>
    <row r="840" spans="2:2" ht="15.5" x14ac:dyDescent="0.35">
      <c r="B840" s="18"/>
    </row>
    <row r="841" spans="2:2" ht="15.5" x14ac:dyDescent="0.35">
      <c r="B841" s="18"/>
    </row>
    <row r="842" spans="2:2" ht="15.5" x14ac:dyDescent="0.35">
      <c r="B842" s="18"/>
    </row>
    <row r="843" spans="2:2" ht="15.5" x14ac:dyDescent="0.35">
      <c r="B843" s="18"/>
    </row>
    <row r="844" spans="2:2" ht="15.5" x14ac:dyDescent="0.35">
      <c r="B844" s="18"/>
    </row>
    <row r="845" spans="2:2" ht="15.5" x14ac:dyDescent="0.35">
      <c r="B845" s="18"/>
    </row>
    <row r="846" spans="2:2" ht="15.5" x14ac:dyDescent="0.35">
      <c r="B846" s="18"/>
    </row>
    <row r="847" spans="2:2" ht="15.5" x14ac:dyDescent="0.35">
      <c r="B847" s="18"/>
    </row>
    <row r="848" spans="2:2" ht="15.5" x14ac:dyDescent="0.35">
      <c r="B848" s="18"/>
    </row>
    <row r="849" spans="2:2" ht="15.5" x14ac:dyDescent="0.35">
      <c r="B849" s="18"/>
    </row>
    <row r="850" spans="2:2" ht="15.5" x14ac:dyDescent="0.35">
      <c r="B850" s="18"/>
    </row>
    <row r="851" spans="2:2" ht="15.5" x14ac:dyDescent="0.35">
      <c r="B851" s="18"/>
    </row>
    <row r="852" spans="2:2" ht="15.5" x14ac:dyDescent="0.35">
      <c r="B852" s="18"/>
    </row>
    <row r="853" spans="2:2" ht="15.5" x14ac:dyDescent="0.35">
      <c r="B853" s="18"/>
    </row>
    <row r="854" spans="2:2" ht="15.5" x14ac:dyDescent="0.35">
      <c r="B854" s="18"/>
    </row>
    <row r="855" spans="2:2" ht="15.5" x14ac:dyDescent="0.35">
      <c r="B855" s="18"/>
    </row>
    <row r="856" spans="2:2" ht="15.5" x14ac:dyDescent="0.35">
      <c r="B856" s="18"/>
    </row>
    <row r="857" spans="2:2" ht="15.5" x14ac:dyDescent="0.35">
      <c r="B857" s="18"/>
    </row>
    <row r="858" spans="2:2" ht="15.5" x14ac:dyDescent="0.35">
      <c r="B858" s="18"/>
    </row>
    <row r="859" spans="2:2" ht="15.5" x14ac:dyDescent="0.35">
      <c r="B859" s="18"/>
    </row>
    <row r="860" spans="2:2" ht="15.5" x14ac:dyDescent="0.35">
      <c r="B860" s="18"/>
    </row>
    <row r="861" spans="2:2" ht="15.5" x14ac:dyDescent="0.35">
      <c r="B861" s="18"/>
    </row>
    <row r="862" spans="2:2" ht="15.5" x14ac:dyDescent="0.35">
      <c r="B862" s="18"/>
    </row>
    <row r="863" spans="2:2" ht="15.5" x14ac:dyDescent="0.35">
      <c r="B863" s="18"/>
    </row>
    <row r="864" spans="2:2" ht="15.5" x14ac:dyDescent="0.35">
      <c r="B864" s="18"/>
    </row>
    <row r="865" spans="2:2" ht="15.5" x14ac:dyDescent="0.35">
      <c r="B865" s="18"/>
    </row>
    <row r="866" spans="2:2" ht="15.5" x14ac:dyDescent="0.35">
      <c r="B866" s="18"/>
    </row>
    <row r="867" spans="2:2" ht="15.5" x14ac:dyDescent="0.35">
      <c r="B867" s="18"/>
    </row>
    <row r="868" spans="2:2" ht="15.5" x14ac:dyDescent="0.35">
      <c r="B868" s="18"/>
    </row>
    <row r="869" spans="2:2" ht="15.5" x14ac:dyDescent="0.35">
      <c r="B869" s="18"/>
    </row>
    <row r="870" spans="2:2" ht="15.5" x14ac:dyDescent="0.35">
      <c r="B870" s="18"/>
    </row>
    <row r="871" spans="2:2" ht="15.5" x14ac:dyDescent="0.35">
      <c r="B871" s="18"/>
    </row>
    <row r="872" spans="2:2" ht="15.5" x14ac:dyDescent="0.35">
      <c r="B872" s="18"/>
    </row>
    <row r="873" spans="2:2" ht="15.5" x14ac:dyDescent="0.35">
      <c r="B873" s="18"/>
    </row>
    <row r="874" spans="2:2" ht="15.5" x14ac:dyDescent="0.35">
      <c r="B874" s="18"/>
    </row>
    <row r="875" spans="2:2" ht="15.5" x14ac:dyDescent="0.35">
      <c r="B875" s="18"/>
    </row>
    <row r="876" spans="2:2" ht="15.5" x14ac:dyDescent="0.35">
      <c r="B876" s="18"/>
    </row>
    <row r="877" spans="2:2" ht="15.5" x14ac:dyDescent="0.35">
      <c r="B877" s="18"/>
    </row>
    <row r="878" spans="2:2" ht="15.5" x14ac:dyDescent="0.35">
      <c r="B878" s="18"/>
    </row>
    <row r="879" spans="2:2" ht="15.5" x14ac:dyDescent="0.35">
      <c r="B879" s="18"/>
    </row>
    <row r="880" spans="2:2" ht="15.5" x14ac:dyDescent="0.35">
      <c r="B880" s="18"/>
    </row>
    <row r="881" spans="2:2" ht="15.5" x14ac:dyDescent="0.35">
      <c r="B881" s="18"/>
    </row>
    <row r="882" spans="2:2" ht="15.5" x14ac:dyDescent="0.35">
      <c r="B882" s="18"/>
    </row>
    <row r="883" spans="2:2" ht="15.5" x14ac:dyDescent="0.35">
      <c r="B883" s="18"/>
    </row>
    <row r="884" spans="2:2" ht="15.5" x14ac:dyDescent="0.35">
      <c r="B884" s="18"/>
    </row>
    <row r="885" spans="2:2" ht="15.5" x14ac:dyDescent="0.35">
      <c r="B885" s="18"/>
    </row>
    <row r="886" spans="2:2" ht="15.5" x14ac:dyDescent="0.35">
      <c r="B886" s="18"/>
    </row>
    <row r="887" spans="2:2" ht="15.5" x14ac:dyDescent="0.35">
      <c r="B887" s="18"/>
    </row>
    <row r="888" spans="2:2" ht="15.5" x14ac:dyDescent="0.35">
      <c r="B888" s="18"/>
    </row>
    <row r="889" spans="2:2" ht="15.5" x14ac:dyDescent="0.35">
      <c r="B889" s="18"/>
    </row>
    <row r="890" spans="2:2" ht="15.5" x14ac:dyDescent="0.35">
      <c r="B890" s="18"/>
    </row>
    <row r="891" spans="2:2" ht="15.5" x14ac:dyDescent="0.35">
      <c r="B891" s="18"/>
    </row>
    <row r="892" spans="2:2" ht="15.5" x14ac:dyDescent="0.35">
      <c r="B892" s="18"/>
    </row>
    <row r="893" spans="2:2" ht="15.5" x14ac:dyDescent="0.35">
      <c r="B893" s="18"/>
    </row>
    <row r="894" spans="2:2" ht="15.5" x14ac:dyDescent="0.35">
      <c r="B894" s="18"/>
    </row>
    <row r="895" spans="2:2" ht="15.5" x14ac:dyDescent="0.35">
      <c r="B895" s="18"/>
    </row>
    <row r="896" spans="2:2" ht="15.5" x14ac:dyDescent="0.35">
      <c r="B896" s="18"/>
    </row>
    <row r="897" spans="2:2" ht="15.5" x14ac:dyDescent="0.35">
      <c r="B897" s="18"/>
    </row>
    <row r="898" spans="2:2" ht="15.5" x14ac:dyDescent="0.35">
      <c r="B898" s="18"/>
    </row>
    <row r="899" spans="2:2" ht="15.5" x14ac:dyDescent="0.35">
      <c r="B899" s="18"/>
    </row>
    <row r="900" spans="2:2" ht="15.5" x14ac:dyDescent="0.35">
      <c r="B900" s="18"/>
    </row>
    <row r="901" spans="2:2" ht="15.5" x14ac:dyDescent="0.35">
      <c r="B901" s="18"/>
    </row>
    <row r="902" spans="2:2" ht="15.5" x14ac:dyDescent="0.35">
      <c r="B902" s="18"/>
    </row>
    <row r="903" spans="2:2" ht="15.5" x14ac:dyDescent="0.35">
      <c r="B903" s="18"/>
    </row>
    <row r="904" spans="2:2" ht="15.5" x14ac:dyDescent="0.35">
      <c r="B904" s="18"/>
    </row>
    <row r="905" spans="2:2" ht="15.5" x14ac:dyDescent="0.35">
      <c r="B905" s="18"/>
    </row>
    <row r="906" spans="2:2" ht="15.5" x14ac:dyDescent="0.35">
      <c r="B906" s="18"/>
    </row>
    <row r="907" spans="2:2" ht="15.5" x14ac:dyDescent="0.35">
      <c r="B907" s="18"/>
    </row>
    <row r="908" spans="2:2" ht="15.5" x14ac:dyDescent="0.35">
      <c r="B908" s="18"/>
    </row>
    <row r="909" spans="2:2" ht="15.5" x14ac:dyDescent="0.35">
      <c r="B909" s="18"/>
    </row>
    <row r="910" spans="2:2" ht="15.5" x14ac:dyDescent="0.35">
      <c r="B910" s="18"/>
    </row>
    <row r="911" spans="2:2" ht="15.5" x14ac:dyDescent="0.35">
      <c r="B911" s="18"/>
    </row>
    <row r="912" spans="2:2" ht="15.5" x14ac:dyDescent="0.35">
      <c r="B912" s="18"/>
    </row>
    <row r="913" spans="2:2" ht="15.5" x14ac:dyDescent="0.35">
      <c r="B913" s="18"/>
    </row>
    <row r="914" spans="2:2" ht="15.5" x14ac:dyDescent="0.35">
      <c r="B914" s="18"/>
    </row>
    <row r="915" spans="2:2" ht="15.5" x14ac:dyDescent="0.35">
      <c r="B915" s="18"/>
    </row>
    <row r="916" spans="2:2" ht="15.5" x14ac:dyDescent="0.35">
      <c r="B916" s="18"/>
    </row>
    <row r="917" spans="2:2" ht="15.5" x14ac:dyDescent="0.35">
      <c r="B917" s="18"/>
    </row>
    <row r="918" spans="2:2" ht="15.5" x14ac:dyDescent="0.35">
      <c r="B918" s="18"/>
    </row>
    <row r="919" spans="2:2" ht="15.5" x14ac:dyDescent="0.35">
      <c r="B919" s="18"/>
    </row>
    <row r="920" spans="2:2" ht="15.5" x14ac:dyDescent="0.35">
      <c r="B920" s="18"/>
    </row>
    <row r="921" spans="2:2" ht="15.5" x14ac:dyDescent="0.35">
      <c r="B921" s="18"/>
    </row>
    <row r="922" spans="2:2" ht="15.5" x14ac:dyDescent="0.35">
      <c r="B922" s="18"/>
    </row>
    <row r="923" spans="2:2" ht="15.5" x14ac:dyDescent="0.35">
      <c r="B923" s="18"/>
    </row>
    <row r="924" spans="2:2" ht="15.5" x14ac:dyDescent="0.35">
      <c r="B924" s="18"/>
    </row>
    <row r="925" spans="2:2" ht="15.5" x14ac:dyDescent="0.35">
      <c r="B925" s="18"/>
    </row>
    <row r="926" spans="2:2" ht="15.5" x14ac:dyDescent="0.35">
      <c r="B926" s="18"/>
    </row>
    <row r="927" spans="2:2" ht="15.5" x14ac:dyDescent="0.35">
      <c r="B927" s="18"/>
    </row>
    <row r="928" spans="2:2" ht="15.5" x14ac:dyDescent="0.35">
      <c r="B928" s="18"/>
    </row>
    <row r="929" spans="2:2" ht="15.5" x14ac:dyDescent="0.35">
      <c r="B929" s="18"/>
    </row>
    <row r="930" spans="2:2" ht="15.5" x14ac:dyDescent="0.35">
      <c r="B930" s="18"/>
    </row>
    <row r="931" spans="2:2" ht="15.5" x14ac:dyDescent="0.35">
      <c r="B931" s="18"/>
    </row>
    <row r="932" spans="2:2" ht="15.5" x14ac:dyDescent="0.35">
      <c r="B932" s="18"/>
    </row>
    <row r="933" spans="2:2" ht="15.5" x14ac:dyDescent="0.35">
      <c r="B933" s="18"/>
    </row>
    <row r="934" spans="2:2" ht="15.5" x14ac:dyDescent="0.35">
      <c r="B934" s="18"/>
    </row>
    <row r="935" spans="2:2" ht="15.5" x14ac:dyDescent="0.35">
      <c r="B935" s="18"/>
    </row>
    <row r="936" spans="2:2" ht="15.5" x14ac:dyDescent="0.35">
      <c r="B936" s="18"/>
    </row>
    <row r="937" spans="2:2" ht="15.5" x14ac:dyDescent="0.35">
      <c r="B937" s="18"/>
    </row>
    <row r="938" spans="2:2" ht="15.5" x14ac:dyDescent="0.35">
      <c r="B938" s="18"/>
    </row>
    <row r="939" spans="2:2" ht="15.5" x14ac:dyDescent="0.35">
      <c r="B939" s="18"/>
    </row>
    <row r="940" spans="2:2" ht="15.5" x14ac:dyDescent="0.35">
      <c r="B940" s="18"/>
    </row>
    <row r="941" spans="2:2" ht="15.5" x14ac:dyDescent="0.35">
      <c r="B941" s="18"/>
    </row>
    <row r="942" spans="2:2" ht="15.5" x14ac:dyDescent="0.35">
      <c r="B942" s="18"/>
    </row>
    <row r="943" spans="2:2" ht="15.5" x14ac:dyDescent="0.35">
      <c r="B943" s="18"/>
    </row>
    <row r="944" spans="2:2" ht="15.5" x14ac:dyDescent="0.35">
      <c r="B944" s="18"/>
    </row>
    <row r="945" spans="2:2" ht="15.5" x14ac:dyDescent="0.35">
      <c r="B945" s="18"/>
    </row>
    <row r="946" spans="2:2" ht="15.5" x14ac:dyDescent="0.35">
      <c r="B946" s="18"/>
    </row>
    <row r="947" spans="2:2" ht="15.5" x14ac:dyDescent="0.35">
      <c r="B947" s="18"/>
    </row>
    <row r="948" spans="2:2" ht="15.5" x14ac:dyDescent="0.35">
      <c r="B948" s="18"/>
    </row>
    <row r="949" spans="2:2" ht="15.5" x14ac:dyDescent="0.35">
      <c r="B949" s="18"/>
    </row>
    <row r="950" spans="2:2" ht="15.5" x14ac:dyDescent="0.35">
      <c r="B950" s="18"/>
    </row>
    <row r="951" spans="2:2" ht="15.5" x14ac:dyDescent="0.35">
      <c r="B951" s="18"/>
    </row>
    <row r="952" spans="2:2" ht="15.5" x14ac:dyDescent="0.35">
      <c r="B952" s="18"/>
    </row>
    <row r="953" spans="2:2" ht="15.5" x14ac:dyDescent="0.35">
      <c r="B953" s="18"/>
    </row>
    <row r="954" spans="2:2" ht="15.5" x14ac:dyDescent="0.35">
      <c r="B954" s="18"/>
    </row>
    <row r="955" spans="2:2" ht="15.5" x14ac:dyDescent="0.35">
      <c r="B955" s="18"/>
    </row>
    <row r="956" spans="2:2" ht="15.5" x14ac:dyDescent="0.35">
      <c r="B956" s="18"/>
    </row>
    <row r="957" spans="2:2" ht="15.5" x14ac:dyDescent="0.35">
      <c r="B957" s="18"/>
    </row>
    <row r="958" spans="2:2" ht="15.5" x14ac:dyDescent="0.35">
      <c r="B958" s="18"/>
    </row>
    <row r="959" spans="2:2" ht="15.5" x14ac:dyDescent="0.35">
      <c r="B959" s="18"/>
    </row>
    <row r="960" spans="2:2" ht="15.5" x14ac:dyDescent="0.35">
      <c r="B960" s="18"/>
    </row>
    <row r="961" spans="2:2" ht="15.5" x14ac:dyDescent="0.35">
      <c r="B961" s="18"/>
    </row>
    <row r="962" spans="2:2" ht="15.5" x14ac:dyDescent="0.35">
      <c r="B962" s="18"/>
    </row>
    <row r="963" spans="2:2" ht="15.5" x14ac:dyDescent="0.35">
      <c r="B963" s="18"/>
    </row>
    <row r="964" spans="2:2" ht="15.5" x14ac:dyDescent="0.35">
      <c r="B964" s="18"/>
    </row>
    <row r="965" spans="2:2" ht="15.5" x14ac:dyDescent="0.35">
      <c r="B965" s="18"/>
    </row>
    <row r="966" spans="2:2" ht="15.5" x14ac:dyDescent="0.35">
      <c r="B966" s="18"/>
    </row>
    <row r="967" spans="2:2" ht="15.5" x14ac:dyDescent="0.35">
      <c r="B967" s="18"/>
    </row>
    <row r="968" spans="2:2" ht="15.5" x14ac:dyDescent="0.35">
      <c r="B968" s="18"/>
    </row>
    <row r="969" spans="2:2" ht="15.5" x14ac:dyDescent="0.35">
      <c r="B969" s="18"/>
    </row>
    <row r="970" spans="2:2" ht="15.5" x14ac:dyDescent="0.35">
      <c r="B970" s="18"/>
    </row>
    <row r="971" spans="2:2" ht="15.5" x14ac:dyDescent="0.35">
      <c r="B971" s="18"/>
    </row>
    <row r="972" spans="2:2" ht="15.5" x14ac:dyDescent="0.35">
      <c r="B972" s="18"/>
    </row>
    <row r="973" spans="2:2" ht="15.5" x14ac:dyDescent="0.35">
      <c r="B973" s="18"/>
    </row>
    <row r="974" spans="2:2" ht="15.5" x14ac:dyDescent="0.35">
      <c r="B974" s="18"/>
    </row>
    <row r="975" spans="2:2" ht="15.5" x14ac:dyDescent="0.35">
      <c r="B975" s="18"/>
    </row>
    <row r="976" spans="2:2" ht="15.5" x14ac:dyDescent="0.35">
      <c r="B976" s="18"/>
    </row>
    <row r="977" spans="2:2" ht="15.5" x14ac:dyDescent="0.35">
      <c r="B977" s="18"/>
    </row>
    <row r="978" spans="2:2" ht="15.5" x14ac:dyDescent="0.35">
      <c r="B978" s="18"/>
    </row>
    <row r="979" spans="2:2" ht="15.5" x14ac:dyDescent="0.35">
      <c r="B979" s="18"/>
    </row>
    <row r="980" spans="2:2" ht="15.5" x14ac:dyDescent="0.35">
      <c r="B980" s="18"/>
    </row>
    <row r="981" spans="2:2" ht="15.5" x14ac:dyDescent="0.35">
      <c r="B981" s="18"/>
    </row>
    <row r="982" spans="2:2" ht="15.5" x14ac:dyDescent="0.35">
      <c r="B982" s="18"/>
    </row>
    <row r="983" spans="2:2" ht="15.5" x14ac:dyDescent="0.35">
      <c r="B983" s="18"/>
    </row>
    <row r="984" spans="2:2" ht="15.5" x14ac:dyDescent="0.35">
      <c r="B984" s="18"/>
    </row>
    <row r="985" spans="2:2" ht="15.5" x14ac:dyDescent="0.35">
      <c r="B985" s="18"/>
    </row>
    <row r="986" spans="2:2" ht="15.5" x14ac:dyDescent="0.35">
      <c r="B986" s="18"/>
    </row>
    <row r="987" spans="2:2" ht="15.5" x14ac:dyDescent="0.35">
      <c r="B987" s="18"/>
    </row>
    <row r="988" spans="2:2" ht="15.5" x14ac:dyDescent="0.35">
      <c r="B988" s="18"/>
    </row>
    <row r="989" spans="2:2" ht="15.5" x14ac:dyDescent="0.35">
      <c r="B989" s="18"/>
    </row>
    <row r="990" spans="2:2" ht="15.5" x14ac:dyDescent="0.35">
      <c r="B990" s="18"/>
    </row>
    <row r="991" spans="2:2" ht="15.5" x14ac:dyDescent="0.35">
      <c r="B991" s="18"/>
    </row>
    <row r="992" spans="2:2" ht="15.5" x14ac:dyDescent="0.35">
      <c r="B992" s="18"/>
    </row>
    <row r="993" spans="2:2" ht="15.5" x14ac:dyDescent="0.35">
      <c r="B993" s="18"/>
    </row>
    <row r="994" spans="2:2" ht="15.5" x14ac:dyDescent="0.35">
      <c r="B994" s="18"/>
    </row>
    <row r="995" spans="2:2" ht="15.5" x14ac:dyDescent="0.35">
      <c r="B995" s="18"/>
    </row>
    <row r="996" spans="2:2" ht="15.5" x14ac:dyDescent="0.35">
      <c r="B996" s="18"/>
    </row>
    <row r="997" spans="2:2" ht="15.5" x14ac:dyDescent="0.35">
      <c r="B997" s="18"/>
    </row>
    <row r="998" spans="2:2" ht="15.5" x14ac:dyDescent="0.35">
      <c r="B998" s="18"/>
    </row>
    <row r="999" spans="2:2" ht="15.5" x14ac:dyDescent="0.35">
      <c r="B999" s="18"/>
    </row>
    <row r="1000" spans="2:2" ht="15.5" x14ac:dyDescent="0.35">
      <c r="B1000" s="18"/>
    </row>
    <row r="1001" spans="2:2" ht="15.5" x14ac:dyDescent="0.35">
      <c r="B1001" s="18"/>
    </row>
    <row r="1002" spans="2:2" ht="15.5" x14ac:dyDescent="0.35">
      <c r="B1002" s="18"/>
    </row>
    <row r="1003" spans="2:2" ht="15.5" x14ac:dyDescent="0.35">
      <c r="B1003" s="18"/>
    </row>
    <row r="1004" spans="2:2" ht="15.5" x14ac:dyDescent="0.35">
      <c r="B1004" s="18"/>
    </row>
    <row r="1005" spans="2:2" ht="15.5" x14ac:dyDescent="0.35">
      <c r="B1005" s="18"/>
    </row>
    <row r="1006" spans="2:2" ht="15.5" x14ac:dyDescent="0.35">
      <c r="B1006" s="18"/>
    </row>
    <row r="1007" spans="2:2" ht="15.5" x14ac:dyDescent="0.35">
      <c r="B1007" s="18"/>
    </row>
    <row r="1008" spans="2:2" ht="15.5" x14ac:dyDescent="0.35">
      <c r="B1008" s="18"/>
    </row>
    <row r="1009" spans="2:2" ht="15.5" x14ac:dyDescent="0.35">
      <c r="B1009" s="18"/>
    </row>
    <row r="1010" spans="2:2" ht="15.5" x14ac:dyDescent="0.35">
      <c r="B1010" s="18"/>
    </row>
    <row r="1011" spans="2:2" ht="15.5" x14ac:dyDescent="0.35">
      <c r="B1011" s="18"/>
    </row>
    <row r="1012" spans="2:2" ht="15.5" x14ac:dyDescent="0.35">
      <c r="B1012" s="18"/>
    </row>
    <row r="1013" spans="2:2" ht="15.5" x14ac:dyDescent="0.35">
      <c r="B1013" s="18"/>
    </row>
    <row r="1014" spans="2:2" ht="15.5" x14ac:dyDescent="0.35">
      <c r="B1014" s="18"/>
    </row>
    <row r="1015" spans="2:2" ht="15.5" x14ac:dyDescent="0.35">
      <c r="B1015" s="18"/>
    </row>
    <row r="1016" spans="2:2" ht="15.5" x14ac:dyDescent="0.35">
      <c r="B1016" s="18"/>
    </row>
    <row r="1017" spans="2:2" ht="15.5" x14ac:dyDescent="0.35">
      <c r="B1017" s="18"/>
    </row>
    <row r="1018" spans="2:2" ht="15.5" x14ac:dyDescent="0.35">
      <c r="B1018" s="18"/>
    </row>
    <row r="1019" spans="2:2" ht="15.5" x14ac:dyDescent="0.35">
      <c r="B1019" s="18"/>
    </row>
    <row r="1020" spans="2:2" ht="15.5" x14ac:dyDescent="0.35">
      <c r="B1020" s="18"/>
    </row>
    <row r="1021" spans="2:2" ht="15.5" x14ac:dyDescent="0.35">
      <c r="B1021" s="18"/>
    </row>
    <row r="1022" spans="2:2" ht="15.5" x14ac:dyDescent="0.35">
      <c r="B1022" s="18"/>
    </row>
    <row r="1023" spans="2:2" ht="15.5" x14ac:dyDescent="0.35">
      <c r="B1023" s="18"/>
    </row>
    <row r="1024" spans="2:2" ht="15.5" x14ac:dyDescent="0.35">
      <c r="B1024" s="18"/>
    </row>
    <row r="1025" spans="2:2" ht="15.5" x14ac:dyDescent="0.35">
      <c r="B1025" s="18"/>
    </row>
    <row r="1026" spans="2:2" ht="15.5" x14ac:dyDescent="0.35">
      <c r="B1026" s="18"/>
    </row>
    <row r="1027" spans="2:2" ht="15.5" x14ac:dyDescent="0.35">
      <c r="B1027" s="18"/>
    </row>
    <row r="1028" spans="2:2" s="14" customFormat="1" x14ac:dyDescent="0.3"/>
  </sheetData>
  <conditionalFormatting sqref="B129:T180 B350:Q350 R350:T362">
    <cfRule type="expression" dxfId="19" priority="13">
      <formula>+ISODD($B129)</formula>
    </cfRule>
  </conditionalFormatting>
  <conditionalFormatting sqref="V182:V296 X350">
    <cfRule type="expression" dxfId="18" priority="12">
      <formula>ISODD($B182)</formula>
    </cfRule>
  </conditionalFormatting>
  <conditionalFormatting sqref="AA129:AC148 V129:X181 AA149:AB149 V297">
    <cfRule type="expression" dxfId="17" priority="20">
      <formula>ISODD(#REF!)</formula>
    </cfRule>
  </conditionalFormatting>
  <conditionalFormatting sqref="AU129:AX148">
    <cfRule type="expression" dxfId="16" priority="1">
      <formula>ISODD(#REF!)</formula>
    </cfRule>
  </conditionalFormatting>
  <hyperlinks>
    <hyperlink ref="B82" location="Assumptions!A1" display="Var computation - parametric approach" xr:uid="{766DC46D-6587-5042-A37C-E7BFE9B331EA}"/>
    <hyperlink ref="B110" location="Assumptions!A1" display="Var computation - hybrid approach" xr:uid="{FD733493-0052-4B4E-ADAA-8DC405B23032}"/>
  </hyperlinks>
  <pageMargins left="0.7" right="0.7" top="0.75" bottom="0.75" header="0.3" footer="0.3"/>
  <ignoredErrors>
    <ignoredError sqref="AW130:AW148" formula="1"/>
  </ignoredErrors>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E81D9-59E8-4675-B39B-B7DE852E3A5C}">
  <sheetPr codeName="Sheet4"/>
  <dimension ref="B1:BJ1034"/>
  <sheetViews>
    <sheetView showGridLines="0" zoomScaleNormal="100" workbookViewId="0"/>
  </sheetViews>
  <sheetFormatPr defaultColWidth="8.453125" defaultRowHeight="14" x14ac:dyDescent="0.3"/>
  <cols>
    <col min="1" max="1" width="1.453125" style="3" customWidth="1"/>
    <col min="2" max="2" width="25.453125" style="3" customWidth="1"/>
    <col min="3" max="8" width="17.453125" style="3" customWidth="1"/>
    <col min="9" max="16" width="13.453125" style="3" customWidth="1"/>
    <col min="17" max="17" width="13.1796875" style="3" bestFit="1" customWidth="1"/>
    <col min="18" max="20" width="11.6328125" style="3" customWidth="1"/>
    <col min="21" max="21" width="8.6328125" style="3" bestFit="1" customWidth="1"/>
    <col min="22" max="23" width="15.453125" style="3" customWidth="1"/>
    <col min="24" max="24" width="21.453125" style="3" customWidth="1"/>
    <col min="25" max="25" width="8.6328125" style="3" bestFit="1" customWidth="1"/>
    <col min="26" max="28" width="17.453125" style="3" customWidth="1"/>
    <col min="29" max="30" width="18.453125" style="3" customWidth="1"/>
    <col min="31" max="33" width="8.453125" style="3" bestFit="1" customWidth="1"/>
    <col min="34" max="46" width="8.453125" style="3" bestFit="1"/>
    <col min="47" max="50" width="13.6328125" style="3" customWidth="1"/>
    <col min="51" max="16384" width="8.453125" style="3"/>
  </cols>
  <sheetData>
    <row r="1" spans="2:16" ht="13" customHeight="1" x14ac:dyDescent="0.3"/>
    <row r="2" spans="2:16" ht="13" customHeight="1" x14ac:dyDescent="0.3"/>
    <row r="3" spans="2:16" ht="20" customHeight="1" x14ac:dyDescent="0.4">
      <c r="B3" s="83" t="s">
        <v>28</v>
      </c>
    </row>
    <row r="4" spans="2:16" ht="13" customHeight="1" x14ac:dyDescent="0.3"/>
    <row r="5" spans="2:16" ht="13" customHeight="1" x14ac:dyDescent="0.35">
      <c r="B5" s="80"/>
      <c r="C5"/>
      <c r="D5" s="3" t="s">
        <v>29</v>
      </c>
      <c r="J5"/>
      <c r="K5"/>
      <c r="L5"/>
      <c r="M5"/>
      <c r="N5"/>
      <c r="O5"/>
      <c r="P5"/>
    </row>
    <row r="6" spans="2:16" ht="13" customHeight="1" x14ac:dyDescent="0.35">
      <c r="B6" s="79"/>
      <c r="D6" s="3" t="s">
        <v>30</v>
      </c>
      <c r="J6"/>
      <c r="K6"/>
      <c r="L6"/>
      <c r="M6"/>
      <c r="N6"/>
      <c r="O6"/>
      <c r="P6"/>
    </row>
    <row r="7" spans="2:16" ht="13" customHeight="1" x14ac:dyDescent="0.35">
      <c r="J7"/>
      <c r="K7"/>
      <c r="L7"/>
      <c r="M7"/>
      <c r="N7"/>
      <c r="O7"/>
      <c r="P7"/>
    </row>
    <row r="8" spans="2:16" ht="13" customHeight="1" x14ac:dyDescent="0.35">
      <c r="J8"/>
      <c r="K8"/>
      <c r="L8"/>
      <c r="M8"/>
      <c r="N8"/>
      <c r="O8"/>
      <c r="P8"/>
    </row>
    <row r="9" spans="2:16" ht="18" x14ac:dyDescent="0.4">
      <c r="B9" s="41" t="s">
        <v>31</v>
      </c>
    </row>
    <row r="11" spans="2:16" x14ac:dyDescent="0.3">
      <c r="B11" s="3" t="s">
        <v>32</v>
      </c>
      <c r="C11" s="5">
        <v>45473</v>
      </c>
    </row>
    <row r="13" spans="2:16" x14ac:dyDescent="0.3">
      <c r="B13" s="3" t="s">
        <v>33</v>
      </c>
      <c r="C13" s="5">
        <f>+EOMONTH($C$11,'ZCB rates'!C$3)</f>
        <v>45565</v>
      </c>
      <c r="D13" s="5">
        <f>+EOMONTH($C$11,'ZCB rates'!D$3)</f>
        <v>45657</v>
      </c>
      <c r="E13" s="5">
        <f>+EOMONTH($C$11,'ZCB rates'!E$3)</f>
        <v>45838</v>
      </c>
      <c r="F13" s="5">
        <f>+EOMONTH($C$11,'ZCB rates'!F$3)</f>
        <v>46203</v>
      </c>
      <c r="G13" s="5">
        <f>+EOMONTH($C$11,'ZCB rates'!G$3)</f>
        <v>47299</v>
      </c>
    </row>
    <row r="14" spans="2:16" x14ac:dyDescent="0.3">
      <c r="B14" s="3" t="s">
        <v>34</v>
      </c>
      <c r="C14" s="8">
        <f>+C13-$C$11</f>
        <v>92</v>
      </c>
      <c r="D14" s="8">
        <f>+D13-$C$11</f>
        <v>184</v>
      </c>
      <c r="E14" s="8">
        <f t="shared" ref="E14:G14" si="0">+E13-$C$11</f>
        <v>365</v>
      </c>
      <c r="F14" s="8">
        <f t="shared" si="0"/>
        <v>730</v>
      </c>
      <c r="G14" s="8">
        <f t="shared" si="0"/>
        <v>1826</v>
      </c>
    </row>
    <row r="15" spans="2:16" x14ac:dyDescent="0.3">
      <c r="B15" s="5"/>
      <c r="C15" s="5"/>
      <c r="D15" s="5"/>
      <c r="E15" s="5"/>
      <c r="F15" s="5"/>
      <c r="G15" s="5"/>
    </row>
    <row r="16" spans="2:16" x14ac:dyDescent="0.3">
      <c r="B16" s="5"/>
      <c r="C16" s="5"/>
      <c r="D16" s="5"/>
      <c r="E16" s="5"/>
      <c r="F16" s="5"/>
      <c r="G16" s="5"/>
    </row>
    <row r="17" spans="2:7" ht="18" x14ac:dyDescent="0.4">
      <c r="B17" s="42" t="s">
        <v>35</v>
      </c>
      <c r="C17" s="5"/>
      <c r="D17" s="5"/>
      <c r="E17" s="5"/>
      <c r="F17" s="5"/>
      <c r="G17" s="5"/>
    </row>
    <row r="18" spans="2:7" x14ac:dyDescent="0.3">
      <c r="B18" s="5"/>
      <c r="C18" s="5"/>
      <c r="D18" s="5"/>
      <c r="E18" s="5"/>
      <c r="F18" s="5"/>
      <c r="G18" s="5"/>
    </row>
    <row r="19" spans="2:7" x14ac:dyDescent="0.3">
      <c r="B19" s="32"/>
      <c r="C19" s="34">
        <f>+'ZCB rates'!C3</f>
        <v>3</v>
      </c>
      <c r="D19" s="34">
        <f>+'ZCB rates'!D3</f>
        <v>6</v>
      </c>
      <c r="E19" s="34">
        <f>+'ZCB rates'!E3</f>
        <v>12</v>
      </c>
      <c r="F19" s="34">
        <f>+'ZCB rates'!F3</f>
        <v>24</v>
      </c>
      <c r="G19" s="34">
        <f>+'ZCB rates'!G3</f>
        <v>60</v>
      </c>
    </row>
    <row r="20" spans="2:7" x14ac:dyDescent="0.3">
      <c r="B20" s="5">
        <f>+C11</f>
        <v>45473</v>
      </c>
      <c r="C20" s="15">
        <f>'ZCB rates'!R238</f>
        <v>3.6486101774863E-2</v>
      </c>
      <c r="D20" s="15">
        <f>'ZCB rates'!S238</f>
        <v>3.5332016329722382E-2</v>
      </c>
      <c r="E20" s="15">
        <f>'ZCB rates'!T238</f>
        <v>3.3454750082256179E-2</v>
      </c>
      <c r="F20" s="15">
        <f>'ZCB rates'!U238</f>
        <v>3.1036344385681147E-2</v>
      </c>
      <c r="G20" s="15">
        <f>'ZCB rates'!V238</f>
        <v>2.9483088042375316E-2</v>
      </c>
    </row>
    <row r="21" spans="2:7" x14ac:dyDescent="0.3">
      <c r="B21" s="5"/>
      <c r="C21" s="5"/>
      <c r="D21" s="5"/>
      <c r="E21" s="5"/>
      <c r="F21" s="5"/>
      <c r="G21" s="5"/>
    </row>
    <row r="22" spans="2:7" x14ac:dyDescent="0.3">
      <c r="B22" s="5"/>
      <c r="C22" s="5"/>
      <c r="D22" s="5"/>
      <c r="E22" s="5"/>
      <c r="F22" s="5"/>
      <c r="G22" s="5"/>
    </row>
    <row r="23" spans="2:7" ht="20" x14ac:dyDescent="0.4">
      <c r="B23" s="47" t="s">
        <v>16</v>
      </c>
    </row>
    <row r="24" spans="2:7" customFormat="1" ht="17" customHeight="1" x14ac:dyDescent="0.35"/>
    <row r="25" spans="2:7" ht="17" customHeight="1" x14ac:dyDescent="0.3">
      <c r="B25" s="9"/>
      <c r="D25" s="5"/>
      <c r="E25" s="5"/>
      <c r="F25" s="5"/>
      <c r="G25" s="5"/>
    </row>
    <row r="26" spans="2:7" ht="17" customHeight="1" x14ac:dyDescent="0.3">
      <c r="B26" s="32"/>
      <c r="C26" s="6">
        <f>+Assumptions!E7</f>
        <v>45657</v>
      </c>
      <c r="D26" s="6">
        <f>+Assumptions!F7</f>
        <v>45838</v>
      </c>
      <c r="E26" s="6">
        <f>+Assumptions!G7</f>
        <v>46022</v>
      </c>
      <c r="F26" s="6">
        <f>+Assumptions!H7</f>
        <v>46203</v>
      </c>
      <c r="G26" s="6">
        <f>+Assumptions!I7</f>
        <v>46387</v>
      </c>
    </row>
    <row r="27" spans="2:7" ht="17" customHeight="1" x14ac:dyDescent="0.3">
      <c r="B27" s="5" t="s">
        <v>36</v>
      </c>
      <c r="C27" s="79">
        <f>+(C26-$C$11)/365</f>
        <v>0.50410958904109593</v>
      </c>
      <c r="D27" s="79">
        <f t="shared" ref="D27:G27" si="1">+(D26-$C$11)/365</f>
        <v>1</v>
      </c>
      <c r="E27" s="80">
        <f t="shared" si="1"/>
        <v>1.5041095890410958</v>
      </c>
      <c r="F27" s="79">
        <f t="shared" si="1"/>
        <v>2</v>
      </c>
      <c r="G27" s="80">
        <f t="shared" si="1"/>
        <v>2.504109589041096</v>
      </c>
    </row>
    <row r="28" spans="2:7" ht="17" customHeight="1" x14ac:dyDescent="0.3">
      <c r="B28" s="3" t="s">
        <v>37</v>
      </c>
      <c r="C28" s="15"/>
      <c r="D28" s="15"/>
      <c r="E28" s="15">
        <f>+_xlfn.LET(_xlpm.t_rem,E27,_xlpm.r_m1,E20,_xlpm.r_m2,F20,_xlpm.mone,E19,_xlpm.mtwo,F19,_xlpm.r_m1+(_xlpm.r_m2-_xlpm.r_m1)/(_xlpm.mtwo/month_in_a_year-_xlpm.mone/month_in_a_year)*(_xlpm.t_rem-_xlpm.mone/month_in_a_year))</f>
        <v>3.2235608580421092E-2</v>
      </c>
      <c r="F28" s="15"/>
      <c r="G28" s="15">
        <f>+_xlfn.LET(_xlpm.t_rem,G27,_xlpm.r_m1,F20,_xlpm.r_m2,G20,_xlpm.mone,F19,_xlpm.mtwo,G19,_xlpm.r_m1+(_xlpm.r_m2-_xlpm.r_m1)/(_xlpm.mtwo/month_in_a_year-_xlpm.mone/month_in_a_year)*(_xlpm.t_rem-_xlpm.mone/month_in_a_year))</f>
        <v>3.0775340580048022E-2</v>
      </c>
    </row>
    <row r="29" spans="2:7" ht="17" customHeight="1" x14ac:dyDescent="0.3">
      <c r="B29" s="10" t="s">
        <v>38</v>
      </c>
      <c r="C29" s="12"/>
      <c r="D29" s="12"/>
      <c r="E29" s="12">
        <f>+E27/(1+E28)</f>
        <v>1.4571378632341678</v>
      </c>
      <c r="F29" s="12"/>
      <c r="G29" s="12">
        <f>+G27/(1+G28)</f>
        <v>2.4293456492973133</v>
      </c>
    </row>
    <row r="30" spans="2:7" ht="17" customHeight="1" x14ac:dyDescent="0.3"/>
    <row r="31" spans="2:7" ht="17" customHeight="1" x14ac:dyDescent="0.3">
      <c r="B31" s="45" t="s">
        <v>39</v>
      </c>
      <c r="C31" s="44" t="s">
        <v>105</v>
      </c>
      <c r="D31" s="44" t="s">
        <v>106</v>
      </c>
      <c r="E31" s="44" t="s">
        <v>41</v>
      </c>
      <c r="F31" s="44" t="s">
        <v>107</v>
      </c>
      <c r="G31" s="44" t="s">
        <v>42</v>
      </c>
    </row>
    <row r="32" spans="2:7" ht="17" customHeight="1" x14ac:dyDescent="0.3">
      <c r="B32" s="3" t="s">
        <v>43</v>
      </c>
      <c r="C32" s="8"/>
      <c r="D32" s="8"/>
      <c r="E32" s="8">
        <f>+(E$19/month_in_a_year)/(1+E$20)</f>
        <v>0.96762823908875217</v>
      </c>
      <c r="F32" s="8"/>
      <c r="G32" s="8">
        <f>+(F$19/month_in_a_year)/(1+F$20)</f>
        <v>1.9397958286248902</v>
      </c>
    </row>
    <row r="33" spans="2:7" ht="17" customHeight="1" x14ac:dyDescent="0.3">
      <c r="B33" s="3" t="s">
        <v>44</v>
      </c>
      <c r="C33" s="8"/>
      <c r="D33" s="8"/>
      <c r="E33" s="8">
        <f>+(F$19/month_in_a_year)/(1+F$20)</f>
        <v>1.9397958286248902</v>
      </c>
      <c r="F33" s="8"/>
      <c r="G33" s="8">
        <f>+(G$19/month_in_a_year)/(1+G$20)</f>
        <v>4.8568063507558961</v>
      </c>
    </row>
    <row r="34" spans="2:7" ht="17" customHeight="1" x14ac:dyDescent="0.3">
      <c r="C34" s="8"/>
      <c r="D34" s="8"/>
      <c r="E34" s="8"/>
      <c r="F34" s="8"/>
      <c r="G34" s="8"/>
    </row>
    <row r="35" spans="2:7" ht="17" customHeight="1" x14ac:dyDescent="0.3">
      <c r="B35" s="3" t="s">
        <v>45</v>
      </c>
      <c r="C35" s="8">
        <f>Assumptions!E8/(1+D20)^C27</f>
        <v>196.52970506990735</v>
      </c>
      <c r="D35" s="8">
        <f>Assumptions!F8/(1+'30Jun24'!E20)^'30Jun24'!D27</f>
        <v>193.52564781775044</v>
      </c>
      <c r="E35" s="8">
        <f>+Assumptions!G8/(1+E28)^E27</f>
        <v>190.67998773453544</v>
      </c>
      <c r="F35" s="8">
        <f>F40/(1+F20)^F27</f>
        <v>188.14039283752621</v>
      </c>
      <c r="G35" s="8">
        <f>+Assumptions!I8/(1+G28)^G27</f>
        <v>9454.44462037433</v>
      </c>
    </row>
    <row r="36" spans="2:7" ht="17" customHeight="1" x14ac:dyDescent="0.3">
      <c r="C36" s="8"/>
      <c r="D36" s="8"/>
      <c r="E36" s="8"/>
      <c r="F36" s="8"/>
      <c r="G36" s="8"/>
    </row>
    <row r="37" spans="2:7" ht="17" customHeight="1" x14ac:dyDescent="0.3">
      <c r="B37" s="3" t="s">
        <v>46</v>
      </c>
      <c r="C37" s="8"/>
      <c r="D37" s="8"/>
      <c r="E37" s="8">
        <f>+_xlfn.LET(_xlpm.MDvirt1,E32,_xlpm.MDvirt2,E33,_xlpm.MDreal,E29,_xlpm.Mvreal,E35,(_xlpm.MDvirt2-_xlpm.MDreal)/(_xlpm.MDvirt2-_xlpm.MDvirt1)*_xlpm.Mvreal)</f>
        <v>94.668055087694995</v>
      </c>
      <c r="F37" s="8"/>
      <c r="G37" s="8">
        <f>+_xlfn.LET(_xlpm.MDvirt1,G32,_xlpm.MDvirt2,G33,_xlpm.MDreal,G29,_xlpm.Mvreal,G35,(_xlpm.MDvirt2-_xlpm.MDreal)/(_xlpm.MDvirt2-_xlpm.MDvirt1)*_xlpm.Mvreal)</f>
        <v>7867.7442525332353</v>
      </c>
    </row>
    <row r="38" spans="2:7" ht="17" customHeight="1" x14ac:dyDescent="0.3">
      <c r="B38" s="3" t="s">
        <v>47</v>
      </c>
      <c r="C38" s="8"/>
      <c r="D38" s="8"/>
      <c r="E38" s="8">
        <f>+E35-E37</f>
        <v>96.011932646840449</v>
      </c>
      <c r="F38" s="8"/>
      <c r="G38" s="8">
        <f t="shared" ref="G38" si="2">+G35-G37</f>
        <v>1586.7003678410947</v>
      </c>
    </row>
    <row r="39" spans="2:7" ht="17" customHeight="1" x14ac:dyDescent="0.3">
      <c r="C39" s="8"/>
      <c r="D39" s="8"/>
      <c r="E39" s="8"/>
      <c r="F39" s="8"/>
      <c r="G39" s="8"/>
    </row>
    <row r="40" spans="2:7" ht="17" customHeight="1" x14ac:dyDescent="0.3">
      <c r="B40" s="3" t="s">
        <v>48</v>
      </c>
      <c r="C40" s="138">
        <f>Assumptions!E8</f>
        <v>200</v>
      </c>
      <c r="D40" s="133">
        <f>Assumptions!F8</f>
        <v>200</v>
      </c>
      <c r="E40" s="133">
        <f>+E37*(1+E20)^(E19/month_in_a_year)</f>
        <v>97.835151211427089</v>
      </c>
      <c r="F40" s="133">
        <f>Assumptions!H8</f>
        <v>200</v>
      </c>
      <c r="G40" s="134">
        <f>+G37*(1+F20)^(F19/month_in_a_year)</f>
        <v>8363.6949342692624</v>
      </c>
    </row>
    <row r="41" spans="2:7" ht="17" customHeight="1" x14ac:dyDescent="0.3">
      <c r="B41" s="3" t="s">
        <v>49</v>
      </c>
      <c r="C41" s="137"/>
      <c r="D41" s="135"/>
      <c r="E41" s="135">
        <f>+E38*(1+F20)^(F19/month_in_a_year)</f>
        <v>102.06413540313396</v>
      </c>
      <c r="F41" s="135"/>
      <c r="G41" s="136">
        <f>+G38*(1+G20)^(G19/month_in_a_year)</f>
        <v>1834.809606753101</v>
      </c>
    </row>
    <row r="42" spans="2:7" ht="17" customHeight="1" x14ac:dyDescent="0.3"/>
    <row r="43" spans="2:7" ht="17" customHeight="1" x14ac:dyDescent="0.3">
      <c r="B43" s="3" t="s">
        <v>50</v>
      </c>
      <c r="C43" s="11"/>
      <c r="D43" s="11"/>
      <c r="E43" s="11">
        <f>ROUND(+E29-E32*E37/E35-E33*E38/E35,5)</f>
        <v>0</v>
      </c>
      <c r="F43" s="11"/>
      <c r="G43" s="11">
        <f>+G29-G32*G37/G35-G33*G38/G35</f>
        <v>0</v>
      </c>
    </row>
    <row r="46" spans="2:7" ht="17" customHeight="1" x14ac:dyDescent="0.3"/>
    <row r="47" spans="2:7" ht="17" customHeight="1" x14ac:dyDescent="0.4">
      <c r="B47" s="47" t="s">
        <v>19</v>
      </c>
    </row>
    <row r="48" spans="2:7" ht="17" customHeight="1" x14ac:dyDescent="0.35">
      <c r="C48"/>
      <c r="D48"/>
      <c r="E48"/>
      <c r="F48"/>
      <c r="G48" s="11"/>
    </row>
    <row r="49" spans="2:10" ht="17" customHeight="1" x14ac:dyDescent="0.3">
      <c r="C49" s="11"/>
      <c r="D49" s="11"/>
      <c r="E49" s="11"/>
      <c r="F49" s="11"/>
      <c r="G49" s="11"/>
    </row>
    <row r="50" spans="2:10" ht="17" customHeight="1" x14ac:dyDescent="0.35">
      <c r="B50" s="32"/>
      <c r="C50" s="6">
        <f>+Assumptions!E10</f>
        <v>45747</v>
      </c>
      <c r="D50" s="6">
        <f>+Assumptions!F10</f>
        <v>45838</v>
      </c>
      <c r="E50" s="6">
        <f>+Assumptions!G10</f>
        <v>46022</v>
      </c>
      <c r="F50" s="6">
        <f>+Assumptions!H10</f>
        <v>46203</v>
      </c>
      <c r="G50"/>
    </row>
    <row r="51" spans="2:10" ht="17" customHeight="1" x14ac:dyDescent="0.35">
      <c r="B51" s="5" t="s">
        <v>36</v>
      </c>
      <c r="C51" s="80">
        <f>+(C50-$C$11)/365</f>
        <v>0.75068493150684934</v>
      </c>
      <c r="D51" s="79">
        <f>+(D50-$C$11)/365</f>
        <v>1</v>
      </c>
      <c r="E51" s="80">
        <f>+(E50-$C$11)/365</f>
        <v>1.5041095890410958</v>
      </c>
      <c r="F51" s="79">
        <f>+(F50-$C$11)/365</f>
        <v>2</v>
      </c>
      <c r="G51"/>
    </row>
    <row r="52" spans="2:10" ht="17" customHeight="1" x14ac:dyDescent="0.35">
      <c r="B52" s="3" t="s">
        <v>37</v>
      </c>
      <c r="C52" s="46">
        <f>+_xlfn.LET(_xlpm.t_rem,C51,_xlpm.r_m1,D20,_xlpm.r_m2,E20,_xlpm.mone,D19,_xlpm.mtwo,E19,_xlpm.r_m1+(_xlpm.r_m2-_xlpm.r_m1)/(_xlpm.mtwo/month_in_a_year-_xlpm.mone/month_in_a_year)*(_xlpm.t_rem-_xlpm.mone/month_in_a_year))</f>
        <v>3.4390811608390012E-2</v>
      </c>
      <c r="D52" s="81"/>
      <c r="E52" s="81">
        <f>+_xlfn.LET(_xlpm.t_rem,E51,_xlpm.r_m1,E20,_xlpm.r_m2,F20,_xlpm.mone,E19,_xlpm.mtwo,F19,_xlpm.r_m1+(_xlpm.r_m2-_xlpm.r_m1)/(_xlpm.mtwo/month_in_a_year-_xlpm.mone/month_in_a_year)*(_xlpm.t_rem-_xlpm.mone/month_in_a_year))</f>
        <v>3.2235608580421092E-2</v>
      </c>
      <c r="F52" s="81"/>
      <c r="G52"/>
    </row>
    <row r="53" spans="2:10" ht="17" customHeight="1" x14ac:dyDescent="0.35">
      <c r="B53" s="10" t="s">
        <v>38</v>
      </c>
      <c r="C53" s="12">
        <f>+C51/(1+C52)</f>
        <v>0.72572660456988969</v>
      </c>
      <c r="E53" s="78">
        <f t="shared" ref="E53" si="3">+E51/(1+E52)</f>
        <v>1.4571378632341678</v>
      </c>
      <c r="G53"/>
    </row>
    <row r="54" spans="2:10" ht="17" customHeight="1" x14ac:dyDescent="0.35">
      <c r="C54" s="8"/>
      <c r="E54" s="8"/>
      <c r="F54"/>
    </row>
    <row r="55" spans="2:10" ht="17" customHeight="1" x14ac:dyDescent="0.35">
      <c r="B55" s="45" t="s">
        <v>39</v>
      </c>
      <c r="C55" s="44" t="s">
        <v>40</v>
      </c>
      <c r="D55" s="44" t="s">
        <v>106</v>
      </c>
      <c r="E55" s="44" t="s">
        <v>41</v>
      </c>
      <c r="F55" s="44" t="s">
        <v>107</v>
      </c>
      <c r="G55"/>
    </row>
    <row r="56" spans="2:10" ht="17" customHeight="1" x14ac:dyDescent="0.35">
      <c r="B56" s="3" t="s">
        <v>43</v>
      </c>
      <c r="C56" s="8">
        <f>+(D$19/12)/(1+D$20)</f>
        <v>0.48293686673818159</v>
      </c>
      <c r="E56" s="8">
        <f>+(E$19/12)/(1+E$20)</f>
        <v>0.96762823908875217</v>
      </c>
      <c r="F56"/>
    </row>
    <row r="57" spans="2:10" ht="17" customHeight="1" x14ac:dyDescent="0.35">
      <c r="B57" s="3" t="s">
        <v>44</v>
      </c>
      <c r="C57" s="8">
        <f>+(E$19/12)/(1+E$20)</f>
        <v>0.96762823908875217</v>
      </c>
      <c r="D57"/>
      <c r="E57" s="8">
        <f>+(F$19/12)/(1+F$20)</f>
        <v>1.9397958286248902</v>
      </c>
      <c r="G57"/>
    </row>
    <row r="58" spans="2:10" ht="17" customHeight="1" x14ac:dyDescent="0.35">
      <c r="C58" s="8"/>
      <c r="D58"/>
      <c r="E58" s="8"/>
      <c r="F58"/>
      <c r="H58"/>
      <c r="I58"/>
      <c r="J58"/>
    </row>
    <row r="59" spans="2:10" ht="17" customHeight="1" x14ac:dyDescent="0.35">
      <c r="B59" s="3" t="s">
        <v>45</v>
      </c>
      <c r="C59" s="8">
        <f>+Assumptions!E$11/(1+C52)^C51</f>
        <v>146.24051590934332</v>
      </c>
      <c r="D59" s="3">
        <f>D64/(1+E20)^D51</f>
        <v>145.14423586331282</v>
      </c>
      <c r="E59" s="8">
        <f>+Assumptions!G$11/(1+E52)^E51</f>
        <v>143.00999080090159</v>
      </c>
      <c r="F59" s="3">
        <f>F64/(1+F20)^F51</f>
        <v>4844.6151155663001</v>
      </c>
      <c r="H59"/>
      <c r="I59"/>
      <c r="J59"/>
    </row>
    <row r="60" spans="2:10" ht="17" customHeight="1" x14ac:dyDescent="0.35">
      <c r="C60" s="8"/>
      <c r="E60" s="8"/>
      <c r="F60"/>
    </row>
    <row r="61" spans="2:10" ht="17" customHeight="1" x14ac:dyDescent="0.35">
      <c r="B61" s="3" t="s">
        <v>112</v>
      </c>
      <c r="C61" s="8">
        <f>+_xlfn.LET(_xlpm.MDvirt1,C56,_xlpm.MDvirt2,C57,_xlpm.MDreal,C53,_xlpm.Mvreal,C59,(_xlpm.MDvirt2-_xlpm.MDreal)/(_xlpm.MDvirt2-_xlpm.MDvirt1)*_xlpm.Mvreal)</f>
        <v>72.986279206482379</v>
      </c>
      <c r="E61" s="8">
        <f t="shared" ref="E61" si="4">+_xlfn.LET(_xlpm.MDvirt1,E56,_xlpm.MDvirt2,E57,_xlpm.MDreal,E53,_xlpm.Mvreal,E59,(_xlpm.MDvirt2-_xlpm.MDreal)/(_xlpm.MDvirt2-_xlpm.MDvirt1)*_xlpm.Mvreal)</f>
        <v>71.001041315771246</v>
      </c>
      <c r="G61"/>
    </row>
    <row r="62" spans="2:10" ht="17" customHeight="1" x14ac:dyDescent="0.35">
      <c r="B62" s="3" t="s">
        <v>111</v>
      </c>
      <c r="C62" s="8">
        <f>+C59-C61</f>
        <v>73.254236702860936</v>
      </c>
      <c r="E62" s="8">
        <f t="shared" ref="E62" si="5">+E59-E61</f>
        <v>72.008949485130344</v>
      </c>
      <c r="F62"/>
      <c r="G62"/>
    </row>
    <row r="63" spans="2:10" ht="17" customHeight="1" x14ac:dyDescent="0.35">
      <c r="C63" s="8"/>
      <c r="E63" s="8"/>
      <c r="G63"/>
    </row>
    <row r="64" spans="2:10" ht="17" customHeight="1" x14ac:dyDescent="0.35">
      <c r="B64" s="3" t="s">
        <v>48</v>
      </c>
      <c r="C64" s="138">
        <f>+C61*(1+D20)^(D19/month_in_a_year)</f>
        <v>74.264463208976437</v>
      </c>
      <c r="D64" s="133">
        <f>Assumptions!F11</f>
        <v>150</v>
      </c>
      <c r="E64" s="133">
        <f>+E61*(1+E20)^(E19/month_in_a_year)</f>
        <v>73.376363408570313</v>
      </c>
      <c r="F64" s="197">
        <f>Assumptions!H11</f>
        <v>5150</v>
      </c>
      <c r="G64"/>
    </row>
    <row r="65" spans="2:10" ht="17" customHeight="1" x14ac:dyDescent="0.35">
      <c r="B65" s="3" t="s">
        <v>49</v>
      </c>
      <c r="C65" s="137">
        <f>+C62*(1+E20)^(E19/month_in_a_year)</f>
        <v>75.70493888422159</v>
      </c>
      <c r="D65" s="135"/>
      <c r="E65" s="135">
        <f>+E62*(1+F20)^(F19/month_in_a_year)</f>
        <v>76.548101552350474</v>
      </c>
      <c r="F65" s="198"/>
      <c r="G65"/>
    </row>
    <row r="66" spans="2:10" ht="17" customHeight="1" x14ac:dyDescent="0.35">
      <c r="D66"/>
      <c r="F66"/>
      <c r="G66"/>
    </row>
    <row r="67" spans="2:10" ht="17" customHeight="1" x14ac:dyDescent="0.35">
      <c r="B67" s="3" t="s">
        <v>50</v>
      </c>
      <c r="C67" s="11">
        <f>ROUND(+C53-C56*C61/C59-C57*C62/C59,5)</f>
        <v>0</v>
      </c>
      <c r="D67"/>
      <c r="E67" s="11">
        <f t="shared" ref="E67" si="6">ROUND(+E53-E56*E61/E59-E57*E62/E59,5)</f>
        <v>0</v>
      </c>
      <c r="G67"/>
    </row>
    <row r="68" spans="2:10" ht="17" customHeight="1" x14ac:dyDescent="0.3">
      <c r="C68" s="11"/>
      <c r="D68" s="11"/>
      <c r="E68" s="11"/>
      <c r="F68" s="11"/>
      <c r="G68" s="11"/>
    </row>
    <row r="69" spans="2:10" ht="17" customHeight="1" x14ac:dyDescent="0.4">
      <c r="B69" s="47" t="s">
        <v>51</v>
      </c>
    </row>
    <row r="70" spans="2:10" ht="17" customHeight="1" x14ac:dyDescent="0.3">
      <c r="C70" s="11"/>
      <c r="D70" s="11"/>
      <c r="E70" s="11"/>
      <c r="F70" s="11"/>
      <c r="G70" s="11"/>
    </row>
    <row r="71" spans="2:10" ht="17" customHeight="1" x14ac:dyDescent="0.3">
      <c r="C71" s="11">
        <f>+C72-$C$11</f>
        <v>92</v>
      </c>
      <c r="D71" s="11">
        <f>+D72-$C$11</f>
        <v>184</v>
      </c>
      <c r="E71" s="11">
        <f>+E72-$C$11</f>
        <v>365</v>
      </c>
      <c r="F71" s="11">
        <f>+F72-$C$11</f>
        <v>730</v>
      </c>
      <c r="G71" s="11">
        <f>+G72-$C$11</f>
        <v>1826</v>
      </c>
    </row>
    <row r="72" spans="2:10" ht="17" customHeight="1" x14ac:dyDescent="0.3">
      <c r="B72" s="32"/>
      <c r="C72" s="6">
        <f>+C13</f>
        <v>45565</v>
      </c>
      <c r="D72" s="6">
        <f>+D13</f>
        <v>45657</v>
      </c>
      <c r="E72" s="6">
        <f>+E13</f>
        <v>45838</v>
      </c>
      <c r="F72" s="6">
        <f>+F13</f>
        <v>46203</v>
      </c>
      <c r="G72" s="6">
        <f>+G13</f>
        <v>47299</v>
      </c>
    </row>
    <row r="73" spans="2:10" ht="17" customHeight="1" x14ac:dyDescent="0.3">
      <c r="B73" s="3" t="s">
        <v>52</v>
      </c>
      <c r="C73" s="11">
        <v>0</v>
      </c>
      <c r="D73" s="8">
        <f>C40+C64</f>
        <v>274.26446320897645</v>
      </c>
      <c r="E73" s="8">
        <f>D40+'30Jun24'!C65+D64+'30Jun24'!E64+E40</f>
        <v>596.91645350421891</v>
      </c>
      <c r="F73" s="8">
        <f>E41+G40+E65+F40+F64</f>
        <v>13892.307171224747</v>
      </c>
      <c r="G73" s="8">
        <f>G41</f>
        <v>1834.809606753101</v>
      </c>
    </row>
    <row r="74" spans="2:10" ht="17" customHeight="1" x14ac:dyDescent="0.3">
      <c r="B74" s="3" t="s">
        <v>53</v>
      </c>
      <c r="C74" s="8">
        <f>+'ZCB rates'!H238</f>
        <v>0.9910809518054543</v>
      </c>
      <c r="D74" s="8">
        <f>+'ZCB rates'!I238</f>
        <v>0.9827887532305013</v>
      </c>
      <c r="E74" s="8">
        <f>+'ZCB rates'!J238</f>
        <v>0.96762823908875217</v>
      </c>
      <c r="F74" s="8">
        <f>+'ZCB rates'!K238</f>
        <v>0.94070196418763097</v>
      </c>
      <c r="G74" s="8">
        <f>+'ZCB rates'!L238</f>
        <v>0.86477657518315287</v>
      </c>
    </row>
    <row r="75" spans="2:10" ht="17" customHeight="1" x14ac:dyDescent="0.3">
      <c r="C75" s="8">
        <f>1/(1+C20)^(C71/365)</f>
        <v>0.99100797513862182</v>
      </c>
      <c r="D75" s="8">
        <f>1/(1+D20)^(D71/365)</f>
        <v>0.98264852534953673</v>
      </c>
      <c r="E75" s="8">
        <f>1/(1+E20)^(E71/365)</f>
        <v>0.96762823908875217</v>
      </c>
      <c r="F75" s="8">
        <f>1/(1+F20)^(F71/365)</f>
        <v>0.94070196418763108</v>
      </c>
      <c r="G75" s="8">
        <f>1/(1+G20)^(G71/365)</f>
        <v>0.86470773502662157</v>
      </c>
    </row>
    <row r="76" spans="2:10" ht="17" customHeight="1" x14ac:dyDescent="0.3">
      <c r="C76" s="8"/>
      <c r="D76" s="8"/>
      <c r="E76" s="8"/>
      <c r="F76" s="8"/>
      <c r="G76" s="8"/>
    </row>
    <row r="77" spans="2:10" ht="17" customHeight="1" x14ac:dyDescent="0.35">
      <c r="B77"/>
      <c r="C77"/>
      <c r="D77"/>
      <c r="E77"/>
      <c r="F77"/>
      <c r="G77"/>
      <c r="H77"/>
    </row>
    <row r="78" spans="2:10" ht="17" customHeight="1" x14ac:dyDescent="0.35">
      <c r="B78" s="3" t="s">
        <v>54</v>
      </c>
      <c r="C78" s="13">
        <f>+C73*C74</f>
        <v>0</v>
      </c>
      <c r="D78" s="13">
        <f>+D73*D74</f>
        <v>269.54402985258264</v>
      </c>
      <c r="E78" s="13">
        <f>+E73*E74</f>
        <v>577.59321678739036</v>
      </c>
      <c r="F78" s="13">
        <f>+F73*F74</f>
        <v>13068.52064306903</v>
      </c>
      <c r="G78" s="13">
        <f>+G73*G74</f>
        <v>1586.7003678410942</v>
      </c>
      <c r="H78"/>
    </row>
    <row r="79" spans="2:10" ht="17" customHeight="1" x14ac:dyDescent="0.3">
      <c r="C79" s="13"/>
      <c r="D79" s="13"/>
      <c r="E79" s="13"/>
      <c r="F79" s="13"/>
      <c r="G79" s="13"/>
    </row>
    <row r="80" spans="2:10" ht="17" customHeight="1" x14ac:dyDescent="0.3">
      <c r="B80" s="3" t="s">
        <v>55</v>
      </c>
      <c r="C80" s="13"/>
      <c r="D80" s="13"/>
      <c r="E80" s="13"/>
      <c r="F80" s="13"/>
      <c r="G80" s="11">
        <f>+SUM(C78:G78)</f>
        <v>15502.358257550099</v>
      </c>
      <c r="I80" s="3" t="s">
        <v>50</v>
      </c>
      <c r="J80" s="11">
        <f>ROUND(SUM(C59:F59)+SUM(C35:G35)-G80,1)</f>
        <v>0</v>
      </c>
    </row>
    <row r="81" spans="2:16" ht="17" customHeight="1" x14ac:dyDescent="0.3">
      <c r="C81" s="13"/>
      <c r="D81" s="13"/>
      <c r="E81" s="13"/>
      <c r="F81" s="13"/>
      <c r="G81" s="13"/>
    </row>
    <row r="82" spans="2:16" ht="25" x14ac:dyDescent="0.5">
      <c r="B82" s="50" t="s">
        <v>56</v>
      </c>
      <c r="C82" s="49"/>
      <c r="D82" s="49"/>
      <c r="E82" s="49"/>
      <c r="F82" s="49"/>
      <c r="G82" s="49"/>
    </row>
    <row r="83" spans="2:16" ht="17" customHeight="1" x14ac:dyDescent="0.35">
      <c r="B83" s="18"/>
    </row>
    <row r="84" spans="2:16" ht="17" customHeight="1" x14ac:dyDescent="0.3">
      <c r="B84" s="32"/>
      <c r="C84" s="6">
        <f>+C72</f>
        <v>45565</v>
      </c>
      <c r="D84" s="6">
        <f>+D72</f>
        <v>45657</v>
      </c>
      <c r="E84" s="6">
        <f>+E72</f>
        <v>45838</v>
      </c>
      <c r="F84" s="6">
        <f>+F72</f>
        <v>46203</v>
      </c>
      <c r="G84" s="6">
        <f>+G72</f>
        <v>47299</v>
      </c>
    </row>
    <row r="85" spans="2:16" ht="17" customHeight="1" x14ac:dyDescent="0.3">
      <c r="B85" s="4" t="s">
        <v>57</v>
      </c>
      <c r="C85" s="53">
        <f>C78</f>
        <v>0</v>
      </c>
      <c r="D85" s="54">
        <f>D78</f>
        <v>269.54402985258264</v>
      </c>
      <c r="E85" s="54">
        <f>E78</f>
        <v>577.59321678739036</v>
      </c>
      <c r="F85" s="54">
        <f>F78</f>
        <v>13068.52064306903</v>
      </c>
      <c r="G85" s="55">
        <f>G78</f>
        <v>1586.7003678410942</v>
      </c>
      <c r="H85" s="5"/>
    </row>
    <row r="86" spans="2:16" ht="17" customHeight="1" x14ac:dyDescent="0.3">
      <c r="C86" s="11"/>
      <c r="D86" s="11"/>
      <c r="E86" s="11"/>
      <c r="F86" s="11"/>
      <c r="G86" s="11"/>
      <c r="I86" s="11"/>
    </row>
    <row r="87" spans="2:16" ht="17" customHeight="1" x14ac:dyDescent="0.3">
      <c r="B87" s="4" t="s">
        <v>58</v>
      </c>
      <c r="C87" s="205" cm="1">
        <f t="array" ref="C87:C91">+TRANSPOSE(C85:G85)</f>
        <v>0</v>
      </c>
      <c r="D87" s="11"/>
      <c r="E87" s="11"/>
      <c r="F87" s="11"/>
      <c r="G87" s="11"/>
    </row>
    <row r="88" spans="2:16" ht="17" customHeight="1" x14ac:dyDescent="0.3">
      <c r="C88" s="206">
        <v>269.54402985258264</v>
      </c>
      <c r="D88" s="11"/>
      <c r="E88" s="11"/>
      <c r="F88" s="11"/>
      <c r="G88" s="11"/>
    </row>
    <row r="89" spans="2:16" ht="17" customHeight="1" x14ac:dyDescent="0.3">
      <c r="C89" s="206">
        <v>577.59321678739036</v>
      </c>
      <c r="D89" s="11"/>
      <c r="E89" s="11"/>
      <c r="F89" s="11"/>
      <c r="G89" s="11"/>
    </row>
    <row r="90" spans="2:16" customFormat="1" ht="17" customHeight="1" x14ac:dyDescent="0.35">
      <c r="B90" s="3"/>
      <c r="C90" s="206">
        <v>13068.52064306903</v>
      </c>
      <c r="D90" s="11"/>
      <c r="E90" s="11"/>
      <c r="F90" s="11"/>
      <c r="G90" s="11"/>
    </row>
    <row r="91" spans="2:16" ht="17" customHeight="1" x14ac:dyDescent="0.3">
      <c r="C91" s="207">
        <v>1586.7003678410942</v>
      </c>
      <c r="D91" s="11"/>
      <c r="E91" s="11"/>
      <c r="F91" s="11"/>
      <c r="G91" s="11"/>
    </row>
    <row r="92" spans="2:16" ht="17" customHeight="1" x14ac:dyDescent="0.3">
      <c r="C92" s="11"/>
      <c r="D92" s="11"/>
      <c r="E92" s="11"/>
      <c r="F92" s="11"/>
      <c r="G92" s="11"/>
      <c r="I92" s="11"/>
    </row>
    <row r="93" spans="2:16" ht="17" customHeight="1" x14ac:dyDescent="0.3">
      <c r="C93" s="11"/>
      <c r="D93" s="11"/>
      <c r="E93" s="11"/>
      <c r="F93" s="11"/>
      <c r="G93" s="11"/>
      <c r="I93" s="11"/>
    </row>
    <row r="94" spans="2:16" ht="17" customHeight="1" x14ac:dyDescent="0.3">
      <c r="C94" s="107" t="s">
        <v>102</v>
      </c>
      <c r="D94" s="107"/>
      <c r="E94" s="107"/>
      <c r="F94" s="107"/>
      <c r="G94" s="107"/>
      <c r="L94" s="107" t="s">
        <v>103</v>
      </c>
      <c r="M94" s="107"/>
      <c r="N94" s="107"/>
      <c r="O94" s="107"/>
      <c r="P94" s="107"/>
    </row>
    <row r="95" spans="2:16" ht="17" customHeight="1" x14ac:dyDescent="0.3">
      <c r="C95" s="11"/>
      <c r="D95" s="11"/>
      <c r="E95" s="11"/>
      <c r="F95" s="11"/>
      <c r="G95" s="11"/>
      <c r="I95" s="11"/>
    </row>
    <row r="96" spans="2:16" s="157" customFormat="1" ht="17" customHeight="1" x14ac:dyDescent="0.35">
      <c r="B96" s="174" t="s">
        <v>59</v>
      </c>
      <c r="C96" s="175" cm="1">
        <f t="array" ref="C96:G100">+EWMACovMatrix('ZCB rates'!M187:Q238,Lambda)</f>
        <v>4.9820744779405548E-9</v>
      </c>
      <c r="D96" s="176">
        <v>7.1073742397013985E-9</v>
      </c>
      <c r="E96" s="176">
        <v>8.6219812750602283E-9</v>
      </c>
      <c r="F96" s="176">
        <v>1.2617016532775091E-8</v>
      </c>
      <c r="G96" s="177">
        <v>4.0529227566885629E-8</v>
      </c>
      <c r="I96" s="178"/>
      <c r="L96" s="175" cm="1">
        <f t="array" ref="L96:P100">CovarianceMatrix('ZCB rates'!M187:Q238)</f>
        <v>5.95500249460433E-9</v>
      </c>
      <c r="M96" s="176">
        <v>8.9389395430773681E-9</v>
      </c>
      <c r="N96" s="176">
        <v>1.4410115193168113E-8</v>
      </c>
      <c r="O96" s="176">
        <v>3.3132941539057142E-8</v>
      </c>
      <c r="P96" s="177">
        <v>1.133176704436453E-7</v>
      </c>
    </row>
    <row r="97" spans="2:62" s="157" customFormat="1" ht="17" customHeight="1" x14ac:dyDescent="0.35">
      <c r="C97" s="181">
        <v>7.1073742397013985E-9</v>
      </c>
      <c r="D97" s="182">
        <v>1.6921355315373677E-8</v>
      </c>
      <c r="E97" s="182">
        <v>4.3593812775429142E-8</v>
      </c>
      <c r="F97" s="182">
        <v>1.1171551238081927E-7</v>
      </c>
      <c r="G97" s="183">
        <v>3.0524833162104344E-7</v>
      </c>
      <c r="I97" s="178"/>
      <c r="L97" s="181">
        <v>8.9389395430773681E-9</v>
      </c>
      <c r="M97" s="192">
        <v>2.3927758461168375E-8</v>
      </c>
      <c r="N97" s="192">
        <v>6.8095391617765088E-8</v>
      </c>
      <c r="O97" s="192">
        <v>1.8052594076363033E-7</v>
      </c>
      <c r="P97" s="183">
        <v>4.9590065107535122E-7</v>
      </c>
    </row>
    <row r="98" spans="2:62" s="186" customFormat="1" ht="17" customHeight="1" x14ac:dyDescent="0.35">
      <c r="B98" s="157"/>
      <c r="C98" s="181">
        <v>8.6219812750602283E-9</v>
      </c>
      <c r="D98" s="182">
        <v>4.3593812775429149E-8</v>
      </c>
      <c r="E98" s="182">
        <v>1.6311586275587247E-7</v>
      </c>
      <c r="F98" s="182">
        <v>4.7761042920716289E-7</v>
      </c>
      <c r="G98" s="183">
        <v>1.3031320014721256E-6</v>
      </c>
      <c r="L98" s="181">
        <v>1.4410115193168113E-8</v>
      </c>
      <c r="M98" s="192">
        <v>6.8095391617765088E-8</v>
      </c>
      <c r="N98" s="192">
        <v>2.521822780382136E-7</v>
      </c>
      <c r="O98" s="192">
        <v>7.2526437490662384E-7</v>
      </c>
      <c r="P98" s="183">
        <v>1.9353712633623126E-6</v>
      </c>
    </row>
    <row r="99" spans="2:62" s="157" customFormat="1" ht="17" customHeight="1" x14ac:dyDescent="0.35">
      <c r="C99" s="181">
        <v>1.2617016532775088E-8</v>
      </c>
      <c r="D99" s="182">
        <v>1.1171551238081927E-7</v>
      </c>
      <c r="E99" s="182">
        <v>4.7761042920716289E-7</v>
      </c>
      <c r="F99" s="182">
        <v>1.4812030771269352E-6</v>
      </c>
      <c r="G99" s="183">
        <v>4.2194720878599393E-6</v>
      </c>
      <c r="L99" s="181">
        <v>3.3132941539057142E-8</v>
      </c>
      <c r="M99" s="192">
        <v>1.8052594076363033E-7</v>
      </c>
      <c r="N99" s="192">
        <v>7.2526437490662384E-7</v>
      </c>
      <c r="O99" s="192">
        <v>2.2087494343359414E-6</v>
      </c>
      <c r="P99" s="183">
        <v>6.1617516208222389E-6</v>
      </c>
    </row>
    <row r="100" spans="2:62" s="157" customFormat="1" ht="17" customHeight="1" x14ac:dyDescent="0.35">
      <c r="C100" s="187">
        <v>4.0529227566885629E-8</v>
      </c>
      <c r="D100" s="188">
        <v>3.0524833162104344E-7</v>
      </c>
      <c r="E100" s="188">
        <v>1.3031320014721256E-6</v>
      </c>
      <c r="F100" s="188">
        <v>4.2194720878599384E-6</v>
      </c>
      <c r="G100" s="189">
        <v>1.3464665370143223E-5</v>
      </c>
      <c r="L100" s="187">
        <v>1.133176704436453E-7</v>
      </c>
      <c r="M100" s="188">
        <v>4.9590065107535122E-7</v>
      </c>
      <c r="N100" s="188">
        <v>1.9353712633623126E-6</v>
      </c>
      <c r="O100" s="188">
        <v>6.1617516208222389E-6</v>
      </c>
      <c r="P100" s="189">
        <v>1.9379826143748221E-5</v>
      </c>
    </row>
    <row r="101" spans="2:62" ht="17" customHeight="1" x14ac:dyDescent="0.3">
      <c r="C101" s="11"/>
      <c r="D101" s="11"/>
      <c r="E101" s="11"/>
      <c r="F101" s="11"/>
      <c r="G101" s="11"/>
    </row>
    <row r="102" spans="2:62" ht="17" customHeight="1" x14ac:dyDescent="0.3">
      <c r="D102" s="11"/>
      <c r="E102" s="11"/>
      <c r="F102" s="11"/>
      <c r="G102" s="11"/>
    </row>
    <row r="103" spans="2:62" ht="17" customHeight="1" x14ac:dyDescent="0.45">
      <c r="B103" s="4" t="s">
        <v>60</v>
      </c>
      <c r="C103" s="166" cm="1">
        <f t="array" ref="C103">+MMULT(TRANSPOSE(_xlfn.ANCHORARRAY(C87)),MMULT(_xlfn.ANCHORARRAY(C96),_xlfn.ANCHORARRAY(C87)))</f>
        <v>472.57266483978663</v>
      </c>
      <c r="D103" s="11"/>
      <c r="E103" s="11"/>
      <c r="F103" s="11"/>
      <c r="G103" s="11"/>
      <c r="K103" s="4" t="s">
        <v>60</v>
      </c>
      <c r="L103" s="166" cm="1">
        <f t="array" ref="L103">+MMULT(TRANSPOSE(_xlfn.ANCHORARRAY(C87)),MMULT(_xlfn.ANCHORARRAY(L96),_xlfn.ANCHORARRAY(C87)))</f>
        <v>697.85251014132939</v>
      </c>
    </row>
    <row r="104" spans="2:62" ht="17" customHeight="1" x14ac:dyDescent="0.3">
      <c r="B104" s="4"/>
      <c r="C104" s="17"/>
      <c r="D104" s="11"/>
      <c r="E104" s="11"/>
      <c r="F104" s="11"/>
      <c r="G104" s="11"/>
    </row>
    <row r="105" spans="2:62" ht="17" customHeight="1" x14ac:dyDescent="0.35">
      <c r="B105" s="4" t="s">
        <v>5</v>
      </c>
      <c r="C105" s="59">
        <v>0.95</v>
      </c>
      <c r="D105" s="60">
        <v>0.99</v>
      </c>
      <c r="E105" s="11"/>
      <c r="F105" s="11"/>
      <c r="G105" s="11"/>
      <c r="K105" s="4" t="s">
        <v>5</v>
      </c>
      <c r="L105" s="59">
        <v>0.95</v>
      </c>
      <c r="M105" s="60">
        <v>0.99</v>
      </c>
    </row>
    <row r="106" spans="2:62" ht="17" customHeight="1" x14ac:dyDescent="0.4">
      <c r="B106" s="4" t="s">
        <v>61</v>
      </c>
      <c r="C106" s="61">
        <f>+SQRT($C$103)*(-1)*_xlfn.NORM.S.INV(1-C105)</f>
        <v>35.757039585817353</v>
      </c>
      <c r="D106" s="62">
        <f>+SQRT($C$103)*(-1)*_xlfn.NORM.S.INV(1-D105)</f>
        <v>50.57186345306004</v>
      </c>
      <c r="E106" s="11"/>
      <c r="F106" s="11"/>
      <c r="G106" s="11"/>
      <c r="K106" s="4" t="s">
        <v>61</v>
      </c>
      <c r="L106" s="61">
        <f>+SQRT($L$103)*(-1)*_xlfn.NORM.S.INV(1-L105)</f>
        <v>43.451930805626176</v>
      </c>
      <c r="M106" s="62">
        <f>+SQRT($L$103)*(-1)*_xlfn.NORM.S.INV(1-M105)</f>
        <v>61.454894950127056</v>
      </c>
    </row>
    <row r="107" spans="2:62" ht="17" customHeight="1" x14ac:dyDescent="0.35">
      <c r="B107" s="16"/>
      <c r="D107" s="11"/>
      <c r="E107" s="11"/>
      <c r="F107" s="11"/>
      <c r="G107" s="11"/>
    </row>
    <row r="108" spans="2:62" ht="25" x14ac:dyDescent="0.5">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row>
    <row r="109" spans="2:62" ht="17" customHeight="1" x14ac:dyDescent="0.35">
      <c r="B109" s="18"/>
    </row>
    <row r="110" spans="2:62" ht="25" x14ac:dyDescent="0.5">
      <c r="B110" s="50" t="s">
        <v>62</v>
      </c>
      <c r="C110" s="49"/>
      <c r="D110" s="49"/>
    </row>
    <row r="111" spans="2:62" ht="17" customHeight="1" x14ac:dyDescent="0.35">
      <c r="B111"/>
      <c r="C111"/>
      <c r="D111"/>
      <c r="E111"/>
      <c r="F111"/>
      <c r="G111"/>
      <c r="H111"/>
    </row>
    <row r="112" spans="2:62" ht="17" customHeight="1" x14ac:dyDescent="0.35">
      <c r="B112" s="32"/>
      <c r="C112" s="6">
        <f t="shared" ref="C112:G114" si="7">+C72</f>
        <v>45565</v>
      </c>
      <c r="D112" s="6">
        <f t="shared" si="7"/>
        <v>45657</v>
      </c>
      <c r="E112" s="6">
        <f t="shared" si="7"/>
        <v>45838</v>
      </c>
      <c r="F112" s="6">
        <f t="shared" si="7"/>
        <v>46203</v>
      </c>
      <c r="G112" s="6">
        <f t="shared" si="7"/>
        <v>47299</v>
      </c>
      <c r="H112"/>
    </row>
    <row r="113" spans="2:62" ht="17" customHeight="1" x14ac:dyDescent="0.35">
      <c r="B113" s="11" t="str">
        <f>+B73</f>
        <v>Cashflows</v>
      </c>
      <c r="C113" s="13">
        <f t="shared" si="7"/>
        <v>0</v>
      </c>
      <c r="D113" s="13">
        <f t="shared" si="7"/>
        <v>274.26446320897645</v>
      </c>
      <c r="E113" s="13">
        <f t="shared" si="7"/>
        <v>596.91645350421891</v>
      </c>
      <c r="F113" s="13">
        <f t="shared" si="7"/>
        <v>13892.307171224747</v>
      </c>
      <c r="G113" s="13">
        <f t="shared" si="7"/>
        <v>1834.809606753101</v>
      </c>
      <c r="H113"/>
    </row>
    <row r="114" spans="2:62" ht="17" customHeight="1" x14ac:dyDescent="0.35">
      <c r="B114" s="11" t="s">
        <v>63</v>
      </c>
      <c r="C114" s="13">
        <f t="shared" si="7"/>
        <v>0.9910809518054543</v>
      </c>
      <c r="D114" s="13">
        <f t="shared" si="7"/>
        <v>0.9827887532305013</v>
      </c>
      <c r="E114" s="13">
        <f t="shared" si="7"/>
        <v>0.96762823908875217</v>
      </c>
      <c r="F114" s="13">
        <f t="shared" si="7"/>
        <v>0.94070196418763097</v>
      </c>
      <c r="G114" s="13">
        <f t="shared" si="7"/>
        <v>0.86477657518315287</v>
      </c>
      <c r="H114"/>
    </row>
    <row r="115" spans="2:62" ht="17" customHeight="1" x14ac:dyDescent="0.35">
      <c r="B115" s="11"/>
      <c r="C115" s="11"/>
      <c r="D115" s="11"/>
      <c r="E115" s="11"/>
      <c r="F115" s="11"/>
      <c r="G115" s="11"/>
      <c r="H115"/>
    </row>
    <row r="116" spans="2:62" ht="17" customHeight="1" x14ac:dyDescent="0.35">
      <c r="B116" s="11" t="s">
        <v>64</v>
      </c>
      <c r="C116" s="13">
        <f>+C114*C113</f>
        <v>0</v>
      </c>
      <c r="D116" s="13">
        <f>+D114*D113</f>
        <v>269.54402985258264</v>
      </c>
      <c r="E116" s="13">
        <f>+E114*E113</f>
        <v>577.59321678739036</v>
      </c>
      <c r="F116" s="13">
        <f>+F114*F113</f>
        <v>13068.52064306903</v>
      </c>
      <c r="G116" s="13">
        <f>+G114*G113</f>
        <v>1586.7003678410942</v>
      </c>
      <c r="H116"/>
    </row>
    <row r="117" spans="2:62" ht="17" customHeight="1" x14ac:dyDescent="0.35">
      <c r="B117" s="11"/>
      <c r="C117" s="13"/>
      <c r="D117" s="13"/>
      <c r="E117" s="13"/>
      <c r="F117" s="13"/>
      <c r="G117" s="13">
        <f>+SUM(C116:G116)</f>
        <v>15502.358257550099</v>
      </c>
      <c r="H117"/>
      <c r="I117" s="13"/>
    </row>
    <row r="118" spans="2:62" ht="20" customHeight="1" x14ac:dyDescent="0.35">
      <c r="B118"/>
      <c r="H118"/>
      <c r="I118"/>
      <c r="J118"/>
      <c r="K118"/>
      <c r="L118"/>
      <c r="M118"/>
      <c r="N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row>
    <row r="119" spans="2:62" ht="20" customHeight="1" x14ac:dyDescent="0.35">
      <c r="B119" s="4" t="s">
        <v>5</v>
      </c>
      <c r="C119" s="59">
        <v>0.95</v>
      </c>
      <c r="D119" s="60">
        <v>0.99</v>
      </c>
      <c r="E119"/>
      <c r="F119"/>
      <c r="G119"/>
      <c r="H119"/>
      <c r="I119"/>
      <c r="J119"/>
      <c r="K119"/>
      <c r="L119"/>
      <c r="M119"/>
      <c r="N119" s="71" t="s">
        <v>50</v>
      </c>
      <c r="O119" s="71"/>
      <c r="P119" s="71"/>
      <c r="Q119" s="74">
        <f>+SUM(Q129:Q389)-1</f>
        <v>0</v>
      </c>
      <c r="R119" s="74"/>
      <c r="S119" s="74"/>
      <c r="T119" s="74"/>
      <c r="U119" s="74"/>
      <c r="V119" s="74"/>
      <c r="W119" s="74">
        <f>+SUM(W129:W389)-1</f>
        <v>0</v>
      </c>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row>
    <row r="120" spans="2:62" ht="17" customHeight="1" x14ac:dyDescent="0.4">
      <c r="B120" s="4" t="s">
        <v>113</v>
      </c>
      <c r="C120" s="142" cm="1">
        <f t="array" ref="C120">-(INDEX(_xlfn.ANCHORARRAY(V129),MATCH(TRUE,X129:X349&gt;=1-C119,0))-$C$123)</f>
        <v>28.400840117897712</v>
      </c>
      <c r="D120" s="143" cm="1">
        <f t="array" ref="D120">-(INDEX(_xlfn.ANCHORARRAY(V129),MATCH(TRUE,X129:X180&gt;=1-D119,0))-$C$123)</f>
        <v>53.008951538716829</v>
      </c>
      <c r="E120"/>
      <c r="F120"/>
      <c r="G120"/>
      <c r="H120"/>
      <c r="I120"/>
      <c r="J120"/>
      <c r="K120"/>
      <c r="L120"/>
      <c r="M120"/>
      <c r="N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row>
    <row r="121" spans="2:62" s="49" customFormat="1" ht="17" customHeight="1" x14ac:dyDescent="0.5">
      <c r="B121" s="4" t="s">
        <v>66</v>
      </c>
      <c r="C121" s="61">
        <f>+_xlfn.LET(_xlpm.x_1,V133,_xlpm.x_2,V134,_xlpm.alfa_1,X133,_xlpm.alfa_2,X134,_xlpm.p,(1-C119),_xlpm.mu,C123,(-1)*(_xlpm.x_1*(_xlpm.alfa_2-_xlpm.p)/(_xlpm.alfa_2-_xlpm.alfa_1)+_xlpm.x_2*(_xlpm.p-_xlpm.alfa_1)/(_xlpm.alfa_2-_xlpm.alfa_1)-_xlpm.mu))</f>
        <v>30.156328221594951</v>
      </c>
      <c r="D121" s="200" t="s">
        <v>114</v>
      </c>
      <c r="E121" s="11"/>
      <c r="F121"/>
      <c r="G121" s="11"/>
      <c r="H121" s="20"/>
      <c r="I121" s="14"/>
      <c r="J121" s="14"/>
      <c r="K121" s="14"/>
      <c r="L121" s="14"/>
      <c r="M121" s="14"/>
      <c r="N121"/>
      <c r="P121"/>
      <c r="Q121"/>
      <c r="R121"/>
      <c r="S121"/>
      <c r="T121"/>
      <c r="U121"/>
      <c r="V121"/>
      <c r="W121"/>
      <c r="X121"/>
      <c r="Y121"/>
      <c r="Z121"/>
      <c r="AA121"/>
      <c r="AB121"/>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row>
    <row r="122" spans="2:62" s="49" customFormat="1" ht="17" customHeight="1" x14ac:dyDescent="0.5">
      <c r="B122" s="4"/>
      <c r="C122" s="145"/>
      <c r="D122" s="145"/>
      <c r="E122" s="11"/>
      <c r="F122" s="11"/>
      <c r="G122" s="11"/>
      <c r="H122" s="20"/>
      <c r="I122" s="14"/>
      <c r="J122" s="14"/>
      <c r="K122" s="14"/>
      <c r="L122" s="14"/>
      <c r="M122" s="14"/>
      <c r="N122"/>
      <c r="O122"/>
      <c r="P122"/>
      <c r="Q122"/>
      <c r="R122"/>
      <c r="S122"/>
      <c r="T122"/>
      <c r="U122"/>
      <c r="V122"/>
      <c r="W122"/>
      <c r="X122"/>
      <c r="Y122"/>
      <c r="Z122"/>
      <c r="AA122"/>
      <c r="AB122"/>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row>
    <row r="123" spans="2:62" s="49" customFormat="1" ht="17" customHeight="1" x14ac:dyDescent="0.5">
      <c r="B123" s="4" t="s">
        <v>67</v>
      </c>
      <c r="C123" s="159">
        <f>+SUMPRODUCT(O129:O180,Q129:Q180)</f>
        <v>-2.0245368987492157E-2</v>
      </c>
      <c r="D123" s="145"/>
      <c r="E123" s="11"/>
      <c r="F123" s="11"/>
      <c r="G123" s="11"/>
      <c r="H123" s="20"/>
      <c r="I123" s="14"/>
      <c r="J123" s="14"/>
      <c r="K123" s="14"/>
      <c r="L123" s="14"/>
      <c r="M123" s="14"/>
      <c r="N123"/>
      <c r="O123"/>
      <c r="P123"/>
      <c r="Q123"/>
      <c r="R123"/>
      <c r="S123"/>
      <c r="T123"/>
      <c r="U123"/>
      <c r="V123"/>
      <c r="W123"/>
      <c r="X123"/>
      <c r="Y123"/>
      <c r="Z123"/>
      <c r="AA123"/>
      <c r="AB123"/>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row>
    <row r="124" spans="2:62" s="49" customFormat="1" ht="17" customHeight="1" x14ac:dyDescent="0.5">
      <c r="B124" s="4" t="s">
        <v>68</v>
      </c>
      <c r="C124" s="199">
        <f>+SUMPRODUCT(Q129:Q180,R129:R180)</f>
        <v>471.21895354549895</v>
      </c>
      <c r="D124" s="145"/>
      <c r="E124" s="11"/>
      <c r="F124" s="11"/>
      <c r="G124" s="11"/>
      <c r="H124" s="20"/>
      <c r="I124" s="14"/>
      <c r="J124" s="14"/>
      <c r="K124" s="14"/>
      <c r="L124" s="14"/>
      <c r="M124" s="14"/>
      <c r="N124"/>
      <c r="O124"/>
      <c r="P124"/>
      <c r="Q124"/>
      <c r="R124"/>
      <c r="S124"/>
      <c r="T124"/>
      <c r="U124"/>
      <c r="V124"/>
      <c r="W124"/>
      <c r="X124"/>
      <c r="Y124"/>
      <c r="Z124"/>
      <c r="AA124"/>
      <c r="AB12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row>
    <row r="125" spans="2:62" s="49" customFormat="1" ht="17" customHeight="1" x14ac:dyDescent="0.5">
      <c r="B125" s="4" t="s">
        <v>69</v>
      </c>
      <c r="C125" s="160">
        <f>+(SUMPRODUCT(Q129:Q180,S129:S180)/(C124^(3/2))-3)</f>
        <v>-2.4383921860285134</v>
      </c>
      <c r="D125" s="145"/>
      <c r="E125" s="11"/>
      <c r="F125" s="11"/>
      <c r="G125" s="11"/>
      <c r="H125" s="20"/>
      <c r="I125" s="14"/>
      <c r="J125" s="14"/>
      <c r="K125" s="14"/>
      <c r="L125" s="14"/>
      <c r="M125" s="14"/>
      <c r="N125"/>
      <c r="O125"/>
      <c r="P125"/>
      <c r="Q125"/>
      <c r="R125"/>
      <c r="S125"/>
      <c r="T125"/>
      <c r="U125"/>
      <c r="V125"/>
      <c r="W125"/>
      <c r="X125"/>
      <c r="Y125"/>
      <c r="Z125"/>
      <c r="AA125"/>
      <c r="AB125"/>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row>
    <row r="126" spans="2:62" ht="17" customHeight="1" x14ac:dyDescent="0.35">
      <c r="B126" s="4" t="s">
        <v>70</v>
      </c>
      <c r="C126" s="161">
        <f>+(SUMPRODUCT(Q129:Q180,T129:T180)/(C124^2))-3</f>
        <v>1.1292165294352987</v>
      </c>
      <c r="D126" s="11"/>
      <c r="E126" s="11"/>
      <c r="F126" s="11"/>
      <c r="G126" s="11"/>
      <c r="H126" s="20"/>
      <c r="I126" s="14"/>
      <c r="J126" s="14"/>
      <c r="K126" s="14"/>
      <c r="L126" s="14"/>
      <c r="M126" s="14"/>
      <c r="N126"/>
      <c r="O126" s="14"/>
      <c r="P126"/>
      <c r="Q126"/>
      <c r="R126"/>
      <c r="S126"/>
      <c r="T126"/>
      <c r="U126"/>
      <c r="V126"/>
      <c r="W126"/>
      <c r="X126"/>
      <c r="Y126"/>
      <c r="Z126"/>
      <c r="AA126"/>
      <c r="AB126"/>
      <c r="AC126" s="14"/>
      <c r="AD126" s="14"/>
      <c r="AE126" s="14"/>
      <c r="AF126" s="14"/>
      <c r="AG126" s="14"/>
      <c r="AH126" s="14"/>
      <c r="AI126" s="14"/>
      <c r="AJ126" s="14"/>
      <c r="AK126" s="14"/>
      <c r="AL126" s="14"/>
      <c r="AM126" s="14"/>
      <c r="AN126" s="14"/>
      <c r="AO126" s="14"/>
      <c r="AP126" s="14"/>
      <c r="AQ126" s="14"/>
      <c r="AR126" s="14"/>
      <c r="AS126" s="14"/>
      <c r="AT126" s="14"/>
      <c r="AU126" s="169" t="s">
        <v>72</v>
      </c>
      <c r="AV126" s="170"/>
      <c r="AW126" s="170"/>
      <c r="AX126" s="170"/>
      <c r="AY126" s="14"/>
      <c r="AZ126" s="14"/>
      <c r="BA126" s="14"/>
      <c r="BB126" s="14"/>
      <c r="BC126" s="14"/>
      <c r="BD126" s="14"/>
      <c r="BE126" s="14"/>
      <c r="BF126" s="14"/>
      <c r="BG126" s="14"/>
      <c r="BH126" s="14"/>
      <c r="BI126" s="14"/>
      <c r="BJ126" s="14"/>
    </row>
    <row r="127" spans="2:62" ht="17" customHeight="1" x14ac:dyDescent="0.35">
      <c r="B127" s="14"/>
      <c r="C127" s="11"/>
      <c r="D127" s="11"/>
      <c r="E127" s="11"/>
      <c r="F127" s="11"/>
      <c r="G127" s="11"/>
      <c r="H127" s="20"/>
      <c r="I127" s="14"/>
      <c r="J127" s="14"/>
      <c r="K127" s="14"/>
      <c r="L127" s="14"/>
      <c r="M127" s="14"/>
      <c r="N127"/>
      <c r="O127"/>
      <c r="P127"/>
      <c r="Q127"/>
      <c r="R127"/>
      <c r="S127"/>
      <c r="T127"/>
      <c r="U127"/>
      <c r="V127"/>
      <c r="W127"/>
      <c r="X127" s="14"/>
      <c r="Y127" s="8"/>
      <c r="Z127" s="107" t="s">
        <v>71</v>
      </c>
      <c r="AA127" s="107"/>
      <c r="AB127" s="107"/>
      <c r="AC127" s="14"/>
      <c r="AD127" s="14"/>
      <c r="AE127" s="14"/>
      <c r="AF127" s="14"/>
      <c r="AG127" s="14"/>
      <c r="AH127" s="14"/>
      <c r="AI127" s="14"/>
      <c r="AJ127" s="14"/>
      <c r="AK127" s="14"/>
      <c r="AL127" s="14"/>
      <c r="AM127" s="14"/>
      <c r="AN127" s="14"/>
      <c r="AO127" s="14"/>
      <c r="AP127" s="14"/>
      <c r="AQ127" s="14"/>
      <c r="AR127" s="14"/>
      <c r="AS127" s="14"/>
      <c r="AT127" s="14"/>
      <c r="AU127" s="107" t="s">
        <v>102</v>
      </c>
      <c r="AV127" s="107"/>
      <c r="AW127" s="107" t="s">
        <v>108</v>
      </c>
      <c r="AX127" s="107"/>
      <c r="AY127" s="14"/>
      <c r="AZ127" s="14"/>
      <c r="BA127" s="14"/>
      <c r="BB127" s="14"/>
      <c r="BC127" s="14"/>
      <c r="BD127" s="14"/>
      <c r="BE127" s="14"/>
      <c r="BF127" s="14"/>
      <c r="BG127" s="14"/>
      <c r="BH127" s="14"/>
      <c r="BI127" s="14"/>
      <c r="BJ127" s="14"/>
    </row>
    <row r="128" spans="2:62" ht="17" customHeight="1" x14ac:dyDescent="0.35">
      <c r="B128" s="66" t="s">
        <v>73</v>
      </c>
      <c r="C128" s="63" t="s">
        <v>4</v>
      </c>
      <c r="D128" s="70" t="s">
        <v>74</v>
      </c>
      <c r="E128" s="70" t="s">
        <v>75</v>
      </c>
      <c r="F128" s="70" t="s">
        <v>76</v>
      </c>
      <c r="G128" s="70" t="s">
        <v>77</v>
      </c>
      <c r="H128" s="70" t="s">
        <v>78</v>
      </c>
      <c r="I128" s="64" t="s">
        <v>79</v>
      </c>
      <c r="J128" s="64" t="s">
        <v>80</v>
      </c>
      <c r="K128" s="64" t="s">
        <v>81</v>
      </c>
      <c r="L128" s="64" t="s">
        <v>82</v>
      </c>
      <c r="M128" s="64" t="s">
        <v>83</v>
      </c>
      <c r="N128" s="70" t="s">
        <v>84</v>
      </c>
      <c r="O128" s="70" t="s">
        <v>85</v>
      </c>
      <c r="P128" s="70" t="s">
        <v>86</v>
      </c>
      <c r="Q128" s="94" t="s">
        <v>98</v>
      </c>
      <c r="R128" s="94" t="s">
        <v>88</v>
      </c>
      <c r="S128" s="94" t="s">
        <v>89</v>
      </c>
      <c r="T128" s="94" t="s">
        <v>90</v>
      </c>
      <c r="U128"/>
      <c r="V128" s="94" t="s">
        <v>91</v>
      </c>
      <c r="W128" s="94" t="s">
        <v>87</v>
      </c>
      <c r="X128" s="94" t="s">
        <v>99</v>
      </c>
      <c r="Z128" s="94" t="s">
        <v>93</v>
      </c>
      <c r="AA128" s="94" t="s">
        <v>94</v>
      </c>
      <c r="AB128" s="94" t="s">
        <v>87</v>
      </c>
      <c r="AE128" s="164" t="s">
        <v>95</v>
      </c>
      <c r="AF128" s="164"/>
      <c r="AG128" s="164"/>
      <c r="AH128" s="164"/>
      <c r="AI128" s="164"/>
      <c r="AJ128" s="164"/>
      <c r="AK128" s="164"/>
      <c r="AL128" s="164"/>
      <c r="AM128" s="164"/>
      <c r="AN128" s="164"/>
      <c r="AO128" s="164"/>
      <c r="AP128" s="164"/>
      <c r="AQ128" s="164"/>
      <c r="AR128" s="164"/>
      <c r="AU128" s="168" t="s">
        <v>96</v>
      </c>
      <c r="AV128" s="168" t="s">
        <v>97</v>
      </c>
      <c r="AW128" s="168" t="s">
        <v>96</v>
      </c>
      <c r="AX128" s="168" t="s">
        <v>97</v>
      </c>
      <c r="BA128" s="15"/>
    </row>
    <row r="129" spans="2:62" ht="20" customHeight="1" x14ac:dyDescent="0.35">
      <c r="B129" s="146">
        <f t="shared" ref="B129:B151" si="8">+B130+1</f>
        <v>52</v>
      </c>
      <c r="C129" s="147">
        <f>+'ZCB rates'!B187</f>
        <v>45110</v>
      </c>
      <c r="D129" s="148">
        <f>+'ZCB rates'!M187</f>
        <v>-1.7396049999998507E-4</v>
      </c>
      <c r="E129" s="149">
        <f>+'ZCB rates'!N187</f>
        <v>-2.7584000000008583E-4</v>
      </c>
      <c r="F129" s="149">
        <f>+'ZCB rates'!O187</f>
        <v>-6.9788599999998124E-4</v>
      </c>
      <c r="G129" s="149">
        <f>+'ZCB rates'!P187</f>
        <v>-2.3372520000000539E-3</v>
      </c>
      <c r="H129" s="150">
        <f>+'ZCB rates'!Q187</f>
        <v>-7.4224100000001231E-3</v>
      </c>
      <c r="I129" s="151">
        <f>+C$114*EXP(D129)</f>
        <v>0.99090855786284071</v>
      </c>
      <c r="J129" s="151">
        <f t="shared" ref="J129:J160" si="9">+D$114*EXP(E129)</f>
        <v>0.98251769816644319</v>
      </c>
      <c r="K129" s="151">
        <f t="shared" ref="K129:K160" si="10">+E$114*EXP(F129)</f>
        <v>0.96695318047186507</v>
      </c>
      <c r="L129" s="151">
        <f t="shared" ref="L129:L160" si="11">+F$114*EXP(G129)</f>
        <v>0.93850587404818842</v>
      </c>
      <c r="M129" s="151">
        <f t="shared" ref="M129:M160" si="12">+G$114*EXP(H129)</f>
        <v>0.858381611265158</v>
      </c>
      <c r="N129" s="152">
        <f t="shared" ref="N129:N138" si="13">+SUMPRODUCT(I129:M129,$C$113:$G$113)</f>
        <v>15459.638663158545</v>
      </c>
      <c r="O129" s="153">
        <f t="shared" ref="O129:O138" si="14">+N129-$G$117</f>
        <v>-42.719594391553983</v>
      </c>
      <c r="P129" s="154">
        <f t="shared" ref="P129:P160" si="15">+Lambda^B129</f>
        <v>4.0054229989060275E-2</v>
      </c>
      <c r="Q129" s="155">
        <f t="shared" ref="Q129:Q160" si="16">+P129/$P$184</f>
        <v>2.6633306358503869E-3</v>
      </c>
      <c r="R129" s="158">
        <f>+(O129-$C$123)^2</f>
        <v>1823.2344069509502</v>
      </c>
      <c r="S129" s="158">
        <f t="shared" ref="S129:S160" si="17">+($O129-$C$123)^3</f>
        <v>-77850.92229235066</v>
      </c>
      <c r="T129" s="158">
        <f t="shared" ref="T129:T160" si="18">+($O129-$C$123)^4</f>
        <v>3324183.7026897832</v>
      </c>
      <c r="U129"/>
      <c r="V129" s="77" cm="1">
        <f t="array" ref="V129:V180">+_xlfn._xlws.SORT(O129:O180)</f>
        <v>-53.029196907704318</v>
      </c>
      <c r="W129" s="19">
        <f t="shared" ref="W129:W160" si="19">+_xlfn.XLOOKUP(V129,$O$129:$O$180,$Q$129:$Q$180)</f>
        <v>1.8132664377165122E-2</v>
      </c>
      <c r="X129" s="22">
        <f>+SUM($W$129:W129)</f>
        <v>1.8132664377165122E-2</v>
      </c>
      <c r="Z129" s="8">
        <f>+Z130-$Z$141/2.5</f>
        <v>-82.607198719521506</v>
      </c>
      <c r="AA129" s="8"/>
      <c r="AB129" s="46"/>
      <c r="AU129" s="106">
        <f t="shared" ref="AU129:AU148" si="20">+NORMDIST($Z129,0,SQRT($C$103),TRUE)</f>
        <v>7.2348043925120125E-5</v>
      </c>
      <c r="AW129" s="106">
        <f t="shared" ref="AW129:AW148" si="21">+NORMDIST($Z129,0,SQRT($L$103),TRUE)</f>
        <v>8.8282251124536843E-4</v>
      </c>
      <c r="BA129" s="15"/>
    </row>
    <row r="130" spans="2:62" ht="20" customHeight="1" x14ac:dyDescent="0.35">
      <c r="B130" s="146">
        <f t="shared" si="8"/>
        <v>51</v>
      </c>
      <c r="C130" s="147">
        <f>+'ZCB rates'!B188</f>
        <v>45117</v>
      </c>
      <c r="D130" s="148">
        <f>+'ZCB rates'!M188</f>
        <v>-1.4745050000000365E-4</v>
      </c>
      <c r="E130" s="149">
        <f>+'ZCB rates'!N188</f>
        <v>-1.7787699999989611E-4</v>
      </c>
      <c r="F130" s="149">
        <f>+'ZCB rates'!O188</f>
        <v>7.7099999998703623E-6</v>
      </c>
      <c r="G130" s="149">
        <f>+'ZCB rates'!P188</f>
        <v>4.2886000000011767E-4</v>
      </c>
      <c r="H130" s="150">
        <f>+'ZCB rates'!Q188</f>
        <v>-1.075860000000074E-3</v>
      </c>
      <c r="I130" s="151">
        <f t="shared" ref="I130:I160" si="22">+C$114*EXP(D130)</f>
        <v>0.99093482719690817</v>
      </c>
      <c r="J130" s="151">
        <f t="shared" si="9"/>
        <v>0.9826139532623509</v>
      </c>
      <c r="K130" s="151">
        <f t="shared" si="10"/>
        <v>0.9676356995312354</v>
      </c>
      <c r="L130" s="151">
        <f t="shared" si="11"/>
        <v>0.94110548015173623</v>
      </c>
      <c r="M130" s="151">
        <f t="shared" si="12"/>
        <v>0.86384669695606353</v>
      </c>
      <c r="N130" s="152">
        <f t="shared" si="13"/>
        <v>15506.214387609201</v>
      </c>
      <c r="O130" s="153">
        <f t="shared" si="14"/>
        <v>3.8561300591027248</v>
      </c>
      <c r="P130" s="154">
        <f t="shared" si="15"/>
        <v>4.2610882967085394E-2</v>
      </c>
      <c r="Q130" s="155">
        <f t="shared" si="16"/>
        <v>2.8333304636706238E-3</v>
      </c>
      <c r="R130" s="158">
        <f t="shared" ref="R130:R139" si="23">+(O130-$C$123)^2</f>
        <v>15.026286459501613</v>
      </c>
      <c r="S130" s="158">
        <f t="shared" si="17"/>
        <v>58.247527607056796</v>
      </c>
      <c r="T130" s="158">
        <f t="shared" si="18"/>
        <v>225.78928476300152</v>
      </c>
      <c r="U130"/>
      <c r="V130" s="77">
        <v>-43.022537171626027</v>
      </c>
      <c r="W130" s="19">
        <f t="shared" si="19"/>
        <v>1.3307635323230673E-2</v>
      </c>
      <c r="X130" s="22">
        <f>+SUM($W$129:W130)</f>
        <v>3.1440299700395795E-2</v>
      </c>
      <c r="Z130" s="8">
        <f t="shared" ref="Z130:Z140" si="24">+Z131-$Z$141/2.5</f>
        <v>-73.911704117466613</v>
      </c>
      <c r="AA130" s="8">
        <f>+AVERAGE(Z129:Z130)</f>
        <v>-78.259451418494052</v>
      </c>
      <c r="AB130" s="46">
        <f t="shared" ref="AB130:AB148" si="25">SUMIFS($W$129:$W$362,$V$129:$V$362,"&gt;="&amp;Z129,$V$129:$V$362,"&lt;"&amp;Z130)</f>
        <v>0</v>
      </c>
      <c r="AU130" s="106">
        <f t="shared" si="20"/>
        <v>3.3692926567688151E-4</v>
      </c>
      <c r="AV130" s="105">
        <f t="shared" ref="AV130:AV148" si="26">+AU130-AU129</f>
        <v>2.6458122175176138E-4</v>
      </c>
      <c r="AW130" s="106">
        <f t="shared" si="21"/>
        <v>2.5718425235309399E-3</v>
      </c>
      <c r="AX130" s="105">
        <f>+AW130-AW129</f>
        <v>1.6890200122855715E-3</v>
      </c>
      <c r="BA130" s="15"/>
    </row>
    <row r="131" spans="2:62" ht="20" customHeight="1" x14ac:dyDescent="0.35">
      <c r="B131" s="146">
        <f t="shared" si="8"/>
        <v>50</v>
      </c>
      <c r="C131" s="147">
        <f>+'ZCB rates'!B189</f>
        <v>45124</v>
      </c>
      <c r="D131" s="148">
        <f>+'ZCB rates'!M189</f>
        <v>2.7486999999983632E-5</v>
      </c>
      <c r="E131" s="149">
        <f>+'ZCB rates'!N189</f>
        <v>9.4339999999492541E-6</v>
      </c>
      <c r="F131" s="149">
        <f>+'ZCB rates'!O189</f>
        <v>3.6703200000007816E-4</v>
      </c>
      <c r="G131" s="149">
        <f>+'ZCB rates'!P189</f>
        <v>2.1172520000000816E-3</v>
      </c>
      <c r="H131" s="150">
        <f>+'ZCB rates'!Q189</f>
        <v>7.2955199999999564E-3</v>
      </c>
      <c r="I131" s="151">
        <f t="shared" si="22"/>
        <v>0.99110819402197825</v>
      </c>
      <c r="J131" s="151">
        <f t="shared" si="9"/>
        <v>0.98279802490333368</v>
      </c>
      <c r="K131" s="151">
        <f t="shared" si="10"/>
        <v>0.96798345480038039</v>
      </c>
      <c r="L131" s="151">
        <f t="shared" si="11"/>
        <v>0.94269577726025433</v>
      </c>
      <c r="M131" s="151">
        <f t="shared" si="12"/>
        <v>0.87110863974966102</v>
      </c>
      <c r="N131" s="152">
        <f t="shared" si="13"/>
        <v>15541.889631087382</v>
      </c>
      <c r="O131" s="153">
        <f t="shared" si="14"/>
        <v>39.531373537283798</v>
      </c>
      <c r="P131" s="154">
        <f t="shared" si="15"/>
        <v>4.5330726560729152E-2</v>
      </c>
      <c r="Q131" s="155">
        <f t="shared" si="16"/>
        <v>3.0141813443304516E-3</v>
      </c>
      <c r="R131" s="158">
        <f t="shared" si="23"/>
        <v>1564.3305581069162</v>
      </c>
      <c r="S131" s="158">
        <f t="shared" si="17"/>
        <v>61871.806077679423</v>
      </c>
      <c r="T131" s="158">
        <f t="shared" si="18"/>
        <v>2447130.0950270961</v>
      </c>
      <c r="U131"/>
      <c r="V131" s="77">
        <v>-42.719594391553983</v>
      </c>
      <c r="W131" s="19">
        <f t="shared" si="19"/>
        <v>2.6633306358503869E-3</v>
      </c>
      <c r="X131" s="22">
        <f>+SUM($W$129:W131)</f>
        <v>3.410363033624618E-2</v>
      </c>
      <c r="Z131" s="8">
        <f t="shared" si="24"/>
        <v>-65.21620951541172</v>
      </c>
      <c r="AA131" s="8">
        <f t="shared" ref="AA131:AA148" si="27">+AVERAGE(Z130:Z131)</f>
        <v>-69.563956816439173</v>
      </c>
      <c r="AB131" s="46">
        <f t="shared" si="25"/>
        <v>0</v>
      </c>
      <c r="AU131" s="106">
        <f t="shared" si="20"/>
        <v>1.3498980316300954E-3</v>
      </c>
      <c r="AV131" s="105">
        <f t="shared" si="26"/>
        <v>1.012968765953214E-3</v>
      </c>
      <c r="AW131" s="106">
        <f t="shared" si="21"/>
        <v>6.7796595210061197E-3</v>
      </c>
      <c r="AX131" s="105">
        <f t="shared" ref="AX131:AX148" si="28">+AW131-AW130</f>
        <v>4.2078169974751802E-3</v>
      </c>
      <c r="BA131" s="15"/>
    </row>
    <row r="132" spans="2:62" ht="20" customHeight="1" x14ac:dyDescent="0.35">
      <c r="B132" s="146">
        <f t="shared" si="8"/>
        <v>49</v>
      </c>
      <c r="C132" s="147">
        <f>+'ZCB rates'!B190</f>
        <v>45131</v>
      </c>
      <c r="D132" s="148">
        <f>+'ZCB rates'!M190</f>
        <v>-6.1505500000084374E-5</v>
      </c>
      <c r="E132" s="149">
        <f>+'ZCB rates'!N190</f>
        <v>1.2188000000081687E-5</v>
      </c>
      <c r="F132" s="149">
        <f>+'ZCB rates'!O190</f>
        <v>2.4451199999987332E-4</v>
      </c>
      <c r="G132" s="149">
        <f>+'ZCB rates'!P190</f>
        <v>4.7195200000001278E-4</v>
      </c>
      <c r="H132" s="150">
        <f>+'ZCB rates'!Q190</f>
        <v>1.1640000000014783E-4</v>
      </c>
      <c r="I132" s="151">
        <f t="shared" si="22"/>
        <v>0.99101999675052777</v>
      </c>
      <c r="J132" s="151">
        <f t="shared" si="9"/>
        <v>0.98280073153282133</v>
      </c>
      <c r="K132" s="151">
        <f t="shared" si="10"/>
        <v>0.96786486473247391</v>
      </c>
      <c r="L132" s="151">
        <f t="shared" si="11"/>
        <v>0.94114603514287831</v>
      </c>
      <c r="M132" s="151">
        <f t="shared" si="12"/>
        <v>0.8648772410351433</v>
      </c>
      <c r="N132" s="152">
        <f t="shared" si="13"/>
        <v>15508.856661301234</v>
      </c>
      <c r="O132" s="153">
        <f t="shared" si="14"/>
        <v>6.4984037511349015</v>
      </c>
      <c r="P132" s="154">
        <f t="shared" si="15"/>
        <v>4.8224177192265058E-2</v>
      </c>
      <c r="Q132" s="155">
        <f t="shared" si="16"/>
        <v>3.2065758982238847E-3</v>
      </c>
      <c r="R132" s="158">
        <f t="shared" si="23"/>
        <v>42.492786351272457</v>
      </c>
      <c r="S132" s="158">
        <f t="shared" si="17"/>
        <v>276.99556436027109</v>
      </c>
      <c r="T132" s="158">
        <f t="shared" si="18"/>
        <v>1805.6368918948867</v>
      </c>
      <c r="U132"/>
      <c r="V132" s="77">
        <v>-36.922813627543292</v>
      </c>
      <c r="W132" s="19">
        <f t="shared" si="19"/>
        <v>3.8606280619707159E-3</v>
      </c>
      <c r="X132" s="22">
        <f>+SUM($W$129:W132)</f>
        <v>3.7964258398216898E-2</v>
      </c>
      <c r="Z132" s="8">
        <f t="shared" si="24"/>
        <v>-56.520714913356827</v>
      </c>
      <c r="AA132" s="8">
        <f t="shared" si="27"/>
        <v>-60.868462214384273</v>
      </c>
      <c r="AB132" s="46">
        <f t="shared" si="25"/>
        <v>0</v>
      </c>
      <c r="AU132" s="106">
        <f t="shared" si="20"/>
        <v>4.6611880237187493E-3</v>
      </c>
      <c r="AV132" s="105">
        <f t="shared" si="26"/>
        <v>3.3112899920886537E-3</v>
      </c>
      <c r="AW132" s="106">
        <f t="shared" si="21"/>
        <v>1.6194901275537653E-2</v>
      </c>
      <c r="AX132" s="105">
        <f>+AW132-AW131</f>
        <v>9.4152417545315323E-3</v>
      </c>
      <c r="BA132" s="15"/>
    </row>
    <row r="133" spans="2:62" ht="20" customHeight="1" x14ac:dyDescent="0.35">
      <c r="B133" s="146">
        <f t="shared" si="8"/>
        <v>48</v>
      </c>
      <c r="C133" s="147">
        <f>+'ZCB rates'!B191</f>
        <v>45138</v>
      </c>
      <c r="D133" s="148">
        <f>+'ZCB rates'!M191</f>
        <v>-2.1033499999943453E-5</v>
      </c>
      <c r="E133" s="149">
        <f>+'ZCB rates'!N191</f>
        <v>8.4767999999995554E-5</v>
      </c>
      <c r="F133" s="149">
        <f>+'ZCB rates'!O191</f>
        <v>3.6628000000004968E-4</v>
      </c>
      <c r="G133" s="149">
        <f>+'ZCB rates'!P191</f>
        <v>4.6864400000007957E-4</v>
      </c>
      <c r="H133" s="150">
        <f>+'ZCB rates'!Q191</f>
        <v>-2.2430800000000197E-3</v>
      </c>
      <c r="I133" s="151">
        <f t="shared" si="22"/>
        <v>0.99106010612348416</v>
      </c>
      <c r="J133" s="151">
        <f t="shared" si="9"/>
        <v>0.98287206579860509</v>
      </c>
      <c r="K133" s="151">
        <f t="shared" si="10"/>
        <v>0.96798272687709597</v>
      </c>
      <c r="L133" s="151">
        <f t="shared" si="11"/>
        <v>0.94114292183694359</v>
      </c>
      <c r="M133" s="151">
        <f t="shared" si="12"/>
        <v>0.86283898603901976</v>
      </c>
      <c r="N133" s="152">
        <f t="shared" si="13"/>
        <v>15505.163518758452</v>
      </c>
      <c r="O133" s="153">
        <f t="shared" si="14"/>
        <v>2.8052612083538406</v>
      </c>
      <c r="P133" s="154">
        <f t="shared" si="15"/>
        <v>5.13023161619841E-2</v>
      </c>
      <c r="Q133" s="155">
        <f t="shared" si="16"/>
        <v>3.411250955557324E-3</v>
      </c>
      <c r="R133" s="158">
        <f t="shared" si="23"/>
        <v>7.9834874185991334</v>
      </c>
      <c r="S133" s="158">
        <f t="shared" si="17"/>
        <v>22.557396211373629</v>
      </c>
      <c r="T133" s="158">
        <f t="shared" si="18"/>
        <v>63.736071362930652</v>
      </c>
      <c r="U133"/>
      <c r="V133" s="77">
        <v>-31.126976592915526</v>
      </c>
      <c r="W133" s="19">
        <f t="shared" si="19"/>
        <v>5.2603991041577317E-3</v>
      </c>
      <c r="X133" s="22">
        <f>+SUM($W$129:W133)</f>
        <v>4.3224657502374628E-2</v>
      </c>
      <c r="Z133" s="8">
        <f t="shared" si="24"/>
        <v>-47.825220311301933</v>
      </c>
      <c r="AA133" s="8">
        <f t="shared" si="27"/>
        <v>-52.17296761232938</v>
      </c>
      <c r="AB133" s="46">
        <f t="shared" si="25"/>
        <v>1.8132664377165122E-2</v>
      </c>
      <c r="AU133" s="106">
        <f t="shared" si="20"/>
        <v>1.3903447513498621E-2</v>
      </c>
      <c r="AV133" s="105">
        <f t="shared" si="26"/>
        <v>9.2422594897798721E-3</v>
      </c>
      <c r="AW133" s="106">
        <f t="shared" si="21"/>
        <v>3.5116690726963475E-2</v>
      </c>
      <c r="AX133" s="105">
        <f t="shared" si="28"/>
        <v>1.8921789451425822E-2</v>
      </c>
    </row>
    <row r="134" spans="2:62" ht="20" customHeight="1" x14ac:dyDescent="0.35">
      <c r="B134" s="146">
        <f t="shared" si="8"/>
        <v>47</v>
      </c>
      <c r="C134" s="147">
        <f>+'ZCB rates'!B192</f>
        <v>45145</v>
      </c>
      <c r="D134" s="148">
        <f>+'ZCB rates'!M192</f>
        <v>5.7901499999942904E-5</v>
      </c>
      <c r="E134" s="149">
        <f>+'ZCB rates'!N192</f>
        <v>1.0849600000007263E-4</v>
      </c>
      <c r="F134" s="149">
        <f>+'ZCB rates'!O192</f>
        <v>2.7518800000007182E-4</v>
      </c>
      <c r="G134" s="149">
        <f>+'ZCB rates'!P192</f>
        <v>6.7964399999986098E-4</v>
      </c>
      <c r="H134" s="150">
        <f>+'ZCB rates'!Q192</f>
        <v>9.7356999999988582E-4</v>
      </c>
      <c r="I134" s="151">
        <f t="shared" si="22"/>
        <v>0.99113833854055822</v>
      </c>
      <c r="J134" s="151">
        <f t="shared" si="9"/>
        <v>0.98289538766367202</v>
      </c>
      <c r="K134" s="151">
        <f t="shared" si="10"/>
        <v>0.96789455541045788</v>
      </c>
      <c r="L134" s="151">
        <f t="shared" si="11"/>
        <v>0.94134152394523651</v>
      </c>
      <c r="M134" s="151">
        <f t="shared" si="12"/>
        <v>0.86561890568077238</v>
      </c>
      <c r="N134" s="152">
        <f t="shared" si="13"/>
        <v>15512.976948876038</v>
      </c>
      <c r="O134" s="153">
        <f t="shared" si="14"/>
        <v>10.618691325938926</v>
      </c>
      <c r="P134" s="154">
        <f t="shared" si="15"/>
        <v>5.4576932087217124E-2</v>
      </c>
      <c r="Q134" s="155">
        <f t="shared" si="16"/>
        <v>3.6289903782524722E-3</v>
      </c>
      <c r="R134" s="158">
        <f t="shared" si="23"/>
        <v>113.18697399865185</v>
      </c>
      <c r="S134" s="158">
        <f t="shared" si="17"/>
        <v>1204.1890510619396</v>
      </c>
      <c r="T134" s="158">
        <f t="shared" si="18"/>
        <v>12811.291082971491</v>
      </c>
      <c r="U134"/>
      <c r="V134" s="77">
        <v>-28.421085486885204</v>
      </c>
      <c r="W134" s="19">
        <f t="shared" si="19"/>
        <v>1.9290068486345877E-2</v>
      </c>
      <c r="X134" s="22">
        <f>+SUM($W$129:W134)</f>
        <v>6.2514725988720501E-2</v>
      </c>
      <c r="Z134" s="8">
        <f t="shared" si="24"/>
        <v>-39.129725709247033</v>
      </c>
      <c r="AA134" s="8">
        <f t="shared" si="27"/>
        <v>-43.47747301027448</v>
      </c>
      <c r="AB134" s="46">
        <f t="shared" si="25"/>
        <v>1.5970965959081061E-2</v>
      </c>
      <c r="AU134" s="106">
        <f t="shared" si="20"/>
        <v>3.593031911292581E-2</v>
      </c>
      <c r="AV134" s="105">
        <f t="shared" si="26"/>
        <v>2.2026871599427188E-2</v>
      </c>
      <c r="AW134" s="106">
        <f t="shared" si="21"/>
        <v>6.9271519881750301E-2</v>
      </c>
      <c r="AX134" s="105">
        <f t="shared" si="28"/>
        <v>3.4154829154786827E-2</v>
      </c>
    </row>
    <row r="135" spans="2:62" customFormat="1" ht="20" customHeight="1" x14ac:dyDescent="0.35">
      <c r="B135" s="146">
        <f t="shared" si="8"/>
        <v>46</v>
      </c>
      <c r="C135" s="147">
        <f>+'ZCB rates'!B193</f>
        <v>45152</v>
      </c>
      <c r="D135" s="148">
        <f>+'ZCB rates'!M193</f>
        <v>-1.0374450000006697E-4</v>
      </c>
      <c r="E135" s="149">
        <f>+'ZCB rates'!N193</f>
        <v>-2.1548200000008708E-4</v>
      </c>
      <c r="F135" s="149">
        <f>+'ZCB rates'!O193</f>
        <v>-6.6905400000001863E-4</v>
      </c>
      <c r="G135" s="149">
        <f>+'ZCB rates'!P193</f>
        <v>-2.0352119999999074E-3</v>
      </c>
      <c r="H135" s="150">
        <f>+'ZCB rates'!Q193</f>
        <v>-6.2641499999999935E-3</v>
      </c>
      <c r="I135" s="151">
        <f t="shared" si="22"/>
        <v>0.99097813794092837</v>
      </c>
      <c r="J135" s="151">
        <f t="shared" si="9"/>
        <v>0.98257700275940441</v>
      </c>
      <c r="K135" s="151">
        <f t="shared" si="10"/>
        <v>0.96698106006787476</v>
      </c>
      <c r="L135" s="151">
        <f t="shared" si="11"/>
        <v>0.93878938317577909</v>
      </c>
      <c r="M135" s="151">
        <f t="shared" si="12"/>
        <v>0.85937641636048046</v>
      </c>
      <c r="N135" s="152">
        <f t="shared" si="13"/>
        <v>15465.435443922555</v>
      </c>
      <c r="O135" s="153">
        <f t="shared" si="14"/>
        <v>-36.922813627543292</v>
      </c>
      <c r="P135" s="154">
        <f t="shared" si="15"/>
        <v>5.8060566050230994E-2</v>
      </c>
      <c r="Q135" s="155">
        <f t="shared" si="16"/>
        <v>3.8606280619707159E-3</v>
      </c>
      <c r="R135" s="158">
        <f t="shared" si="23"/>
        <v>1361.7995440773702</v>
      </c>
      <c r="S135" s="158">
        <f t="shared" si="17"/>
        <v>-50253.900629785327</v>
      </c>
      <c r="T135" s="158">
        <f t="shared" si="18"/>
        <v>1854497.9982493334</v>
      </c>
      <c r="V135" s="77">
        <v>-26.139805671242357</v>
      </c>
      <c r="W135" s="19">
        <f t="shared" si="19"/>
        <v>6.7376319068778931E-3</v>
      </c>
      <c r="X135" s="22">
        <f>+SUM($W$129:W135)</f>
        <v>6.9252357895598388E-2</v>
      </c>
      <c r="Y135" s="3"/>
      <c r="Z135" s="8">
        <f t="shared" si="24"/>
        <v>-30.434231107192137</v>
      </c>
      <c r="AA135" s="8">
        <f t="shared" si="27"/>
        <v>-34.781978408219587</v>
      </c>
      <c r="AB135" s="46">
        <f t="shared" si="25"/>
        <v>9.1210271661284481E-3</v>
      </c>
      <c r="AC135" s="3"/>
      <c r="AD135" s="3"/>
      <c r="AE135" s="3"/>
      <c r="AF135" s="3"/>
      <c r="AG135" s="3"/>
      <c r="AH135" s="3"/>
      <c r="AI135" s="3"/>
      <c r="AJ135" s="3"/>
      <c r="AK135" s="3"/>
      <c r="AL135" s="3"/>
      <c r="AM135" s="3"/>
      <c r="AN135" s="3"/>
      <c r="AO135" s="3"/>
      <c r="AP135" s="3"/>
      <c r="AQ135" s="3"/>
      <c r="AR135" s="3"/>
      <c r="AS135" s="3"/>
      <c r="AT135" s="3"/>
      <c r="AU135" s="106">
        <f t="shared" si="20"/>
        <v>8.0756659233771053E-2</v>
      </c>
      <c r="AV135" s="105">
        <f t="shared" si="26"/>
        <v>4.4826340120845243E-2</v>
      </c>
      <c r="AW135" s="106">
        <f t="shared" si="21"/>
        <v>0.12464525888890153</v>
      </c>
      <c r="AX135" s="105">
        <f t="shared" si="28"/>
        <v>5.5373739007151229E-2</v>
      </c>
      <c r="AY135" s="3"/>
      <c r="AZ135" s="3"/>
      <c r="BA135" s="3"/>
      <c r="BB135" s="3"/>
      <c r="BC135" s="3"/>
      <c r="BD135" s="3"/>
      <c r="BE135" s="3"/>
      <c r="BF135" s="3"/>
      <c r="BG135" s="3"/>
      <c r="BH135" s="3"/>
      <c r="BI135" s="3"/>
      <c r="BJ135" s="3"/>
    </row>
    <row r="136" spans="2:62" customFormat="1" ht="20" customHeight="1" x14ac:dyDescent="0.35">
      <c r="B136" s="146">
        <f t="shared" si="8"/>
        <v>45</v>
      </c>
      <c r="C136" s="147">
        <f>+'ZCB rates'!B194</f>
        <v>45159</v>
      </c>
      <c r="D136" s="148">
        <f>+'ZCB rates'!M194</f>
        <v>-6.6814999999652017E-6</v>
      </c>
      <c r="E136" s="149">
        <f>+'ZCB rates'!N194</f>
        <v>4.1621000000015592E-5</v>
      </c>
      <c r="F136" s="149">
        <f>+'ZCB rates'!O194</f>
        <v>3.2355600000008187E-4</v>
      </c>
      <c r="G136" s="149">
        <f>+'ZCB rates'!P194</f>
        <v>1.1139519999999233E-3</v>
      </c>
      <c r="H136" s="150">
        <f>+'ZCB rates'!Q194</f>
        <v>3.0779599999998042E-3</v>
      </c>
      <c r="I136" s="151">
        <f t="shared" si="22"/>
        <v>0.99107432992019695</v>
      </c>
      <c r="J136" s="151">
        <f t="shared" si="9"/>
        <v>0.98282965873245753</v>
      </c>
      <c r="K136" s="151">
        <f t="shared" si="10"/>
        <v>0.96794137166650929</v>
      </c>
      <c r="L136" s="151">
        <f t="shared" si="11"/>
        <v>0.94175044489220983</v>
      </c>
      <c r="M136" s="151">
        <f t="shared" si="12"/>
        <v>0.86744242347305378</v>
      </c>
      <c r="N136" s="152">
        <f t="shared" si="13"/>
        <v>15522.013530526994</v>
      </c>
      <c r="O136" s="153">
        <f t="shared" si="14"/>
        <v>19.655272976895503</v>
      </c>
      <c r="P136" s="154">
        <f t="shared" si="15"/>
        <v>6.1766559627905303E-2</v>
      </c>
      <c r="Q136" s="155">
        <f t="shared" si="16"/>
        <v>4.1070511297560796E-3</v>
      </c>
      <c r="R136" s="158">
        <f t="shared" si="23"/>
        <v>387.12602217917834</v>
      </c>
      <c r="S136" s="158">
        <f t="shared" si="17"/>
        <v>7616.9051515551309</v>
      </c>
      <c r="T136" s="158">
        <f t="shared" si="18"/>
        <v>149866.55704827368</v>
      </c>
      <c r="V136" s="77">
        <v>-26.031124586217629</v>
      </c>
      <c r="W136" s="19">
        <f t="shared" si="19"/>
        <v>4.9447751579082683E-3</v>
      </c>
      <c r="X136" s="22">
        <f>+SUM($W$129:W136)</f>
        <v>7.4197133053506656E-2</v>
      </c>
      <c r="Y136" s="3"/>
      <c r="Z136" s="8">
        <f t="shared" si="24"/>
        <v>-21.73873650513724</v>
      </c>
      <c r="AA136" s="8">
        <f t="shared" si="27"/>
        <v>-26.086483806164686</v>
      </c>
      <c r="AB136" s="46">
        <f t="shared" si="25"/>
        <v>6.6960757228568341E-2</v>
      </c>
      <c r="AC136" s="3"/>
      <c r="AD136" s="3"/>
      <c r="AE136" s="3"/>
      <c r="AF136" s="3"/>
      <c r="AG136" s="3"/>
      <c r="AH136" s="3"/>
      <c r="AI136" s="3"/>
      <c r="AJ136" s="3"/>
      <c r="AK136" s="3"/>
      <c r="AL136" s="3"/>
      <c r="AM136" s="3"/>
      <c r="AN136" s="3"/>
      <c r="AO136" s="3"/>
      <c r="AP136" s="3"/>
      <c r="AQ136" s="3"/>
      <c r="AR136" s="3"/>
      <c r="AS136" s="3"/>
      <c r="AT136" s="3"/>
      <c r="AU136" s="106">
        <f t="shared" si="20"/>
        <v>0.15865525393145713</v>
      </c>
      <c r="AV136" s="105">
        <f t="shared" si="26"/>
        <v>7.7898594697686077E-2</v>
      </c>
      <c r="AW136" s="106">
        <f t="shared" si="21"/>
        <v>0.20527951445084724</v>
      </c>
      <c r="AX136" s="105">
        <f t="shared" si="28"/>
        <v>8.0634255561945714E-2</v>
      </c>
      <c r="AY136" s="3"/>
      <c r="AZ136" s="3"/>
      <c r="BA136" s="3"/>
      <c r="BB136" s="3"/>
      <c r="BC136" s="3"/>
      <c r="BD136" s="3"/>
      <c r="BE136" s="3"/>
      <c r="BF136" s="3"/>
      <c r="BG136" s="3"/>
      <c r="BH136" s="3"/>
      <c r="BI136" s="3"/>
      <c r="BJ136" s="3"/>
    </row>
    <row r="137" spans="2:62" customFormat="1" ht="20" customHeight="1" x14ac:dyDescent="0.35">
      <c r="B137" s="146">
        <f t="shared" si="8"/>
        <v>44</v>
      </c>
      <c r="C137" s="147">
        <f>+'ZCB rates'!B195</f>
        <v>45166</v>
      </c>
      <c r="D137" s="148">
        <f>+'ZCB rates'!M195</f>
        <v>-1.8691000000004501E-5</v>
      </c>
      <c r="E137" s="149">
        <f>+'ZCB rates'!N195</f>
        <v>-7.7828000000013215E-5</v>
      </c>
      <c r="F137" s="149">
        <f>+'ZCB rates'!O195</f>
        <v>-1.2486400000008102E-4</v>
      </c>
      <c r="G137" s="149">
        <f>+'ZCB rates'!P195</f>
        <v>1.5232399999997906E-4</v>
      </c>
      <c r="H137" s="150">
        <f>+'ZCB rates'!Q195</f>
        <v>2.0438999999999349E-3</v>
      </c>
      <c r="I137" s="151">
        <f t="shared" si="22"/>
        <v>0.99106242768450181</v>
      </c>
      <c r="J137" s="151">
        <f t="shared" si="9"/>
        <v>0.98271226772381048</v>
      </c>
      <c r="K137" s="151">
        <f t="shared" si="10"/>
        <v>0.96750742469914741</v>
      </c>
      <c r="L137" s="151">
        <f t="shared" si="11"/>
        <v>0.94084526658754419</v>
      </c>
      <c r="M137" s="151">
        <f t="shared" si="12"/>
        <v>0.86654589957027706</v>
      </c>
      <c r="N137" s="152">
        <f t="shared" si="13"/>
        <v>15507.502338537613</v>
      </c>
      <c r="O137" s="153">
        <f t="shared" si="14"/>
        <v>5.1440809875148261</v>
      </c>
      <c r="P137" s="154">
        <f t="shared" si="15"/>
        <v>6.5709105987133309E-2</v>
      </c>
      <c r="Q137" s="155">
        <f t="shared" si="16"/>
        <v>4.3692033295277448E-3</v>
      </c>
      <c r="R137" s="158">
        <f t="shared" si="23"/>
        <v>26.670266716464511</v>
      </c>
      <c r="S137" s="158">
        <f t="shared" si="17"/>
        <v>137.73396133878421</v>
      </c>
      <c r="T137" s="158">
        <f t="shared" si="18"/>
        <v>711.30312672735465</v>
      </c>
      <c r="V137" s="77">
        <v>-24.700417764684971</v>
      </c>
      <c r="W137" s="19">
        <f t="shared" si="19"/>
        <v>1.4157058854500717E-2</v>
      </c>
      <c r="X137" s="22">
        <f>+SUM($W$129:W137)</f>
        <v>8.8354191908007376E-2</v>
      </c>
      <c r="Y137" s="3"/>
      <c r="Z137" s="8">
        <f t="shared" si="24"/>
        <v>-13.043241903082343</v>
      </c>
      <c r="AA137" s="8">
        <f t="shared" si="27"/>
        <v>-17.390989204109793</v>
      </c>
      <c r="AB137" s="46">
        <f t="shared" si="25"/>
        <v>0.18480757414200616</v>
      </c>
      <c r="AC137" s="3"/>
      <c r="AD137" s="3"/>
      <c r="AE137" s="3"/>
      <c r="AF137" s="3"/>
      <c r="AG137" s="3"/>
      <c r="AH137" s="3"/>
      <c r="AI137" s="3"/>
      <c r="AJ137" s="3"/>
      <c r="AK137" s="3"/>
      <c r="AL137" s="3"/>
      <c r="AM137" s="3"/>
      <c r="AN137" s="3"/>
      <c r="AO137" s="3"/>
      <c r="AP137" s="3"/>
      <c r="AQ137" s="3"/>
      <c r="AR137" s="3"/>
      <c r="AS137" s="3"/>
      <c r="AT137" s="3"/>
      <c r="AU137" s="106">
        <f t="shared" si="20"/>
        <v>0.27425311775007361</v>
      </c>
      <c r="AV137" s="105">
        <f t="shared" si="26"/>
        <v>0.11559786381861648</v>
      </c>
      <c r="AW137" s="106">
        <f t="shared" si="21"/>
        <v>0.3107427323744828</v>
      </c>
      <c r="AX137" s="105">
        <f t="shared" si="28"/>
        <v>0.10546321792363555</v>
      </c>
      <c r="AY137" s="3"/>
      <c r="AZ137" s="3"/>
      <c r="BA137" s="3"/>
      <c r="BB137" s="3"/>
      <c r="BC137" s="3"/>
      <c r="BD137" s="3"/>
      <c r="BE137" s="3"/>
      <c r="BF137" s="3"/>
      <c r="BG137" s="3"/>
      <c r="BH137" s="3"/>
      <c r="BI137" s="3"/>
      <c r="BJ137" s="3"/>
    </row>
    <row r="138" spans="2:62" s="14" customFormat="1" ht="20" customHeight="1" x14ac:dyDescent="0.35">
      <c r="B138" s="146">
        <f t="shared" si="8"/>
        <v>43</v>
      </c>
      <c r="C138" s="147">
        <f>+'ZCB rates'!B196</f>
        <v>45173</v>
      </c>
      <c r="D138" s="148">
        <f>+'ZCB rates'!M196</f>
        <v>-4.0550500000030687E-5</v>
      </c>
      <c r="E138" s="149">
        <f>+'ZCB rates'!N196</f>
        <v>-1.0070399999995893E-4</v>
      </c>
      <c r="F138" s="149">
        <f>+'ZCB rates'!O196</f>
        <v>-2.169679999999685E-4</v>
      </c>
      <c r="G138" s="149">
        <f>+'ZCB rates'!P196</f>
        <v>-5.4627599999999474E-4</v>
      </c>
      <c r="H138" s="150">
        <f>+'ZCB rates'!Q196</f>
        <v>-2.5884099999999564E-3</v>
      </c>
      <c r="I138" s="151">
        <f t="shared" si="22"/>
        <v>0.99104076379214556</v>
      </c>
      <c r="J138" s="151">
        <f t="shared" si="9"/>
        <v>0.98268978745510438</v>
      </c>
      <c r="K138" s="151">
        <f t="shared" si="10"/>
        <v>0.96741831749893081</v>
      </c>
      <c r="L138" s="151">
        <f t="shared" si="11"/>
        <v>0.94018822161683657</v>
      </c>
      <c r="M138" s="151">
        <f t="shared" si="12"/>
        <v>0.86254107329403562</v>
      </c>
      <c r="N138" s="152">
        <f t="shared" si="13"/>
        <v>15490.967019161446</v>
      </c>
      <c r="O138" s="153">
        <f t="shared" si="14"/>
        <v>-11.39123838865271</v>
      </c>
      <c r="P138" s="154">
        <f t="shared" si="15"/>
        <v>6.9903304241631187E-2</v>
      </c>
      <c r="Q138" s="155">
        <f t="shared" si="16"/>
        <v>4.6480886484337718E-3</v>
      </c>
      <c r="R138" s="158">
        <f t="shared" si="23"/>
        <v>129.2994822532751</v>
      </c>
      <c r="S138" s="158">
        <f t="shared" si="17"/>
        <v>-1470.2635101483179</v>
      </c>
      <c r="T138" s="158">
        <f t="shared" si="18"/>
        <v>16718.356110965004</v>
      </c>
      <c r="U138"/>
      <c r="V138" s="77">
        <v>-23.09333247874747</v>
      </c>
      <c r="W138" s="19">
        <f t="shared" si="19"/>
        <v>2.1831222822935582E-2</v>
      </c>
      <c r="X138" s="22">
        <f>+SUM($W$129:W138)</f>
        <v>0.11018541473094295</v>
      </c>
      <c r="Y138" s="3"/>
      <c r="Z138" s="8">
        <f t="shared" si="24"/>
        <v>-4.3477473010274466</v>
      </c>
      <c r="AA138" s="8">
        <f t="shared" si="27"/>
        <v>-8.6954946020548949</v>
      </c>
      <c r="AB138" s="46">
        <f t="shared" si="25"/>
        <v>0.18409588997029719</v>
      </c>
      <c r="AC138" s="3"/>
      <c r="AD138" s="3"/>
      <c r="AH138" s="3"/>
      <c r="AI138" s="3"/>
      <c r="AJ138" s="3"/>
      <c r="AK138" s="3"/>
      <c r="AL138" s="3"/>
      <c r="AM138" s="3"/>
      <c r="AN138" s="3"/>
      <c r="AO138" s="3"/>
      <c r="AP138" s="3"/>
      <c r="AQ138" s="3"/>
      <c r="AR138" s="3"/>
      <c r="AS138" s="3"/>
      <c r="AT138" s="3"/>
      <c r="AU138" s="106">
        <f t="shared" si="20"/>
        <v>0.42074029056089701</v>
      </c>
      <c r="AV138" s="105">
        <f t="shared" si="26"/>
        <v>0.14648717281082341</v>
      </c>
      <c r="AW138" s="106">
        <f t="shared" si="21"/>
        <v>0.43463647965703744</v>
      </c>
      <c r="AX138" s="105">
        <f t="shared" si="28"/>
        <v>0.12389374728255464</v>
      </c>
      <c r="AY138" s="3"/>
      <c r="AZ138" s="3"/>
      <c r="BA138" s="3"/>
      <c r="BB138" s="3"/>
      <c r="BC138" s="3"/>
      <c r="BD138" s="3"/>
      <c r="BE138" s="3"/>
      <c r="BF138" s="3"/>
      <c r="BG138" s="3"/>
      <c r="BH138" s="3"/>
      <c r="BI138" s="3"/>
      <c r="BJ138" s="3"/>
    </row>
    <row r="139" spans="2:62" s="14" customFormat="1" ht="20" customHeight="1" x14ac:dyDescent="0.35">
      <c r="B139" s="146">
        <f t="shared" si="8"/>
        <v>42</v>
      </c>
      <c r="C139" s="147">
        <f>+'ZCB rates'!B197</f>
        <v>45180</v>
      </c>
      <c r="D139" s="148">
        <f>+'ZCB rates'!M197</f>
        <v>-2.0234050000000507E-4</v>
      </c>
      <c r="E139" s="149">
        <f>+'ZCB rates'!N197</f>
        <v>-3.7019200000007756E-4</v>
      </c>
      <c r="F139" s="149">
        <f>+'ZCB rates'!O197</f>
        <v>-7.6631200000005627E-4</v>
      </c>
      <c r="G139" s="149">
        <f>+'ZCB rates'!P197</f>
        <v>-1.5848840000000791E-3</v>
      </c>
      <c r="H139" s="150">
        <f>+'ZCB rates'!Q197</f>
        <v>-3.0254500000001338E-3</v>
      </c>
      <c r="I139" s="151">
        <f t="shared" si="22"/>
        <v>0.99088043627701572</v>
      </c>
      <c r="J139" s="151">
        <f t="shared" si="9"/>
        <v>0.98242500002978184</v>
      </c>
      <c r="K139" s="151">
        <f t="shared" si="10"/>
        <v>0.96688701799718058</v>
      </c>
      <c r="L139" s="151">
        <f t="shared" si="11"/>
        <v>0.93921224152645733</v>
      </c>
      <c r="M139" s="151">
        <f t="shared" si="12"/>
        <v>0.86216419070574513</v>
      </c>
      <c r="N139" s="152">
        <f t="shared" ref="N139:N167" si="29">+SUMPRODUCT(I139:M139,$C$113:$G$113)</f>
        <v>15476.327132963881</v>
      </c>
      <c r="O139" s="153">
        <f t="shared" ref="O139:O167" si="30">+N139-$G$117</f>
        <v>-26.031124586217629</v>
      </c>
      <c r="P139" s="154">
        <f t="shared" si="15"/>
        <v>7.436521727833105E-2</v>
      </c>
      <c r="Q139" s="155">
        <f t="shared" si="16"/>
        <v>4.9447751579082683E-3</v>
      </c>
      <c r="R139" s="158">
        <f t="shared" si="23"/>
        <v>676.56583765333471</v>
      </c>
      <c r="S139" s="158">
        <f t="shared" si="17"/>
        <v>-17598.072285705024</v>
      </c>
      <c r="T139" s="158">
        <f t="shared" si="18"/>
        <v>457741.33267955849</v>
      </c>
      <c r="U139"/>
      <c r="V139" s="77">
        <v>-20.162933679803245</v>
      </c>
      <c r="W139" s="19">
        <f t="shared" si="19"/>
        <v>4.5871592666633862E-2</v>
      </c>
      <c r="X139" s="22">
        <f>+SUM($W$129:W139)</f>
        <v>0.15605700739757683</v>
      </c>
      <c r="Y139" s="3"/>
      <c r="Z139" s="8">
        <f t="shared" si="24"/>
        <v>4.3477473010274501</v>
      </c>
      <c r="AA139" s="8">
        <f>+AVERAGE(Z138:Z139)</f>
        <v>0</v>
      </c>
      <c r="AB139" s="46">
        <f t="shared" si="25"/>
        <v>0.18062812491775765</v>
      </c>
      <c r="AC139" s="3"/>
      <c r="AD139" s="3"/>
      <c r="AH139" s="3"/>
      <c r="AI139" s="3"/>
      <c r="AJ139" s="3"/>
      <c r="AK139" s="3"/>
      <c r="AL139" s="3"/>
      <c r="AM139" s="3"/>
      <c r="AN139" s="3"/>
      <c r="AO139" s="3"/>
      <c r="AP139" s="3"/>
      <c r="AQ139" s="3"/>
      <c r="AR139" s="3"/>
      <c r="AS139" s="3"/>
      <c r="AT139" s="3"/>
      <c r="AU139" s="106">
        <f t="shared" si="20"/>
        <v>0.5792597094391031</v>
      </c>
      <c r="AV139" s="105">
        <f t="shared" si="26"/>
        <v>0.15851941887820609</v>
      </c>
      <c r="AW139" s="106">
        <f t="shared" si="21"/>
        <v>0.56536352034296256</v>
      </c>
      <c r="AX139" s="105">
        <f t="shared" si="28"/>
        <v>0.13072704068592511</v>
      </c>
      <c r="AY139" s="3"/>
      <c r="AZ139" s="3"/>
      <c r="BA139" s="3"/>
      <c r="BB139" s="3"/>
      <c r="BC139" s="3"/>
      <c r="BD139" s="3"/>
      <c r="BE139" s="3"/>
      <c r="BF139" s="3"/>
      <c r="BG139" s="3"/>
      <c r="BH139" s="3"/>
      <c r="BI139" s="3"/>
      <c r="BJ139" s="3"/>
    </row>
    <row r="140" spans="2:62" s="14" customFormat="1" ht="20" customHeight="1" x14ac:dyDescent="0.35">
      <c r="B140" s="146">
        <f t="shared" si="8"/>
        <v>41</v>
      </c>
      <c r="C140" s="147">
        <f>+'ZCB rates'!B198</f>
        <v>45187</v>
      </c>
      <c r="D140" s="148">
        <f>+'ZCB rates'!M198</f>
        <v>-1.7009900000004139E-4</v>
      </c>
      <c r="E140" s="149">
        <f>+'ZCB rates'!N198</f>
        <v>-3.3436499999989585E-4</v>
      </c>
      <c r="F140" s="149">
        <f>+'ZCB rates'!O198</f>
        <v>-7.6204799999998957E-4</v>
      </c>
      <c r="G140" s="149">
        <f>+'ZCB rates'!P198</f>
        <v>-1.779571999999896E-3</v>
      </c>
      <c r="H140" s="150">
        <f>+'ZCB rates'!Q198</f>
        <v>-4.6500999999999661E-3</v>
      </c>
      <c r="I140" s="151">
        <f t="shared" si="22"/>
        <v>0.99091238426362471</v>
      </c>
      <c r="J140" s="151">
        <f t="shared" si="9"/>
        <v>0.98246019800077322</v>
      </c>
      <c r="K140" s="151">
        <f t="shared" si="10"/>
        <v>0.96689114081221528</v>
      </c>
      <c r="L140" s="151">
        <f t="shared" si="11"/>
        <v>0.93902940597210083</v>
      </c>
      <c r="M140" s="151">
        <f t="shared" si="12"/>
        <v>0.86076461287322537</v>
      </c>
      <c r="N140" s="152">
        <f t="shared" si="29"/>
        <v>15471.231280957183</v>
      </c>
      <c r="O140" s="153">
        <f t="shared" si="30"/>
        <v>-31.126976592915526</v>
      </c>
      <c r="P140" s="154">
        <f t="shared" si="15"/>
        <v>7.9111933274820259E-2</v>
      </c>
      <c r="Q140" s="155">
        <f t="shared" si="16"/>
        <v>5.2603991041577317E-3</v>
      </c>
      <c r="R140" s="158">
        <f t="shared" ref="R140:R180" si="31">+(O140-$C$123)^2</f>
        <v>967.62872743769924</v>
      </c>
      <c r="S140" s="158">
        <f t="shared" si="17"/>
        <v>-30099.766748956026</v>
      </c>
      <c r="T140" s="158">
        <f t="shared" si="18"/>
        <v>936305.35416270129</v>
      </c>
      <c r="U140"/>
      <c r="V140" s="77">
        <v>-17.047441026565139</v>
      </c>
      <c r="W140" s="19">
        <f t="shared" si="19"/>
        <v>3.3665346371936931E-2</v>
      </c>
      <c r="X140" s="22">
        <f>+SUM($W$129:W140)</f>
        <v>0.18972235376951377</v>
      </c>
      <c r="Y140" s="3"/>
      <c r="Z140" s="8">
        <f t="shared" si="24"/>
        <v>13.043241903082347</v>
      </c>
      <c r="AA140" s="8">
        <f t="shared" si="27"/>
        <v>8.6954946020548984</v>
      </c>
      <c r="AB140" s="46">
        <f t="shared" si="25"/>
        <v>9.146476781267443E-2</v>
      </c>
      <c r="AC140" s="3"/>
      <c r="AD140" s="3"/>
      <c r="AH140" s="3"/>
      <c r="AI140" s="3"/>
      <c r="AJ140" s="3"/>
      <c r="AK140" s="3"/>
      <c r="AL140" s="3"/>
      <c r="AM140" s="3"/>
      <c r="AN140" s="3"/>
      <c r="AO140" s="3"/>
      <c r="AP140" s="3"/>
      <c r="AQ140" s="3"/>
      <c r="AR140" s="3"/>
      <c r="AS140" s="3"/>
      <c r="AT140" s="3"/>
      <c r="AU140" s="106">
        <f t="shared" si="20"/>
        <v>0.72574688224992645</v>
      </c>
      <c r="AV140" s="105">
        <f t="shared" si="26"/>
        <v>0.14648717281082335</v>
      </c>
      <c r="AW140" s="106">
        <f t="shared" si="21"/>
        <v>0.68925726762551731</v>
      </c>
      <c r="AX140" s="105">
        <f t="shared" si="28"/>
        <v>0.12389374728255476</v>
      </c>
      <c r="AY140" s="3"/>
      <c r="AZ140" s="3"/>
      <c r="BA140" s="3"/>
      <c r="BB140" s="3"/>
      <c r="BC140" s="3"/>
      <c r="BD140" s="3"/>
      <c r="BE140" s="3"/>
      <c r="BF140" s="3"/>
      <c r="BG140" s="3"/>
      <c r="BH140" s="3"/>
      <c r="BI140" s="3"/>
      <c r="BJ140" s="3"/>
    </row>
    <row r="141" spans="2:62" ht="20" customHeight="1" x14ac:dyDescent="0.35">
      <c r="B141" s="146">
        <f t="shared" si="8"/>
        <v>40</v>
      </c>
      <c r="C141" s="147">
        <f>+'ZCB rates'!B199</f>
        <v>45194</v>
      </c>
      <c r="D141" s="148">
        <f>+'ZCB rates'!M199</f>
        <v>1.3341000000000164E-5</v>
      </c>
      <c r="E141" s="149">
        <f>+'ZCB rates'!N199</f>
        <v>3.3976999999873382E-5</v>
      </c>
      <c r="F141" s="149">
        <f>+'ZCB rates'!O199</f>
        <v>-1.9415999999967171E-5</v>
      </c>
      <c r="G141" s="149">
        <f>+'ZCB rates'!P199</f>
        <v>-5.2893599999999049E-4</v>
      </c>
      <c r="H141" s="150">
        <f>+'ZCB rates'!Q199</f>
        <v>-4.0529599999999909E-3</v>
      </c>
      <c r="I141" s="151">
        <f t="shared" si="22"/>
        <v>0.99109417390463017</v>
      </c>
      <c r="J141" s="151">
        <f t="shared" si="9"/>
        <v>0.98282214601125972</v>
      </c>
      <c r="K141" s="151">
        <f t="shared" si="10"/>
        <v>0.96760945180124969</v>
      </c>
      <c r="L141" s="151">
        <f t="shared" si="11"/>
        <v>0.94020452462194604</v>
      </c>
      <c r="M141" s="151">
        <f t="shared" si="12"/>
        <v>0.86127876334878606</v>
      </c>
      <c r="N141" s="152">
        <f t="shared" si="29"/>
        <v>15489.027799560234</v>
      </c>
      <c r="O141" s="153">
        <f t="shared" si="30"/>
        <v>-13.330457989864954</v>
      </c>
      <c r="P141" s="154">
        <f t="shared" si="15"/>
        <v>8.4161631143425814E-2</v>
      </c>
      <c r="Q141" s="155">
        <f t="shared" si="16"/>
        <v>5.5961692597422683E-3</v>
      </c>
      <c r="R141" s="158">
        <f t="shared" si="31"/>
        <v>177.16176001296566</v>
      </c>
      <c r="S141" s="158">
        <f t="shared" si="17"/>
        <v>-2358.0606940614393</v>
      </c>
      <c r="T141" s="158">
        <f t="shared" si="18"/>
        <v>31386.289210891639</v>
      </c>
      <c r="U141"/>
      <c r="V141" s="77">
        <v>-16.413122493799165</v>
      </c>
      <c r="W141" s="19">
        <f t="shared" si="19"/>
        <v>3.5814198268018009E-2</v>
      </c>
      <c r="X141" s="22">
        <f>+SUM($W$129:W141)</f>
        <v>0.22553655203753178</v>
      </c>
      <c r="Z141" s="95">
        <f>+SQRT(C103)</f>
        <v>21.738736505137243</v>
      </c>
      <c r="AA141" s="8">
        <f t="shared" si="27"/>
        <v>17.390989204109793</v>
      </c>
      <c r="AB141" s="46">
        <f t="shared" si="25"/>
        <v>9.4731859310204683E-2</v>
      </c>
      <c r="AU141" s="106">
        <f t="shared" si="20"/>
        <v>0.84134474606854304</v>
      </c>
      <c r="AV141" s="105">
        <f t="shared" si="26"/>
        <v>0.11559786381861659</v>
      </c>
      <c r="AW141" s="106">
        <f t="shared" si="21"/>
        <v>0.79472048554915276</v>
      </c>
      <c r="AX141" s="105">
        <f t="shared" si="28"/>
        <v>0.10546321792363544</v>
      </c>
    </row>
    <row r="142" spans="2:62" ht="20" customHeight="1" x14ac:dyDescent="0.35">
      <c r="B142" s="146">
        <f t="shared" si="8"/>
        <v>39</v>
      </c>
      <c r="C142" s="147">
        <f>+'ZCB rates'!B200</f>
        <v>45201</v>
      </c>
      <c r="D142" s="148">
        <f>+'ZCB rates'!M200</f>
        <v>-1.168520000000145E-4</v>
      </c>
      <c r="E142" s="149">
        <f>+'ZCB rates'!N200</f>
        <v>-6.0600000000362797E-6</v>
      </c>
      <c r="F142" s="149">
        <f>+'ZCB rates'!O200</f>
        <v>3.0459600000004751E-4</v>
      </c>
      <c r="G142" s="149">
        <f>+'ZCB rates'!P200</f>
        <v>2.4326799999996898E-4</v>
      </c>
      <c r="H142" s="150">
        <f>+'ZCB rates'!Q200</f>
        <v>-3.1179400000000612E-3</v>
      </c>
      <c r="I142" s="151">
        <f t="shared" si="22"/>
        <v>0.99096514878011321</v>
      </c>
      <c r="J142" s="151">
        <f t="shared" si="9"/>
        <v>0.98278279754870246</v>
      </c>
      <c r="K142" s="151">
        <f t="shared" si="10"/>
        <v>0.96792301967207983</v>
      </c>
      <c r="L142" s="151">
        <f t="shared" si="11"/>
        <v>0.94093083471036343</v>
      </c>
      <c r="M142" s="151">
        <f t="shared" si="12"/>
        <v>0.86208445282728186</v>
      </c>
      <c r="N142" s="152">
        <f t="shared" si="29"/>
        <v>15500.77259114172</v>
      </c>
      <c r="O142" s="153">
        <f t="shared" si="30"/>
        <v>-1.585666408378529</v>
      </c>
      <c r="P142" s="154">
        <f t="shared" si="15"/>
        <v>8.9533650152580649E-2</v>
      </c>
      <c r="Q142" s="155">
        <f t="shared" si="16"/>
        <v>5.9533715529173064E-3</v>
      </c>
      <c r="R142" s="158">
        <f t="shared" si="31"/>
        <v>2.450543030568114</v>
      </c>
      <c r="S142" s="158">
        <f t="shared" si="17"/>
        <v>-3.8361316179843983</v>
      </c>
      <c r="T142" s="158">
        <f t="shared" si="18"/>
        <v>6.0051611446659559</v>
      </c>
      <c r="U142"/>
      <c r="V142" s="77">
        <v>-14.370536674930918</v>
      </c>
      <c r="W142" s="19">
        <f t="shared" si="19"/>
        <v>1.5060700909043316E-2</v>
      </c>
      <c r="X142" s="22">
        <f>+SUM($W$129:W142)</f>
        <v>0.24059725294657511</v>
      </c>
      <c r="Z142" s="8">
        <f t="shared" ref="Z142:Z148" si="32">+Z141+$Z$141/2.5</f>
        <v>30.43423110719214</v>
      </c>
      <c r="AA142" s="8">
        <f t="shared" si="27"/>
        <v>26.086483806164694</v>
      </c>
      <c r="AB142" s="46">
        <f t="shared" si="25"/>
        <v>8.1978024080619966E-2</v>
      </c>
      <c r="AU142" s="106">
        <f t="shared" si="20"/>
        <v>0.91924334076622893</v>
      </c>
      <c r="AV142" s="105">
        <f t="shared" si="26"/>
        <v>7.7898594697685897E-2</v>
      </c>
      <c r="AW142" s="106">
        <f t="shared" si="21"/>
        <v>0.87535474111109846</v>
      </c>
      <c r="AX142" s="105">
        <f t="shared" si="28"/>
        <v>8.06342555619457E-2</v>
      </c>
    </row>
    <row r="143" spans="2:62" ht="20" customHeight="1" x14ac:dyDescent="0.35">
      <c r="B143" s="146">
        <f t="shared" si="8"/>
        <v>38</v>
      </c>
      <c r="C143" s="147">
        <f>+'ZCB rates'!B201</f>
        <v>45208</v>
      </c>
      <c r="D143" s="148">
        <f>+'ZCB rates'!M201</f>
        <v>-6.3799999999971735E-5</v>
      </c>
      <c r="E143" s="149">
        <f>+'ZCB rates'!N201</f>
        <v>9.8378999999923375E-5</v>
      </c>
      <c r="F143" s="149">
        <f>+'ZCB rates'!O201</f>
        <v>4.7493800000001024E-4</v>
      </c>
      <c r="G143" s="149">
        <f>+'ZCB rates'!P201</f>
        <v>1.024112000000077E-3</v>
      </c>
      <c r="H143" s="150">
        <f>+'ZCB rates'!Q201</f>
        <v>4.399319999999934E-3</v>
      </c>
      <c r="I143" s="151">
        <f t="shared" si="22"/>
        <v>0.99101772285775402</v>
      </c>
      <c r="J143" s="151">
        <f t="shared" si="9"/>
        <v>0.98288544376133613</v>
      </c>
      <c r="K143" s="151">
        <f t="shared" si="10"/>
        <v>0.96808791165871344</v>
      </c>
      <c r="L143" s="151">
        <f t="shared" si="11"/>
        <v>0.94166584183266722</v>
      </c>
      <c r="M143" s="151">
        <f t="shared" si="12"/>
        <v>0.86858938480126247</v>
      </c>
      <c r="N143" s="152">
        <f t="shared" si="29"/>
        <v>15523.045426483219</v>
      </c>
      <c r="O143" s="153">
        <f t="shared" si="30"/>
        <v>20.68716893312012</v>
      </c>
      <c r="P143" s="154">
        <f t="shared" si="15"/>
        <v>9.5248563992107085E-2</v>
      </c>
      <c r="Q143" s="155">
        <f t="shared" si="16"/>
        <v>6.33337399246522E-3</v>
      </c>
      <c r="R143" s="158">
        <f t="shared" si="31"/>
        <v>428.79700707913088</v>
      </c>
      <c r="S143" s="158">
        <f t="shared" si="17"/>
        <v>8879.2772770913343</v>
      </c>
      <c r="T143" s="158">
        <f t="shared" si="18"/>
        <v>183866.87328002023</v>
      </c>
      <c r="U143"/>
      <c r="V143" s="77">
        <v>-13.330457989864954</v>
      </c>
      <c r="W143" s="19">
        <f t="shared" si="19"/>
        <v>5.5961692597422683E-3</v>
      </c>
      <c r="X143" s="22">
        <f>+SUM($W$129:W143)</f>
        <v>0.24619342220631737</v>
      </c>
      <c r="Z143" s="8">
        <f t="shared" si="32"/>
        <v>39.12972570924704</v>
      </c>
      <c r="AA143" s="8">
        <f t="shared" si="27"/>
        <v>34.781978408219587</v>
      </c>
      <c r="AB143" s="46">
        <f t="shared" si="25"/>
        <v>2.955388171837205E-2</v>
      </c>
      <c r="AU143" s="106">
        <f t="shared" si="20"/>
        <v>0.96406968088707423</v>
      </c>
      <c r="AV143" s="105">
        <f t="shared" si="26"/>
        <v>4.4826340120845298E-2</v>
      </c>
      <c r="AW143" s="106">
        <f t="shared" si="21"/>
        <v>0.93072848011824971</v>
      </c>
      <c r="AX143" s="105">
        <f t="shared" si="28"/>
        <v>5.5373739007151257E-2</v>
      </c>
    </row>
    <row r="144" spans="2:62" ht="20" customHeight="1" x14ac:dyDescent="0.35">
      <c r="B144" s="146">
        <f t="shared" si="8"/>
        <v>37</v>
      </c>
      <c r="C144" s="147">
        <f>+'ZCB rates'!B202</f>
        <v>45215</v>
      </c>
      <c r="D144" s="148">
        <f>+'ZCB rates'!M202</f>
        <v>4.0046000000005837E-5</v>
      </c>
      <c r="E144" s="149">
        <f>+'ZCB rates'!N202</f>
        <v>-4.6793999999980193E-5</v>
      </c>
      <c r="F144" s="149">
        <f>+'ZCB rates'!O202</f>
        <v>-4.4230199999993435E-4</v>
      </c>
      <c r="G144" s="149">
        <f>+'ZCB rates'!P202</f>
        <v>-1.4589279999999772E-3</v>
      </c>
      <c r="H144" s="150">
        <f>+'ZCB rates'!Q202</f>
        <v>-4.3072700000000574E-3</v>
      </c>
      <c r="I144" s="151">
        <f t="shared" si="22"/>
        <v>0.99112064142795031</v>
      </c>
      <c r="J144" s="151">
        <f t="shared" si="9"/>
        <v>0.98274276568956154</v>
      </c>
      <c r="K144" s="151">
        <f t="shared" si="10"/>
        <v>0.96720034981846248</v>
      </c>
      <c r="L144" s="151">
        <f t="shared" si="11"/>
        <v>0.93933054839412455</v>
      </c>
      <c r="M144" s="151">
        <f t="shared" si="12"/>
        <v>0.86105975939510682</v>
      </c>
      <c r="N144" s="152">
        <f t="shared" si="29"/>
        <v>15476.218451878856</v>
      </c>
      <c r="O144" s="153">
        <f t="shared" si="30"/>
        <v>-26.139805671242357</v>
      </c>
      <c r="P144" s="154">
        <f t="shared" si="15"/>
        <v>0.10132825956607136</v>
      </c>
      <c r="Q144" s="155">
        <f t="shared" si="16"/>
        <v>6.7376319068778931E-3</v>
      </c>
      <c r="R144" s="158">
        <f t="shared" si="31"/>
        <v>682.23143038312821</v>
      </c>
      <c r="S144" s="158">
        <f t="shared" si="17"/>
        <v>-17819.584985985708</v>
      </c>
      <c r="T144" s="158">
        <f t="shared" si="18"/>
        <v>465439.72460260912</v>
      </c>
      <c r="U144"/>
      <c r="V144" s="77">
        <v>-13.174263362983766</v>
      </c>
      <c r="W144" s="19">
        <f t="shared" si="19"/>
        <v>4.8799566666631766E-2</v>
      </c>
      <c r="X144" s="22">
        <f>+SUM($W$129:W144)</f>
        <v>0.29499298887294911</v>
      </c>
      <c r="Z144" s="8">
        <f t="shared" si="32"/>
        <v>47.825220311301933</v>
      </c>
      <c r="AA144" s="8">
        <f t="shared" si="27"/>
        <v>43.477473010274487</v>
      </c>
      <c r="AB144" s="46">
        <f t="shared" si="25"/>
        <v>1.0639387214495564E-2</v>
      </c>
      <c r="AU144" s="106">
        <f t="shared" si="20"/>
        <v>0.98609655248650141</v>
      </c>
      <c r="AV144" s="105">
        <f t="shared" si="26"/>
        <v>2.2026871599427178E-2</v>
      </c>
      <c r="AW144" s="106">
        <f t="shared" si="21"/>
        <v>0.96488330927303656</v>
      </c>
      <c r="AX144" s="105">
        <f t="shared" si="28"/>
        <v>3.4154829154786848E-2</v>
      </c>
    </row>
    <row r="145" spans="2:50" ht="20" customHeight="1" x14ac:dyDescent="0.35">
      <c r="B145" s="146">
        <f t="shared" si="8"/>
        <v>36</v>
      </c>
      <c r="C145" s="147">
        <f>+'ZCB rates'!B203</f>
        <v>45222</v>
      </c>
      <c r="D145" s="148">
        <f>+'ZCB rates'!M203</f>
        <v>-8.8548500000026849E-5</v>
      </c>
      <c r="E145" s="149">
        <f>+'ZCB rates'!N203</f>
        <v>7.3673000000027211E-5</v>
      </c>
      <c r="F145" s="149">
        <f>+'ZCB rates'!O203</f>
        <v>6.3129600000011974E-4</v>
      </c>
      <c r="G145" s="149">
        <f>+'ZCB rates'!P203</f>
        <v>1.4366200000000811E-3</v>
      </c>
      <c r="H145" s="150">
        <f>+'ZCB rates'!Q203</f>
        <v>1.5716399999999918E-3</v>
      </c>
      <c r="I145" s="151">
        <f t="shared" si="22"/>
        <v>0.99099319695913068</v>
      </c>
      <c r="J145" s="151">
        <f t="shared" si="9"/>
        <v>0.98286116089353015</v>
      </c>
      <c r="K145" s="151">
        <f t="shared" si="10"/>
        <v>0.96823929178284307</v>
      </c>
      <c r="L145" s="151">
        <f t="shared" si="11"/>
        <v>0.94205436665503928</v>
      </c>
      <c r="M145" s="151">
        <f t="shared" si="12"/>
        <v>0.86613676122118854</v>
      </c>
      <c r="N145" s="152">
        <f t="shared" si="29"/>
        <v>15524.02653671191</v>
      </c>
      <c r="O145" s="153">
        <f t="shared" si="30"/>
        <v>21.66827916181137</v>
      </c>
      <c r="P145" s="154">
        <f t="shared" si="15"/>
        <v>0.10779602081496954</v>
      </c>
      <c r="Q145" s="155">
        <f t="shared" si="16"/>
        <v>7.1676935179552058E-3</v>
      </c>
      <c r="R145" s="158">
        <f t="shared" si="31"/>
        <v>470.39209632306398</v>
      </c>
      <c r="S145" s="158">
        <f t="shared" si="17"/>
        <v>10202.110520196675</v>
      </c>
      <c r="T145" s="158">
        <f t="shared" si="18"/>
        <v>221268.72428320671</v>
      </c>
      <c r="U145"/>
      <c r="V145" s="77">
        <v>-11.699959590387152</v>
      </c>
      <c r="W145" s="19">
        <f t="shared" si="19"/>
        <v>2.0521349453559441E-2</v>
      </c>
      <c r="X145" s="22">
        <f>+SUM($W$129:W145)</f>
        <v>0.31551433832650855</v>
      </c>
      <c r="Z145" s="8">
        <f t="shared" si="32"/>
        <v>56.520714913356827</v>
      </c>
      <c r="AA145" s="8">
        <f t="shared" si="27"/>
        <v>52.17296761232938</v>
      </c>
      <c r="AB145" s="46">
        <f t="shared" si="25"/>
        <v>9.7665270923513146E-3</v>
      </c>
      <c r="AU145" s="106">
        <f t="shared" si="20"/>
        <v>0.99533881197628127</v>
      </c>
      <c r="AV145" s="105">
        <f t="shared" si="26"/>
        <v>9.2422594897798582E-3</v>
      </c>
      <c r="AW145" s="106">
        <f t="shared" si="21"/>
        <v>0.98380509872446231</v>
      </c>
      <c r="AX145" s="105">
        <f t="shared" si="28"/>
        <v>1.8921789451425752E-2</v>
      </c>
    </row>
    <row r="146" spans="2:50" ht="20" customHeight="1" x14ac:dyDescent="0.35">
      <c r="B146" s="146">
        <f t="shared" si="8"/>
        <v>35</v>
      </c>
      <c r="C146" s="147">
        <f>+'ZCB rates'!B204</f>
        <v>45229</v>
      </c>
      <c r="D146" s="148">
        <f>+'ZCB rates'!M204</f>
        <v>-9.9949999998978817E-6</v>
      </c>
      <c r="E146" s="149">
        <f>+'ZCB rates'!N204</f>
        <v>2.1358849999980449E-4</v>
      </c>
      <c r="F146" s="149">
        <f>+'ZCB rates'!O204</f>
        <v>9.5639499999984005E-4</v>
      </c>
      <c r="G146" s="149">
        <f>+'ZCB rates'!P204</f>
        <v>2.547300999999955E-3</v>
      </c>
      <c r="H146" s="150">
        <f>+'ZCB rates'!Q204</f>
        <v>6.5319975000000087E-3</v>
      </c>
      <c r="I146" s="151">
        <f t="shared" si="22"/>
        <v>0.9910710460008455</v>
      </c>
      <c r="J146" s="151">
        <f t="shared" si="9"/>
        <v>0.98299868802515133</v>
      </c>
      <c r="K146" s="151">
        <f t="shared" si="10"/>
        <v>0.96855411658020263</v>
      </c>
      <c r="L146" s="151">
        <f t="shared" si="11"/>
        <v>0.94310126982115494</v>
      </c>
      <c r="M146" s="151">
        <f t="shared" si="12"/>
        <v>0.87044378255228172</v>
      </c>
      <c r="N146" s="152">
        <f t="shared" si="29"/>
        <v>15546.698644095342</v>
      </c>
      <c r="O146" s="153">
        <f t="shared" si="30"/>
        <v>44.340386545243746</v>
      </c>
      <c r="P146" s="154">
        <f t="shared" si="15"/>
        <v>0.11467661788826546</v>
      </c>
      <c r="Q146" s="155">
        <f t="shared" si="16"/>
        <v>7.6252058701651122E-3</v>
      </c>
      <c r="R146" s="158">
        <f t="shared" si="31"/>
        <v>1967.8656638299108</v>
      </c>
      <c r="S146" s="158">
        <f t="shared" si="17"/>
        <v>87295.764369812969</v>
      </c>
      <c r="T146" s="158">
        <f t="shared" si="18"/>
        <v>3872495.2708807355</v>
      </c>
      <c r="U146"/>
      <c r="V146" s="77">
        <v>-11.39123838865271</v>
      </c>
      <c r="W146" s="19">
        <f t="shared" si="19"/>
        <v>4.6480886484337718E-3</v>
      </c>
      <c r="X146" s="22">
        <f>+SUM($W$129:W146)</f>
        <v>0.32016242697494229</v>
      </c>
      <c r="Z146" s="8">
        <f t="shared" si="32"/>
        <v>65.21620951541172</v>
      </c>
      <c r="AA146" s="8">
        <f t="shared" si="27"/>
        <v>60.868462214384273</v>
      </c>
      <c r="AB146" s="46">
        <f t="shared" si="25"/>
        <v>1.1758626571606624E-2</v>
      </c>
      <c r="AU146" s="106">
        <f t="shared" si="20"/>
        <v>0.9986501019683699</v>
      </c>
      <c r="AV146" s="105">
        <f t="shared" si="26"/>
        <v>3.3112899920886285E-3</v>
      </c>
      <c r="AW146" s="106">
        <f t="shared" si="21"/>
        <v>0.99322034047899388</v>
      </c>
      <c r="AX146" s="105">
        <f t="shared" si="28"/>
        <v>9.415241754531567E-3</v>
      </c>
    </row>
    <row r="147" spans="2:50" ht="20" customHeight="1" x14ac:dyDescent="0.35">
      <c r="B147" s="146">
        <f t="shared" si="8"/>
        <v>34</v>
      </c>
      <c r="C147" s="147">
        <f>+'ZCB rates'!B205</f>
        <v>45236</v>
      </c>
      <c r="D147" s="148">
        <f>+'ZCB rates'!M205</f>
        <v>2.5463999999955936E-5</v>
      </c>
      <c r="E147" s="149">
        <f>+'ZCB rates'!N205</f>
        <v>-1.1304999999166996E-6</v>
      </c>
      <c r="F147" s="149">
        <f>+'ZCB rates'!O205</f>
        <v>-8.7766999999960618E-5</v>
      </c>
      <c r="G147" s="149">
        <f>+'ZCB rates'!P205</f>
        <v>8.7709999999720661E-6</v>
      </c>
      <c r="H147" s="150">
        <f>+'ZCB rates'!Q205</f>
        <v>2.7716724999999687E-3</v>
      </c>
      <c r="I147" s="151">
        <f t="shared" si="22"/>
        <v>0.99110618901212977</v>
      </c>
      <c r="J147" s="151">
        <f t="shared" si="9"/>
        <v>0.98278764218844383</v>
      </c>
      <c r="K147" s="151">
        <f t="shared" si="10"/>
        <v>0.96754331698782559</v>
      </c>
      <c r="L147" s="151">
        <f t="shared" si="11"/>
        <v>0.94071021512074326</v>
      </c>
      <c r="M147" s="151">
        <f t="shared" si="12"/>
        <v>0.86717677738588916</v>
      </c>
      <c r="N147" s="152">
        <f t="shared" si="29"/>
        <v>15506.825799988412</v>
      </c>
      <c r="O147" s="153">
        <f t="shared" si="30"/>
        <v>4.467542438313103</v>
      </c>
      <c r="P147" s="154">
        <f t="shared" si="15"/>
        <v>0.12199640200879305</v>
      </c>
      <c r="Q147" s="155">
        <f t="shared" si="16"/>
        <v>8.1119211384735237E-3</v>
      </c>
      <c r="R147" s="158">
        <f t="shared" si="31"/>
        <v>20.140239403355885</v>
      </c>
      <c r="S147" s="158">
        <f t="shared" si="17"/>
        <v>90.385120830495552</v>
      </c>
      <c r="T147" s="158">
        <f t="shared" si="18"/>
        <v>405.62924322448902</v>
      </c>
      <c r="U147"/>
      <c r="V147" s="77">
        <v>-10.821853257648399</v>
      </c>
      <c r="W147" s="19">
        <f t="shared" si="19"/>
        <v>2.6284184167929527E-2</v>
      </c>
      <c r="X147" s="22">
        <f>+SUM($W$129:W147)</f>
        <v>0.34644661114287184</v>
      </c>
      <c r="Z147" s="8">
        <f t="shared" si="32"/>
        <v>73.911704117466613</v>
      </c>
      <c r="AA147" s="8">
        <f t="shared" si="27"/>
        <v>69.563956816439173</v>
      </c>
      <c r="AB147" s="46">
        <f t="shared" si="25"/>
        <v>1.0389922438671612E-2</v>
      </c>
      <c r="AU147" s="106">
        <f t="shared" si="20"/>
        <v>0.99966307073432314</v>
      </c>
      <c r="AV147" s="105">
        <f t="shared" si="26"/>
        <v>1.0129687659532483E-3</v>
      </c>
      <c r="AW147" s="106">
        <f t="shared" si="21"/>
        <v>0.99742815747646907</v>
      </c>
      <c r="AX147" s="105">
        <f t="shared" si="28"/>
        <v>4.2078169974751889E-3</v>
      </c>
    </row>
    <row r="148" spans="2:50" ht="20" customHeight="1" x14ac:dyDescent="0.35">
      <c r="B148" s="146">
        <f t="shared" si="8"/>
        <v>33</v>
      </c>
      <c r="C148" s="147">
        <f>+'ZCB rates'!B206</f>
        <v>45243</v>
      </c>
      <c r="D148" s="148">
        <f>+'ZCB rates'!M206</f>
        <v>-5.2641000000000061E-5</v>
      </c>
      <c r="E148" s="149">
        <f>+'ZCB rates'!N206</f>
        <v>7.709200000004204E-5</v>
      </c>
      <c r="F148" s="149">
        <f>+'ZCB rates'!O206</f>
        <v>3.5280000000007211E-4</v>
      </c>
      <c r="G148" s="149">
        <f>+'ZCB rates'!P206</f>
        <v>6.7929200000010567E-4</v>
      </c>
      <c r="H148" s="150">
        <f>+'ZCB rates'!Q206</f>
        <v>3.5069200000000188E-3</v>
      </c>
      <c r="I148" s="151">
        <f t="shared" si="22"/>
        <v>0.99102878168622599</v>
      </c>
      <c r="J148" s="151">
        <f t="shared" si="9"/>
        <v>0.98286452130158397</v>
      </c>
      <c r="K148" s="151">
        <f t="shared" si="10"/>
        <v>0.96796967855788363</v>
      </c>
      <c r="L148" s="151">
        <f t="shared" si="11"/>
        <v>0.94134119259307869</v>
      </c>
      <c r="M148" s="151">
        <f t="shared" si="12"/>
        <v>0.86781460139404054</v>
      </c>
      <c r="N148" s="152">
        <f t="shared" si="29"/>
        <v>15517.037405914798</v>
      </c>
      <c r="O148" s="153">
        <f t="shared" si="30"/>
        <v>14.679148364699358</v>
      </c>
      <c r="P148" s="154">
        <f t="shared" si="15"/>
        <v>0.12978340639233304</v>
      </c>
      <c r="Q148" s="155">
        <f t="shared" si="16"/>
        <v>8.6297033388016229E-3</v>
      </c>
      <c r="R148" s="158">
        <f t="shared" si="31"/>
        <v>216.07217613795225</v>
      </c>
      <c r="S148" s="158">
        <f t="shared" si="17"/>
        <v>3176.1299919462967</v>
      </c>
      <c r="T148" s="158">
        <f t="shared" si="18"/>
        <v>46687.185300990262</v>
      </c>
      <c r="U148"/>
      <c r="V148" s="77">
        <v>-9.8032568465914665</v>
      </c>
      <c r="W148" s="19">
        <f t="shared" si="19"/>
        <v>3.1645425589620711E-2</v>
      </c>
      <c r="X148" s="22">
        <f>+SUM($W$129:W148)</f>
        <v>0.37809203673249253</v>
      </c>
      <c r="Z148" s="8">
        <f t="shared" si="32"/>
        <v>82.607198719521506</v>
      </c>
      <c r="AA148" s="8">
        <f t="shared" si="27"/>
        <v>78.259451418494052</v>
      </c>
      <c r="AB148" s="46">
        <f t="shared" si="25"/>
        <v>0</v>
      </c>
      <c r="AU148" s="106">
        <f t="shared" si="20"/>
        <v>0.99992765195607491</v>
      </c>
      <c r="AV148" s="105">
        <f t="shared" si="26"/>
        <v>2.6458122175176957E-4</v>
      </c>
      <c r="AW148" s="106">
        <f t="shared" si="21"/>
        <v>0.99911717748875462</v>
      </c>
      <c r="AX148" s="105">
        <f t="shared" si="28"/>
        <v>1.689020012285547E-3</v>
      </c>
    </row>
    <row r="149" spans="2:50" ht="20" customHeight="1" x14ac:dyDescent="0.35">
      <c r="B149" s="146">
        <f t="shared" si="8"/>
        <v>32</v>
      </c>
      <c r="C149" s="147">
        <f>+'ZCB rates'!B207</f>
        <v>45250</v>
      </c>
      <c r="D149" s="148">
        <f>+'ZCB rates'!M207</f>
        <v>1.2330499999974901E-5</v>
      </c>
      <c r="E149" s="149">
        <f>+'ZCB rates'!N207</f>
        <v>5.9284999999967575E-5</v>
      </c>
      <c r="F149" s="149">
        <f>+'ZCB rates'!O207</f>
        <v>1.6340799999997686E-4</v>
      </c>
      <c r="G149" s="149">
        <f>+'ZCB rates'!P207</f>
        <v>3.5425599999994211E-4</v>
      </c>
      <c r="H149" s="150">
        <f>+'ZCB rates'!Q207</f>
        <v>1.921400000000024E-3</v>
      </c>
      <c r="I149" s="151">
        <f t="shared" si="22"/>
        <v>0.99109317240447337</v>
      </c>
      <c r="J149" s="151">
        <f t="shared" si="9"/>
        <v>0.98284701958887999</v>
      </c>
      <c r="K149" s="151">
        <f t="shared" si="10"/>
        <v>0.96778637020363789</v>
      </c>
      <c r="L149" s="151">
        <f t="shared" si="11"/>
        <v>0.94103527253741182</v>
      </c>
      <c r="M149" s="151">
        <f t="shared" si="12"/>
        <v>0.86643975419911645</v>
      </c>
      <c r="N149" s="152">
        <f t="shared" si="29"/>
        <v>15510.150667820018</v>
      </c>
      <c r="O149" s="153">
        <f t="shared" si="30"/>
        <v>7.7924102699198556</v>
      </c>
      <c r="P149" s="154">
        <f t="shared" si="15"/>
        <v>0.13806745360886494</v>
      </c>
      <c r="Q149" s="155">
        <f t="shared" si="16"/>
        <v>9.1805354668102364E-3</v>
      </c>
      <c r="R149" s="158">
        <f t="shared" si="31"/>
        <v>61.03758813215078</v>
      </c>
      <c r="S149" s="158">
        <f t="shared" si="17"/>
        <v>476.86565710595198</v>
      </c>
      <c r="T149" s="158">
        <f t="shared" si="18"/>
        <v>3725.5871649900737</v>
      </c>
      <c r="U149"/>
      <c r="V149" s="77">
        <v>-9.0607360589092423</v>
      </c>
      <c r="W149" s="19">
        <f t="shared" si="19"/>
        <v>2.9746700054243468E-2</v>
      </c>
      <c r="X149" s="22">
        <f>+SUM($W$129:W149)</f>
        <v>0.40783873678673599</v>
      </c>
      <c r="Z149"/>
      <c r="AA149"/>
      <c r="AB149"/>
    </row>
    <row r="150" spans="2:50" ht="20" customHeight="1" x14ac:dyDescent="0.35">
      <c r="B150" s="146">
        <f t="shared" si="8"/>
        <v>31</v>
      </c>
      <c r="C150" s="147">
        <f>+'ZCB rates'!B208</f>
        <v>45257</v>
      </c>
      <c r="D150" s="148">
        <f>+'ZCB rates'!M208</f>
        <v>2.738549999995732E-5</v>
      </c>
      <c r="E150" s="149">
        <f>+'ZCB rates'!N208</f>
        <v>2.0388500000006492E-4</v>
      </c>
      <c r="F150" s="149">
        <f>+'ZCB rates'!O208</f>
        <v>8.6153199999987828E-4</v>
      </c>
      <c r="G150" s="149">
        <f>+'ZCB rates'!P208</f>
        <v>2.7276199999999849E-3</v>
      </c>
      <c r="H150" s="150">
        <f>+'ZCB rates'!Q208</f>
        <v>7.4220499999999162E-3</v>
      </c>
      <c r="I150" s="151">
        <f t="shared" si="22"/>
        <v>0.99110809342450168</v>
      </c>
      <c r="J150" s="151">
        <f t="shared" si="9"/>
        <v>0.98298914954366068</v>
      </c>
      <c r="K150" s="151">
        <f t="shared" si="10"/>
        <v>0.96846224098890754</v>
      </c>
      <c r="L150" s="151">
        <f t="shared" si="11"/>
        <v>0.9432713442323909</v>
      </c>
      <c r="M150" s="151">
        <f t="shared" si="12"/>
        <v>0.87121886809929805</v>
      </c>
      <c r="N150" s="152">
        <f t="shared" si="29"/>
        <v>15550.426046347295</v>
      </c>
      <c r="O150" s="153">
        <f t="shared" si="30"/>
        <v>48.067788797196044</v>
      </c>
      <c r="P150" s="154">
        <f t="shared" si="15"/>
        <v>0.14688026979666483</v>
      </c>
      <c r="Q150" s="155">
        <f t="shared" si="16"/>
        <v>9.7665270923513146E-3</v>
      </c>
      <c r="R150" s="158">
        <f t="shared" si="31"/>
        <v>2312.4590299680349</v>
      </c>
      <c r="S150" s="158">
        <f t="shared" si="17"/>
        <v>111201.6088410025</v>
      </c>
      <c r="T150" s="158">
        <f t="shared" si="18"/>
        <v>5347466.7652807049</v>
      </c>
      <c r="U150"/>
      <c r="V150" s="77">
        <v>-5.0591982825571904</v>
      </c>
      <c r="W150" s="19">
        <f t="shared" si="19"/>
        <v>5.5228119812847178E-2</v>
      </c>
      <c r="X150" s="22">
        <f>+SUM($W$129:W150)</f>
        <v>0.46306685659958319</v>
      </c>
      <c r="Z150"/>
      <c r="AA150"/>
      <c r="AB150"/>
      <c r="AC150"/>
    </row>
    <row r="151" spans="2:50" ht="20" customHeight="1" x14ac:dyDescent="0.35">
      <c r="B151" s="146">
        <f t="shared" si="8"/>
        <v>30</v>
      </c>
      <c r="C151" s="147">
        <f>+'ZCB rates'!B209</f>
        <v>45264</v>
      </c>
      <c r="D151" s="148">
        <f>+'ZCB rates'!M209</f>
        <v>1.5913199999990948E-4</v>
      </c>
      <c r="E151" s="149">
        <f>+'ZCB rates'!N209</f>
        <v>4.6810700000007459E-4</v>
      </c>
      <c r="F151" s="149">
        <f>+'ZCB rates'!O209</f>
        <v>1.4070080000001613E-3</v>
      </c>
      <c r="G151" s="149">
        <f>+'ZCB rates'!P209</f>
        <v>3.9532959999999968E-3</v>
      </c>
      <c r="H151" s="150">
        <f>+'ZCB rates'!Q209</f>
        <v>1.1784100000000092E-2</v>
      </c>
      <c r="I151" s="151">
        <f t="shared" si="22"/>
        <v>0.99123867704871083</v>
      </c>
      <c r="J151" s="151">
        <f t="shared" si="9"/>
        <v>0.98324891121859481</v>
      </c>
      <c r="K151" s="151">
        <f t="shared" si="10"/>
        <v>0.96899065800457129</v>
      </c>
      <c r="L151" s="151">
        <f t="shared" si="11"/>
        <v>0.94442819809968792</v>
      </c>
      <c r="M151" s="151">
        <f t="shared" si="12"/>
        <v>0.87502746897761674</v>
      </c>
      <c r="N151" s="152">
        <f t="shared" si="29"/>
        <v>15573.872137311129</v>
      </c>
      <c r="O151" s="153">
        <f t="shared" si="30"/>
        <v>71.513879761030694</v>
      </c>
      <c r="P151" s="154">
        <f t="shared" si="15"/>
        <v>0.15625560616666473</v>
      </c>
      <c r="Q151" s="155">
        <f t="shared" si="16"/>
        <v>1.0389922438671612E-2</v>
      </c>
      <c r="R151" s="158">
        <f t="shared" si="31"/>
        <v>5117.1310581170992</v>
      </c>
      <c r="S151" s="158">
        <f t="shared" si="17"/>
        <v>366049.49341805093</v>
      </c>
      <c r="T151" s="158">
        <f t="shared" si="18"/>
        <v>26185030.265946623</v>
      </c>
      <c r="U151"/>
      <c r="V151" s="77">
        <v>-4.574503906944301</v>
      </c>
      <c r="W151" s="19">
        <f t="shared" si="19"/>
        <v>1.60220222436631E-2</v>
      </c>
      <c r="X151" s="22">
        <f>+SUM($W$129:W151)</f>
        <v>0.4790888788432463</v>
      </c>
      <c r="Z151"/>
      <c r="AA151"/>
      <c r="AB151"/>
      <c r="AC151"/>
    </row>
    <row r="152" spans="2:50" ht="20" customHeight="1" x14ac:dyDescent="0.35">
      <c r="B152" s="146">
        <f t="shared" ref="B152:B179" si="33">+B153+1</f>
        <v>29</v>
      </c>
      <c r="C152" s="147">
        <f>+'ZCB rates'!B210</f>
        <v>45271</v>
      </c>
      <c r="D152" s="148">
        <f>+'ZCB rates'!M210</f>
        <v>-5.3787999999987681E-5</v>
      </c>
      <c r="E152" s="149">
        <f>+'ZCB rates'!N210</f>
        <v>-6.7275999999985185E-5</v>
      </c>
      <c r="F152" s="149">
        <f>+'ZCB rates'!O210</f>
        <v>6.5000000000762749E-6</v>
      </c>
      <c r="G152" s="149">
        <f>+'ZCB rates'!P210</f>
        <v>4.5135200000003412E-4</v>
      </c>
      <c r="H152" s="150">
        <f>+'ZCB rates'!Q210</f>
        <v>3.0416799999999386E-3</v>
      </c>
      <c r="I152" s="151">
        <f t="shared" si="22"/>
        <v>0.99102764497686535</v>
      </c>
      <c r="J152" s="151">
        <f t="shared" si="9"/>
        <v>0.98272263735836962</v>
      </c>
      <c r="K152" s="151">
        <f t="shared" si="10"/>
        <v>0.96763452869274746</v>
      </c>
      <c r="L152" s="151">
        <f t="shared" si="11"/>
        <v>0.94112664773424537</v>
      </c>
      <c r="M152" s="151">
        <f t="shared" si="12"/>
        <v>0.86741095323280393</v>
      </c>
      <c r="N152" s="152">
        <f t="shared" si="29"/>
        <v>15513.07729511748</v>
      </c>
      <c r="O152" s="153">
        <f t="shared" si="30"/>
        <v>10.719037567381747</v>
      </c>
      <c r="P152" s="154">
        <f t="shared" si="15"/>
        <v>0.16622936826240925</v>
      </c>
      <c r="Q152" s="155">
        <f t="shared" si="16"/>
        <v>1.1053108977310225E-2</v>
      </c>
      <c r="R152" s="158">
        <f t="shared" si="31"/>
        <v>115.33219798739151</v>
      </c>
      <c r="S152" s="158">
        <f t="shared" si="17"/>
        <v>1238.5851058599524</v>
      </c>
      <c r="T152" s="158">
        <f t="shared" si="18"/>
        <v>13301.515892602874</v>
      </c>
      <c r="U152"/>
      <c r="V152" s="77">
        <v>-4.2013057686781394</v>
      </c>
      <c r="W152" s="19">
        <f t="shared" si="19"/>
        <v>4.3119297106635826E-2</v>
      </c>
      <c r="X152" s="22">
        <f>+SUM($W$129:W152)</f>
        <v>0.52220817594988211</v>
      </c>
      <c r="Z152"/>
      <c r="AA152"/>
      <c r="AB152"/>
      <c r="AC152"/>
    </row>
    <row r="153" spans="2:50" ht="20" customHeight="1" x14ac:dyDescent="0.35">
      <c r="B153" s="146">
        <f t="shared" si="33"/>
        <v>28</v>
      </c>
      <c r="C153" s="147">
        <f>+'ZCB rates'!B211</f>
        <v>45278</v>
      </c>
      <c r="D153" s="148">
        <f>+'ZCB rates'!M211</f>
        <v>-5.7866000000038392E-5</v>
      </c>
      <c r="E153" s="149">
        <f>+'ZCB rates'!N211</f>
        <v>1.4634000000008138E-4</v>
      </c>
      <c r="F153" s="149">
        <f>+'ZCB rates'!O211</f>
        <v>1.0525419999999023E-3</v>
      </c>
      <c r="G153" s="149">
        <f>+'ZCB rates'!P211</f>
        <v>3.6439879999998676E-3</v>
      </c>
      <c r="H153" s="150">
        <f>+'ZCB rates'!Q211</f>
        <v>1.0464220000000069E-2</v>
      </c>
      <c r="I153" s="151">
        <f t="shared" si="22"/>
        <v>0.99102360357436947</v>
      </c>
      <c r="J153" s="151">
        <f t="shared" si="9"/>
        <v>0.98293258506056747</v>
      </c>
      <c r="K153" s="151">
        <f t="shared" si="10"/>
        <v>0.96864724462976914</v>
      </c>
      <c r="L153" s="151">
        <f t="shared" si="11"/>
        <v>0.94413612407533476</v>
      </c>
      <c r="M153" s="151">
        <f t="shared" si="12"/>
        <v>0.87387329957197513</v>
      </c>
      <c r="N153" s="152">
        <f t="shared" si="29"/>
        <v>15567.405128017086</v>
      </c>
      <c r="O153" s="153">
        <f t="shared" si="30"/>
        <v>65.046870466987457</v>
      </c>
      <c r="P153" s="154">
        <f t="shared" si="15"/>
        <v>0.17683975347064818</v>
      </c>
      <c r="Q153" s="155">
        <f t="shared" si="16"/>
        <v>1.1758626571606624E-2</v>
      </c>
      <c r="R153" s="158">
        <f t="shared" si="31"/>
        <v>4233.7295632121813</v>
      </c>
      <c r="S153" s="158">
        <f t="shared" si="17"/>
        <v>275476.57190771861</v>
      </c>
      <c r="T153" s="158">
        <f t="shared" si="18"/>
        <v>17924466.014416806</v>
      </c>
      <c r="U153"/>
      <c r="V153" s="77">
        <v>-1.585666408378529</v>
      </c>
      <c r="W153" s="19">
        <f t="shared" si="19"/>
        <v>5.9533715529173064E-3</v>
      </c>
      <c r="X153" s="22">
        <f>+SUM($W$129:W153)</f>
        <v>0.52816154750279942</v>
      </c>
      <c r="Z153"/>
      <c r="AA153"/>
      <c r="AB153"/>
      <c r="AC153"/>
    </row>
    <row r="154" spans="2:50" ht="20" customHeight="1" x14ac:dyDescent="0.35">
      <c r="B154" s="146">
        <f t="shared" si="33"/>
        <v>27</v>
      </c>
      <c r="C154" s="147">
        <f>+'ZCB rates'!B212</f>
        <v>45285</v>
      </c>
      <c r="D154" s="148">
        <f>+'ZCB rates'!M212</f>
        <v>-7.2848666666643335E-5</v>
      </c>
      <c r="E154" s="149">
        <f>+'ZCB rates'!N212</f>
        <v>5.9396666666657234E-5</v>
      </c>
      <c r="F154" s="149">
        <f>+'ZCB rates'!O212</f>
        <v>6.5366533333331429E-4</v>
      </c>
      <c r="G154" s="149">
        <f>+'ZCB rates'!P212</f>
        <v>2.0550400000001251E-3</v>
      </c>
      <c r="H154" s="150">
        <f>+'ZCB rates'!Q212</f>
        <v>3.0750700000001753E-3</v>
      </c>
      <c r="I154" s="151">
        <f t="shared" si="22"/>
        <v>0.99100875550929046</v>
      </c>
      <c r="J154" s="151">
        <f t="shared" si="9"/>
        <v>0.98284712934013663</v>
      </c>
      <c r="K154" s="151">
        <f t="shared" si="10"/>
        <v>0.96826095089255626</v>
      </c>
      <c r="L154" s="151">
        <f t="shared" si="11"/>
        <v>0.94263713209479483</v>
      </c>
      <c r="M154" s="151">
        <f t="shared" si="12"/>
        <v>0.86743991656807273</v>
      </c>
      <c r="N154" s="152">
        <f t="shared" si="29"/>
        <v>15534.522615481821</v>
      </c>
      <c r="O154" s="153">
        <f t="shared" si="30"/>
        <v>32.164357931722407</v>
      </c>
      <c r="P154" s="154">
        <f t="shared" si="15"/>
        <v>0.18812739730920017</v>
      </c>
      <c r="Q154" s="155">
        <f t="shared" si="16"/>
        <v>1.2509177203836833E-2</v>
      </c>
      <c r="R154" s="158">
        <f t="shared" si="31"/>
        <v>1035.8486896240663</v>
      </c>
      <c r="S154" s="158">
        <f t="shared" si="17"/>
        <v>33338.379155110742</v>
      </c>
      <c r="T154" s="158">
        <f t="shared" si="18"/>
        <v>1072982.5077958952</v>
      </c>
      <c r="U154"/>
      <c r="V154" s="77">
        <v>1.9875010801824828</v>
      </c>
      <c r="W154" s="19">
        <f t="shared" si="19"/>
        <v>3.810021092342341E-2</v>
      </c>
      <c r="X154" s="22">
        <f>+SUM($W$129:W154)</f>
        <v>0.56626175842622284</v>
      </c>
      <c r="Z154"/>
      <c r="AA154"/>
      <c r="AB154"/>
      <c r="AC154"/>
    </row>
    <row r="155" spans="2:50" ht="20" customHeight="1" x14ac:dyDescent="0.35">
      <c r="B155" s="146">
        <f t="shared" si="33"/>
        <v>26</v>
      </c>
      <c r="C155" s="147">
        <f>+'ZCB rates'!B213</f>
        <v>45292</v>
      </c>
      <c r="D155" s="148">
        <f>+'ZCB rates'!M213</f>
        <v>-5.610833333345383E-6</v>
      </c>
      <c r="E155" s="149">
        <f>+'ZCB rates'!N213</f>
        <v>-1.3845541666657332E-4</v>
      </c>
      <c r="F155" s="149">
        <f>+'ZCB rates'!O213</f>
        <v>-6.7406083333329569E-4</v>
      </c>
      <c r="G155" s="149">
        <f>+'ZCB rates'!P213</f>
        <v>-2.3139500000000212E-3</v>
      </c>
      <c r="H155" s="150">
        <f>+'ZCB rates'!Q213</f>
        <v>-7.8399875000000774E-3</v>
      </c>
      <c r="I155" s="151">
        <f t="shared" si="22"/>
        <v>0.99107539103101416</v>
      </c>
      <c r="J155" s="151">
        <f t="shared" si="9"/>
        <v>0.98265269022372503</v>
      </c>
      <c r="K155" s="151">
        <f t="shared" si="10"/>
        <v>0.9669762185669909</v>
      </c>
      <c r="L155" s="151">
        <f t="shared" si="11"/>
        <v>0.93852774336686395</v>
      </c>
      <c r="M155" s="151">
        <f t="shared" si="12"/>
        <v>0.85802324524588047</v>
      </c>
      <c r="N155" s="152">
        <f t="shared" si="29"/>
        <v>15459.335720378473</v>
      </c>
      <c r="O155" s="153">
        <f t="shared" si="30"/>
        <v>-43.022537171626027</v>
      </c>
      <c r="P155" s="154">
        <f t="shared" si="15"/>
        <v>0.20013552905234061</v>
      </c>
      <c r="Q155" s="155">
        <f t="shared" si="16"/>
        <v>1.3307635323230673E-2</v>
      </c>
      <c r="R155" s="158">
        <f t="shared" si="31"/>
        <v>1849.1971002792736</v>
      </c>
      <c r="S155" s="158">
        <f t="shared" si="17"/>
        <v>-79519.713306802369</v>
      </c>
      <c r="T155" s="158">
        <f t="shared" si="18"/>
        <v>3419529.9156812741</v>
      </c>
      <c r="U155"/>
      <c r="V155" s="77">
        <v>2.8052612083538406</v>
      </c>
      <c r="W155" s="19">
        <f t="shared" si="19"/>
        <v>3.411250955557324E-3</v>
      </c>
      <c r="X155" s="22">
        <f>+SUM($W$129:W155)</f>
        <v>0.56967300938178012</v>
      </c>
      <c r="Z155"/>
      <c r="AA155"/>
      <c r="AB155"/>
      <c r="AC155"/>
    </row>
    <row r="156" spans="2:50" ht="20" customHeight="1" x14ac:dyDescent="0.35">
      <c r="B156" s="146">
        <f t="shared" si="33"/>
        <v>25</v>
      </c>
      <c r="C156" s="147">
        <f>+'ZCB rates'!B214</f>
        <v>45299</v>
      </c>
      <c r="D156" s="148">
        <f>+'ZCB rates'!M214</f>
        <v>-5.2282999999984361E-5</v>
      </c>
      <c r="E156" s="149">
        <f>+'ZCB rates'!N214</f>
        <v>-1.8955725000000841E-4</v>
      </c>
      <c r="F156" s="149">
        <f>+'ZCB rates'!O214</f>
        <v>-5.9937049999993263E-4</v>
      </c>
      <c r="G156" s="149">
        <f>+'ZCB rates'!P214</f>
        <v>-1.5026579999999959E-3</v>
      </c>
      <c r="H156" s="150">
        <f>+'ZCB rates'!Q214</f>
        <v>-2.9541724999999569E-3</v>
      </c>
      <c r="I156" s="151">
        <f t="shared" si="22"/>
        <v>0.99102913647459334</v>
      </c>
      <c r="J156" s="151">
        <f t="shared" si="9"/>
        <v>0.98260247615275109</v>
      </c>
      <c r="K156" s="151">
        <f t="shared" si="10"/>
        <v>0.96704844504035714</v>
      </c>
      <c r="L156" s="151">
        <f t="shared" si="11"/>
        <v>0.93928947236737714</v>
      </c>
      <c r="M156" s="151">
        <f t="shared" si="12"/>
        <v>0.86222564580400518</v>
      </c>
      <c r="N156" s="152">
        <f t="shared" si="29"/>
        <v>15477.657839785414</v>
      </c>
      <c r="O156" s="153">
        <f t="shared" si="30"/>
        <v>-24.700417764684971</v>
      </c>
      <c r="P156" s="154">
        <f t="shared" si="15"/>
        <v>0.21291013728972405</v>
      </c>
      <c r="Q156" s="155">
        <f t="shared" si="16"/>
        <v>1.4157058854500717E-2</v>
      </c>
      <c r="R156" s="158">
        <f t="shared" si="31"/>
        <v>609.11090948134779</v>
      </c>
      <c r="S156" s="158">
        <f t="shared" si="17"/>
        <v>-15032.962254099746</v>
      </c>
      <c r="T156" s="158">
        <f t="shared" si="18"/>
        <v>371016.10004919465</v>
      </c>
      <c r="U156"/>
      <c r="V156" s="77">
        <v>3.004774876002557</v>
      </c>
      <c r="W156" s="19">
        <f t="shared" si="19"/>
        <v>2.4707133117853757E-2</v>
      </c>
      <c r="X156" s="22">
        <f>+SUM($W$129:W156)</f>
        <v>0.59438014249963389</v>
      </c>
      <c r="Z156"/>
      <c r="AA156"/>
      <c r="AB156"/>
      <c r="AC156"/>
    </row>
    <row r="157" spans="2:50" ht="20" customHeight="1" x14ac:dyDescent="0.35">
      <c r="B157" s="146">
        <f t="shared" si="33"/>
        <v>24</v>
      </c>
      <c r="C157" s="147">
        <f>+'ZCB rates'!B215</f>
        <v>45306</v>
      </c>
      <c r="D157" s="148">
        <f>+'ZCB rates'!M215</f>
        <v>-1.3517049999999664E-4</v>
      </c>
      <c r="E157" s="149">
        <f>+'ZCB rates'!N215</f>
        <v>-2.0138899999999556E-4</v>
      </c>
      <c r="F157" s="149">
        <f>+'ZCB rates'!O215</f>
        <v>-2.7260800000002453E-4</v>
      </c>
      <c r="G157" s="149">
        <f>+'ZCB rates'!P215</f>
        <v>-6.3509200000004399E-4</v>
      </c>
      <c r="H157" s="150">
        <f>+'ZCB rates'!Q215</f>
        <v>-3.7011400000001118E-3</v>
      </c>
      <c r="I157" s="151">
        <f t="shared" si="22"/>
        <v>0.99094699595130209</v>
      </c>
      <c r="J157" s="151">
        <f t="shared" si="9"/>
        <v>0.98259085031468096</v>
      </c>
      <c r="K157" s="151">
        <f t="shared" si="10"/>
        <v>0.96736449184118889</v>
      </c>
      <c r="L157" s="151">
        <f t="shared" si="11"/>
        <v>0.94010472156787039</v>
      </c>
      <c r="M157" s="151">
        <f t="shared" si="12"/>
        <v>0.86158183175294423</v>
      </c>
      <c r="N157" s="152">
        <f t="shared" si="29"/>
        <v>15487.987720875168</v>
      </c>
      <c r="O157" s="153">
        <f t="shared" si="30"/>
        <v>-14.370536674930918</v>
      </c>
      <c r="P157" s="154">
        <f t="shared" si="15"/>
        <v>0.22650014605289795</v>
      </c>
      <c r="Q157" s="155">
        <f t="shared" si="16"/>
        <v>1.5060700909043316E-2</v>
      </c>
      <c r="R157" s="158">
        <f t="shared" si="31"/>
        <v>205.93086056543547</v>
      </c>
      <c r="S157" s="158">
        <f t="shared" si="17"/>
        <v>-2955.1678379976165</v>
      </c>
      <c r="T157" s="158">
        <f t="shared" si="18"/>
        <v>42407.519333220822</v>
      </c>
      <c r="U157"/>
      <c r="V157" s="77">
        <v>3.1928478772042581</v>
      </c>
      <c r="W157" s="19">
        <f t="shared" si="19"/>
        <v>6.2503530797699394E-2</v>
      </c>
      <c r="X157" s="22">
        <f>+SUM($W$129:W157)</f>
        <v>0.65688367329733333</v>
      </c>
      <c r="Z157"/>
      <c r="AA157"/>
      <c r="AB157"/>
      <c r="AC157"/>
    </row>
    <row r="158" spans="2:50" ht="20" customHeight="1" x14ac:dyDescent="0.35">
      <c r="B158" s="146">
        <f t="shared" si="33"/>
        <v>23</v>
      </c>
      <c r="C158" s="147">
        <f>+'ZCB rates'!B216</f>
        <v>45313</v>
      </c>
      <c r="D158" s="148">
        <f>+'ZCB rates'!M216</f>
        <v>-5.2529999999996243E-6</v>
      </c>
      <c r="E158" s="149">
        <f>+'ZCB rates'!N216</f>
        <v>-2.8039000000115993E-5</v>
      </c>
      <c r="F158" s="149">
        <f>+'ZCB rates'!O216</f>
        <v>-1.0082600000004951E-4</v>
      </c>
      <c r="G158" s="149">
        <f>+'ZCB rates'!P216</f>
        <v>-2.6579199999994611E-4</v>
      </c>
      <c r="H158" s="150">
        <f>+'ZCB rates'!Q216</f>
        <v>-6.5293000000003982E-4</v>
      </c>
      <c r="I158" s="151">
        <f t="shared" si="22"/>
        <v>0.99107574567088841</v>
      </c>
      <c r="J158" s="151">
        <f t="shared" si="9"/>
        <v>0.98276119720297284</v>
      </c>
      <c r="K158" s="151">
        <f t="shared" si="10"/>
        <v>0.96753068192214986</v>
      </c>
      <c r="L158" s="151">
        <f t="shared" si="11"/>
        <v>0.9404519663563492</v>
      </c>
      <c r="M158" s="151">
        <f t="shared" si="12"/>
        <v>0.86421212090853639</v>
      </c>
      <c r="N158" s="152">
        <f t="shared" si="29"/>
        <v>15497.783753643154</v>
      </c>
      <c r="O158" s="153">
        <f t="shared" si="30"/>
        <v>-4.574503906944301</v>
      </c>
      <c r="P158" s="154">
        <f t="shared" si="15"/>
        <v>0.24095760218393397</v>
      </c>
      <c r="Q158" s="155">
        <f t="shared" si="16"/>
        <v>1.60220222436631E-2</v>
      </c>
      <c r="R158" s="158">
        <f t="shared" si="31"/>
        <v>20.741270830552491</v>
      </c>
      <c r="S158" s="158">
        <f t="shared" si="17"/>
        <v>-94.461109768118192</v>
      </c>
      <c r="T158" s="158">
        <f t="shared" si="18"/>
        <v>430.20031566632764</v>
      </c>
      <c r="U158"/>
      <c r="V158" s="77">
        <v>3.8561300591027248</v>
      </c>
      <c r="W158" s="19">
        <f t="shared" si="19"/>
        <v>2.8333304636706238E-3</v>
      </c>
      <c r="X158" s="22">
        <f>+SUM($W$129:W158)</f>
        <v>0.65971700376100395</v>
      </c>
      <c r="Z158"/>
      <c r="AA158"/>
      <c r="AB158"/>
      <c r="AC158"/>
    </row>
    <row r="159" spans="2:50" ht="20" customHeight="1" x14ac:dyDescent="0.35">
      <c r="B159" s="146">
        <f t="shared" si="33"/>
        <v>22</v>
      </c>
      <c r="C159" s="147">
        <f>+'ZCB rates'!B217</f>
        <v>45320</v>
      </c>
      <c r="D159" s="148">
        <f>+'ZCB rates'!M217</f>
        <v>9.2559500000080109E-5</v>
      </c>
      <c r="E159" s="149">
        <f>+'ZCB rates'!N217</f>
        <v>2.4748600000004878E-4</v>
      </c>
      <c r="F159" s="149">
        <f>+'ZCB rates'!O217</f>
        <v>7.0191000000013935E-4</v>
      </c>
      <c r="G159" s="149">
        <f>+'ZCB rates'!P217</f>
        <v>1.9393119999999348E-3</v>
      </c>
      <c r="H159" s="150">
        <f>+'ZCB rates'!Q217</f>
        <v>5.5474800000000907E-3</v>
      </c>
      <c r="I159" s="151">
        <f t="shared" si="22"/>
        <v>0.99117269000836861</v>
      </c>
      <c r="J159" s="151">
        <f t="shared" si="9"/>
        <v>0.98303200978793792</v>
      </c>
      <c r="K159" s="151">
        <f t="shared" si="10"/>
        <v>0.96830766544623359</v>
      </c>
      <c r="L159" s="151">
        <f t="shared" si="11"/>
        <v>0.94252804889688357</v>
      </c>
      <c r="M159" s="151">
        <f t="shared" si="12"/>
        <v>0.86958723712675901</v>
      </c>
      <c r="N159" s="152">
        <f t="shared" si="29"/>
        <v>15537.025713401554</v>
      </c>
      <c r="O159" s="153">
        <f t="shared" si="30"/>
        <v>34.667455851455088</v>
      </c>
      <c r="P159" s="154">
        <f t="shared" si="15"/>
        <v>0.25633787466375957</v>
      </c>
      <c r="Q159" s="155">
        <f t="shared" si="16"/>
        <v>1.7044704514535217E-2</v>
      </c>
      <c r="R159" s="158">
        <f t="shared" si="31"/>
        <v>1203.2366159586934</v>
      </c>
      <c r="S159" s="158">
        <f t="shared" si="17"/>
        <v>41737.512231871566</v>
      </c>
      <c r="T159" s="158">
        <f t="shared" si="18"/>
        <v>1447778.3539837282</v>
      </c>
      <c r="U159"/>
      <c r="V159" s="77">
        <v>4.467542438313103</v>
      </c>
      <c r="W159" s="19">
        <f t="shared" si="19"/>
        <v>8.1119211384735237E-3</v>
      </c>
      <c r="X159" s="22">
        <f>+SUM($W$129:W159)</f>
        <v>0.66782892489947743</v>
      </c>
      <c r="Z159"/>
      <c r="AA159"/>
      <c r="AB159"/>
      <c r="AC159"/>
    </row>
    <row r="160" spans="2:50" ht="20" customHeight="1" x14ac:dyDescent="0.35">
      <c r="B160" s="146">
        <f t="shared" si="33"/>
        <v>21</v>
      </c>
      <c r="C160" s="147">
        <f>+'ZCB rates'!B218</f>
        <v>45327</v>
      </c>
      <c r="D160" s="148">
        <f>+'ZCB rates'!M218</f>
        <v>3.4520000000344265E-6</v>
      </c>
      <c r="E160" s="149">
        <f>+'ZCB rates'!N218</f>
        <v>-2.0704899999993064E-4</v>
      </c>
      <c r="F160" s="149">
        <f>+'ZCB rates'!O218</f>
        <v>-1.0126300000000686E-3</v>
      </c>
      <c r="G160" s="149">
        <f>+'ZCB rates'!P218</f>
        <v>-3.1101799999999863E-3</v>
      </c>
      <c r="H160" s="150">
        <f>+'ZCB rates'!Q218</f>
        <v>-7.4687299999999391E-3</v>
      </c>
      <c r="I160" s="151">
        <f t="shared" si="22"/>
        <v>0.99108437302280494</v>
      </c>
      <c r="J160" s="151">
        <f t="shared" si="9"/>
        <v>0.98258528886620722</v>
      </c>
      <c r="K160" s="151">
        <f t="shared" si="10"/>
        <v>0.96664888565002738</v>
      </c>
      <c r="L160" s="151">
        <f t="shared" si="11"/>
        <v>0.93778075684776563</v>
      </c>
      <c r="M160" s="151">
        <f t="shared" si="12"/>
        <v>0.85834185194975721</v>
      </c>
      <c r="N160" s="152">
        <f t="shared" si="29"/>
        <v>15449.329060642394</v>
      </c>
      <c r="O160" s="153">
        <f t="shared" si="30"/>
        <v>-53.029196907704318</v>
      </c>
      <c r="P160" s="154">
        <f t="shared" si="15"/>
        <v>0.27269986666357399</v>
      </c>
      <c r="Q160" s="155">
        <f t="shared" si="16"/>
        <v>1.8132664377165122E-2</v>
      </c>
      <c r="R160" s="158">
        <f t="shared" si="31"/>
        <v>2809.9489432340292</v>
      </c>
      <c r="S160" s="158">
        <f t="shared" si="17"/>
        <v>-148952.44735816121</v>
      </c>
      <c r="T160" s="158">
        <f t="shared" si="18"/>
        <v>7895813.0635820376</v>
      </c>
      <c r="U160"/>
      <c r="V160" s="77">
        <v>5.1440809875148261</v>
      </c>
      <c r="W160" s="19">
        <f t="shared" si="19"/>
        <v>4.3692033295277448E-3</v>
      </c>
      <c r="X160" s="22">
        <f>+SUM($W$129:W160)</f>
        <v>0.67219812822900515</v>
      </c>
      <c r="Z160"/>
      <c r="AA160"/>
      <c r="AB160"/>
      <c r="AC160"/>
    </row>
    <row r="161" spans="2:26" ht="20" customHeight="1" x14ac:dyDescent="0.35">
      <c r="B161" s="146">
        <f t="shared" si="33"/>
        <v>20</v>
      </c>
      <c r="C161" s="147">
        <f>+'ZCB rates'!B219</f>
        <v>45334</v>
      </c>
      <c r="D161" s="148">
        <f>+'ZCB rates'!M219</f>
        <v>-1.0259500000031309E-5</v>
      </c>
      <c r="E161" s="149">
        <f>+'ZCB rates'!N219</f>
        <v>-1.3051900000003377E-4</v>
      </c>
      <c r="F161" s="149">
        <f>+'ZCB rates'!O219</f>
        <v>-5.7547599999999447E-4</v>
      </c>
      <c r="G161" s="149">
        <f>+'ZCB rates'!P219</f>
        <v>-1.7265320000000835E-3</v>
      </c>
      <c r="H161" s="150">
        <f>+'ZCB rates'!Q219</f>
        <v>-3.4785700000000488E-3</v>
      </c>
      <c r="I161" s="151">
        <f t="shared" ref="I161:I180" si="34">+C$114*EXP(D161)</f>
        <v>0.99107078386258829</v>
      </c>
      <c r="J161" s="151">
        <f t="shared" ref="J161:J180" si="35">+D$114*EXP(E161)</f>
        <v>0.98266048899586023</v>
      </c>
      <c r="K161" s="151">
        <f t="shared" ref="K161:K180" si="36">+E$114*EXP(F161)</f>
        <v>0.96707155245549614</v>
      </c>
      <c r="L161" s="151">
        <f t="shared" ref="L161:L180" si="37">+F$114*EXP(G161)</f>
        <v>0.93907921341267508</v>
      </c>
      <c r="M161" s="151">
        <f t="shared" ref="M161:M180" si="38">+G$114*EXP(H161)</f>
        <v>0.86177361536308494</v>
      </c>
      <c r="N161" s="152">
        <f t="shared" si="29"/>
        <v>15473.937172063213</v>
      </c>
      <c r="O161" s="153">
        <f t="shared" si="30"/>
        <v>-28.421085486885204</v>
      </c>
      <c r="P161" s="154">
        <f t="shared" ref="P161:P180" si="39">+Lambda^B161</f>
        <v>0.29010624113146172</v>
      </c>
      <c r="Q161" s="155">
        <f t="shared" ref="Q161:Q179" si="40">+P161/$P$184</f>
        <v>1.9290068486345877E-2</v>
      </c>
      <c r="R161" s="158">
        <f t="shared" si="31"/>
        <v>806.60771940238806</v>
      </c>
      <c r="S161" s="158">
        <f t="shared" ref="S161:S180" si="41">+($O161-$C$123)^3</f>
        <v>-22908.336876609323</v>
      </c>
      <c r="T161" s="158">
        <f t="shared" ref="T161:T180" si="42">+($O161-$C$123)^4</f>
        <v>650616.01299952157</v>
      </c>
      <c r="U161"/>
      <c r="V161" s="77">
        <v>6.4984037511349015</v>
      </c>
      <c r="W161" s="19">
        <f t="shared" ref="W161:W180" si="43">+_xlfn.XLOOKUP(V161,$O$129:$O$180,$Q$129:$Q$180)</f>
        <v>3.2065758982238847E-3</v>
      </c>
      <c r="X161" s="22">
        <f>+SUM($W$129:W161)</f>
        <v>0.67540470412722908</v>
      </c>
      <c r="Z161"/>
    </row>
    <row r="162" spans="2:26" ht="20" customHeight="1" x14ac:dyDescent="0.35">
      <c r="B162" s="146">
        <f t="shared" si="33"/>
        <v>19</v>
      </c>
      <c r="C162" s="147">
        <f>+'ZCB rates'!B220</f>
        <v>45341</v>
      </c>
      <c r="D162" s="148">
        <f>+'ZCB rates'!M220</f>
        <v>1.6597000000089393E-5</v>
      </c>
      <c r="E162" s="149">
        <f>+'ZCB rates'!N220</f>
        <v>-3.9282000000069363E-5</v>
      </c>
      <c r="F162" s="149">
        <f>+'ZCB rates'!O220</f>
        <v>-2.6520000000000157E-4</v>
      </c>
      <c r="G162" s="149">
        <f>+'ZCB rates'!P220</f>
        <v>-7.7088400000001616E-4</v>
      </c>
      <c r="H162" s="150">
        <f>+'ZCB rates'!Q220</f>
        <v>-9.2422000000008165E-4</v>
      </c>
      <c r="I162" s="151">
        <f t="shared" si="34"/>
        <v>0.99109740091251408</v>
      </c>
      <c r="J162" s="151">
        <f t="shared" si="35"/>
        <v>0.98275014808094552</v>
      </c>
      <c r="K162" s="151">
        <f t="shared" si="36"/>
        <v>0.96737165810388825</v>
      </c>
      <c r="L162" s="151">
        <f t="shared" si="37"/>
        <v>0.93997707153464216</v>
      </c>
      <c r="M162" s="151">
        <f t="shared" si="38"/>
        <v>0.86397770060163526</v>
      </c>
      <c r="N162" s="152">
        <f t="shared" si="29"/>
        <v>15490.658297959711</v>
      </c>
      <c r="O162" s="153">
        <f t="shared" si="30"/>
        <v>-11.699959590387152</v>
      </c>
      <c r="P162" s="154">
        <f t="shared" si="39"/>
        <v>0.30862366077815073</v>
      </c>
      <c r="Q162" s="155">
        <f t="shared" si="40"/>
        <v>2.0521349453559441E-2</v>
      </c>
      <c r="R162" s="158">
        <f t="shared" si="31"/>
        <v>136.41572429356546</v>
      </c>
      <c r="S162" s="158">
        <f t="shared" si="41"/>
        <v>-1593.2966750540916</v>
      </c>
      <c r="T162" s="158">
        <f t="shared" si="42"/>
        <v>18609.249834538066</v>
      </c>
      <c r="U162"/>
      <c r="V162" s="77">
        <v>7.7924102699198556</v>
      </c>
      <c r="W162" s="19">
        <f t="shared" si="43"/>
        <v>9.1805354668102364E-3</v>
      </c>
      <c r="X162" s="22">
        <f>+SUM($W$129:W162)</f>
        <v>0.68458523959403927</v>
      </c>
      <c r="Z162"/>
    </row>
    <row r="163" spans="2:26" ht="20" customHeight="1" x14ac:dyDescent="0.35">
      <c r="B163" s="146">
        <f t="shared" si="33"/>
        <v>18</v>
      </c>
      <c r="C163" s="147">
        <f>+'ZCB rates'!B221</f>
        <v>45348</v>
      </c>
      <c r="D163" s="148">
        <f>+'ZCB rates'!M221</f>
        <v>-1.8090000000029946E-5</v>
      </c>
      <c r="E163" s="149">
        <f>+'ZCB rates'!N221</f>
        <v>-1.2644100000004074E-4</v>
      </c>
      <c r="F163" s="149">
        <f>+'ZCB rates'!O221</f>
        <v>-5.0035600000003608E-4</v>
      </c>
      <c r="G163" s="149">
        <f>+'ZCB rates'!P221</f>
        <v>-1.4061919999998928E-3</v>
      </c>
      <c r="H163" s="150">
        <f>+'ZCB rates'!Q221</f>
        <v>-2.780939999999938E-3</v>
      </c>
      <c r="I163" s="151">
        <f t="shared" si="34"/>
        <v>0.99106302331319984</v>
      </c>
      <c r="J163" s="151">
        <f t="shared" si="35"/>
        <v>0.98266449629350527</v>
      </c>
      <c r="K163" s="151">
        <f t="shared" si="36"/>
        <v>0.96714420159918424</v>
      </c>
      <c r="L163" s="151">
        <f t="shared" si="37"/>
        <v>0.93938008623612712</v>
      </c>
      <c r="M163" s="151">
        <f t="shared" si="38"/>
        <v>0.86237502424641888</v>
      </c>
      <c r="N163" s="152">
        <f t="shared" si="29"/>
        <v>15479.264925071351</v>
      </c>
      <c r="O163" s="153">
        <f t="shared" si="30"/>
        <v>-23.09333247874747</v>
      </c>
      <c r="P163" s="154">
        <f t="shared" si="39"/>
        <v>0.32832304338101148</v>
      </c>
      <c r="Q163" s="155">
        <f t="shared" si="40"/>
        <v>2.1831222822935582E-2</v>
      </c>
      <c r="R163" s="158">
        <f t="shared" si="31"/>
        <v>532.36734877457206</v>
      </c>
      <c r="S163" s="158">
        <f t="shared" si="41"/>
        <v>-12283.358212667674</v>
      </c>
      <c r="T163" s="158">
        <f t="shared" si="42"/>
        <v>283414.99404126685</v>
      </c>
      <c r="U163"/>
      <c r="V163" s="77">
        <v>10.618691325938926</v>
      </c>
      <c r="W163" s="19">
        <f t="shared" si="43"/>
        <v>3.6289903782524722E-3</v>
      </c>
      <c r="X163" s="22">
        <f>+SUM($W$129:W163)</f>
        <v>0.68821422997229176</v>
      </c>
      <c r="Z163"/>
    </row>
    <row r="164" spans="2:26" ht="20" customHeight="1" x14ac:dyDescent="0.35">
      <c r="B164" s="146">
        <f t="shared" si="33"/>
        <v>17</v>
      </c>
      <c r="C164" s="147">
        <f>+'ZCB rates'!B222</f>
        <v>45355</v>
      </c>
      <c r="D164" s="148">
        <f>+'ZCB rates'!M222</f>
        <v>-6.0490000000283976E-6</v>
      </c>
      <c r="E164" s="149">
        <f>+'ZCB rates'!N222</f>
        <v>7.0020999999961564E-5</v>
      </c>
      <c r="F164" s="149">
        <f>+'ZCB rates'!O222</f>
        <v>4.1021799999998326E-4</v>
      </c>
      <c r="G164" s="149">
        <f>+'ZCB rates'!P222</f>
        <v>1.5541839999998941E-3</v>
      </c>
      <c r="H164" s="150">
        <f>+'ZCB rates'!Q222</f>
        <v>6.0202500000000681E-3</v>
      </c>
      <c r="I164" s="151">
        <f t="shared" si="34"/>
        <v>0.99107495677490876</v>
      </c>
      <c r="J164" s="151">
        <f t="shared" si="35"/>
        <v>0.98285757149112485</v>
      </c>
      <c r="K164" s="151">
        <f t="shared" si="36"/>
        <v>0.96802525903653158</v>
      </c>
      <c r="L164" s="151">
        <f t="shared" si="37"/>
        <v>0.94216512484506088</v>
      </c>
      <c r="M164" s="151">
        <f t="shared" si="38"/>
        <v>0.86999844908153412</v>
      </c>
      <c r="N164" s="152">
        <f t="shared" si="29"/>
        <v>15532.521941380475</v>
      </c>
      <c r="O164" s="153">
        <f t="shared" si="30"/>
        <v>30.163683830376613</v>
      </c>
      <c r="P164" s="154">
        <f t="shared" si="39"/>
        <v>0.34927983338405477</v>
      </c>
      <c r="Q164" s="155">
        <f t="shared" si="40"/>
        <v>2.3224705130782532E-2</v>
      </c>
      <c r="R164" s="158">
        <f t="shared" si="31"/>
        <v>911.06958191222498</v>
      </c>
      <c r="S164" s="158">
        <f t="shared" si="41"/>
        <v>27499.659756132856</v>
      </c>
      <c r="T164" s="158">
        <f t="shared" si="42"/>
        <v>830047.78308571642</v>
      </c>
      <c r="U164"/>
      <c r="V164" s="77">
        <v>10.719037567381747</v>
      </c>
      <c r="W164" s="19">
        <f t="shared" si="43"/>
        <v>1.1053108977310225E-2</v>
      </c>
      <c r="X164" s="22">
        <f>+SUM($W$129:W164)</f>
        <v>0.69926733894960202</v>
      </c>
      <c r="Z164"/>
    </row>
    <row r="165" spans="2:26" ht="20" customHeight="1" x14ac:dyDescent="0.35">
      <c r="B165" s="146">
        <f t="shared" si="33"/>
        <v>16</v>
      </c>
      <c r="C165" s="147">
        <f>+'ZCB rates'!B223</f>
        <v>45362</v>
      </c>
      <c r="D165" s="148">
        <f>+'ZCB rates'!M223</f>
        <v>-5.893199999995585E-5</v>
      </c>
      <c r="E165" s="149">
        <f>+'ZCB rates'!N223</f>
        <v>-5.0984999999912255E-5</v>
      </c>
      <c r="F165" s="149">
        <f>+'ZCB rates'!O223</f>
        <v>6.2620000000067011E-5</v>
      </c>
      <c r="G165" s="149">
        <f>+'ZCB rates'!P223</f>
        <v>2.8913999999994841E-4</v>
      </c>
      <c r="H165" s="150">
        <f>+'ZCB rates'!Q223</f>
        <v>-5.0232000000003762E-4</v>
      </c>
      <c r="I165" s="151">
        <f t="shared" si="34"/>
        <v>0.99102254714377125</v>
      </c>
      <c r="J165" s="151">
        <f t="shared" si="35"/>
        <v>0.9827386470232613</v>
      </c>
      <c r="K165" s="151">
        <f t="shared" si="36"/>
        <v>0.96768883386628668</v>
      </c>
      <c r="L165" s="151">
        <f t="shared" si="37"/>
        <v>0.94097399807960069</v>
      </c>
      <c r="M165" s="151">
        <f t="shared" si="38"/>
        <v>0.86434228969818105</v>
      </c>
      <c r="N165" s="152">
        <f t="shared" si="29"/>
        <v>15505.363032426101</v>
      </c>
      <c r="O165" s="153">
        <f t="shared" si="30"/>
        <v>3.004774876002557</v>
      </c>
      <c r="P165" s="154">
        <f t="shared" si="39"/>
        <v>0.37157429083410082</v>
      </c>
      <c r="Q165" s="155">
        <f t="shared" si="40"/>
        <v>2.4707133117853757E-2</v>
      </c>
      <c r="R165" s="158">
        <f t="shared" si="31"/>
        <v>9.1507474825996571</v>
      </c>
      <c r="S165" s="158">
        <f t="shared" si="41"/>
        <v>27.681196391655689</v>
      </c>
      <c r="T165" s="158">
        <f t="shared" si="42"/>
        <v>83.736179490303968</v>
      </c>
      <c r="U165"/>
      <c r="V165" s="77">
        <v>11.646285435490427</v>
      </c>
      <c r="W165" s="19">
        <f t="shared" si="43"/>
        <v>5.191443262407635E-2</v>
      </c>
      <c r="X165" s="22">
        <f>+SUM($W$129:W165)</f>
        <v>0.75118177157367838</v>
      </c>
      <c r="Z165"/>
    </row>
    <row r="166" spans="2:26" ht="20" customHeight="1" x14ac:dyDescent="0.35">
      <c r="B166" s="146">
        <f t="shared" si="33"/>
        <v>15</v>
      </c>
      <c r="C166" s="147">
        <f>+'ZCB rates'!B224</f>
        <v>45369</v>
      </c>
      <c r="D166" s="148">
        <f>+'ZCB rates'!M224</f>
        <v>7.2678500000059108E-5</v>
      </c>
      <c r="E166" s="149">
        <f>+'ZCB rates'!N224</f>
        <v>6.8632000000042273E-5</v>
      </c>
      <c r="F166" s="149">
        <f>+'ZCB rates'!O224</f>
        <v>-8.263200000001048E-5</v>
      </c>
      <c r="G166" s="149">
        <f>+'ZCB rates'!P224</f>
        <v>-6.0019600000006852E-4</v>
      </c>
      <c r="H166" s="150">
        <f>+'ZCB rates'!Q224</f>
        <v>-1.8617600000000454E-3</v>
      </c>
      <c r="I166" s="151">
        <f t="shared" si="34"/>
        <v>0.9911529846999998</v>
      </c>
      <c r="J166" s="151">
        <f t="shared" si="35"/>
        <v>0.98285620630290627</v>
      </c>
      <c r="K166" s="151">
        <f t="shared" si="36"/>
        <v>0.96754828533551451</v>
      </c>
      <c r="L166" s="151">
        <f t="shared" si="37"/>
        <v>0.94013752803463813</v>
      </c>
      <c r="M166" s="151">
        <f t="shared" si="38"/>
        <v>0.86316806653967693</v>
      </c>
      <c r="N166" s="152">
        <f t="shared" si="29"/>
        <v>15491.53640429245</v>
      </c>
      <c r="O166" s="153">
        <f t="shared" si="30"/>
        <v>-10.821853257648399</v>
      </c>
      <c r="P166" s="154">
        <f t="shared" si="39"/>
        <v>0.39529179875968168</v>
      </c>
      <c r="Q166" s="155">
        <f t="shared" si="40"/>
        <v>2.6284184167929527E-2</v>
      </c>
      <c r="R166" s="158">
        <f t="shared" si="31"/>
        <v>116.67473298038155</v>
      </c>
      <c r="S166" s="158">
        <f t="shared" si="41"/>
        <v>-1260.2747161682942</v>
      </c>
      <c r="T166" s="158">
        <f t="shared" si="42"/>
        <v>13612.993316043334</v>
      </c>
      <c r="U166"/>
      <c r="V166" s="77">
        <v>13.43355396610059</v>
      </c>
      <c r="W166" s="19">
        <f t="shared" si="43"/>
        <v>4.0532139280237682E-2</v>
      </c>
      <c r="X166" s="22">
        <f>+SUM($W$129:W166)</f>
        <v>0.79171391085391607</v>
      </c>
      <c r="Z166"/>
    </row>
    <row r="167" spans="2:26" ht="20" customHeight="1" x14ac:dyDescent="0.35">
      <c r="B167" s="146">
        <f t="shared" si="33"/>
        <v>14</v>
      </c>
      <c r="C167" s="147">
        <f>+'ZCB rates'!B225</f>
        <v>45376</v>
      </c>
      <c r="D167" s="148">
        <f>+'ZCB rates'!M225</f>
        <v>1.1035062500010062E-4</v>
      </c>
      <c r="E167" s="149">
        <f>+'ZCB rates'!N225</f>
        <v>2.1406474999995429E-4</v>
      </c>
      <c r="F167" s="149">
        <f>+'ZCB rates'!O225</f>
        <v>4.157255000000079E-4</v>
      </c>
      <c r="G167" s="149">
        <f>+'ZCB rates'!P225</f>
        <v>8.4628000000010737E-4</v>
      </c>
      <c r="H167" s="150">
        <f>+'ZCB rates'!Q225</f>
        <v>2.4576149999999521E-3</v>
      </c>
      <c r="I167" s="151">
        <f t="shared" si="34"/>
        <v>0.99119032424245912</v>
      </c>
      <c r="J167" s="151">
        <f t="shared" si="35"/>
        <v>0.98299915617838807</v>
      </c>
      <c r="K167" s="151">
        <f t="shared" si="36"/>
        <v>0.96803059045032713</v>
      </c>
      <c r="L167" s="151">
        <f t="shared" si="37"/>
        <v>0.94149839840152383</v>
      </c>
      <c r="M167" s="151">
        <f t="shared" si="38"/>
        <v>0.86690447677638771</v>
      </c>
      <c r="N167" s="152">
        <f t="shared" si="29"/>
        <v>15517.624736776037</v>
      </c>
      <c r="O167" s="153">
        <f t="shared" si="30"/>
        <v>15.266479225938383</v>
      </c>
      <c r="P167" s="154">
        <f t="shared" si="39"/>
        <v>0.42052319016987422</v>
      </c>
      <c r="Q167" s="155">
        <f t="shared" si="40"/>
        <v>2.7961898050988865E-2</v>
      </c>
      <c r="R167" s="158">
        <f t="shared" si="31"/>
        <v>233.68394884111166</v>
      </c>
      <c r="S167" s="158">
        <f t="shared" si="41"/>
        <v>3572.2621681888218</v>
      </c>
      <c r="T167" s="158">
        <f t="shared" si="42"/>
        <v>54608.187945975289</v>
      </c>
      <c r="U167"/>
      <c r="V167" s="77">
        <v>14.679148364699358</v>
      </c>
      <c r="W167" s="19">
        <f t="shared" si="43"/>
        <v>8.6297033388016229E-3</v>
      </c>
      <c r="X167" s="22">
        <f>+SUM($W$129:W167)</f>
        <v>0.80034361419271771</v>
      </c>
      <c r="Z167"/>
    </row>
    <row r="168" spans="2:26" ht="20" customHeight="1" x14ac:dyDescent="0.35">
      <c r="B168" s="146">
        <f t="shared" si="33"/>
        <v>13</v>
      </c>
      <c r="C168" s="147">
        <f>+'ZCB rates'!B226</f>
        <v>45383</v>
      </c>
      <c r="D168" s="148">
        <f>+'ZCB rates'!M226</f>
        <v>1.298187500000885E-5</v>
      </c>
      <c r="E168" s="149">
        <f>+'ZCB rates'!N226</f>
        <v>1.2695000000028018E-5</v>
      </c>
      <c r="F168" s="149">
        <f>+'ZCB rates'!O226</f>
        <v>-3.9402500000043125E-5</v>
      </c>
      <c r="G168" s="149">
        <f>+'ZCB rates'!P226</f>
        <v>-3.6996500000003918E-4</v>
      </c>
      <c r="H168" s="150">
        <f>+'ZCB rates'!Q226</f>
        <v>-2.6551875000000295E-3</v>
      </c>
      <c r="I168" s="151">
        <f t="shared" si="34"/>
        <v>0.99109381797799889</v>
      </c>
      <c r="J168" s="151">
        <f t="shared" si="35"/>
        <v>0.98280122981291851</v>
      </c>
      <c r="K168" s="151">
        <f t="shared" si="36"/>
        <v>0.96759011286820062</v>
      </c>
      <c r="L168" s="151">
        <f t="shared" si="37"/>
        <v>0.94035400175637962</v>
      </c>
      <c r="M168" s="151">
        <f t="shared" si="38"/>
        <v>0.86248347688060734</v>
      </c>
      <c r="N168" s="152">
        <f t="shared" ref="N168:N180" si="44">+SUMPRODUCT(I168:M168,$C$113:$G$113)</f>
        <v>15493.297521491189</v>
      </c>
      <c r="O168" s="153">
        <f t="shared" ref="O168:O180" si="45">+N168-$G$117</f>
        <v>-9.0607360589092423</v>
      </c>
      <c r="P168" s="154">
        <f t="shared" si="39"/>
        <v>0.44736509592539803</v>
      </c>
      <c r="Q168" s="155">
        <f t="shared" si="40"/>
        <v>2.9746700054243468E-2</v>
      </c>
      <c r="R168" s="158">
        <f t="shared" si="31"/>
        <v>81.730471914561846</v>
      </c>
      <c r="S168" s="158">
        <f t="shared" si="41"/>
        <v>-738.88357042650739</v>
      </c>
      <c r="T168" s="158">
        <f t="shared" si="42"/>
        <v>6679.8700393769832</v>
      </c>
      <c r="U168"/>
      <c r="V168" s="77">
        <v>15.266479225938383</v>
      </c>
      <c r="W168" s="19">
        <f t="shared" si="43"/>
        <v>2.7961898050988865E-2</v>
      </c>
      <c r="X168" s="22">
        <f>+SUM($W$129:W168)</f>
        <v>0.82830551224370663</v>
      </c>
      <c r="Z168"/>
    </row>
    <row r="169" spans="2:26" ht="20" customHeight="1" x14ac:dyDescent="0.35">
      <c r="B169" s="146">
        <f t="shared" si="33"/>
        <v>12</v>
      </c>
      <c r="C169" s="147">
        <f>+'ZCB rates'!B227</f>
        <v>45390</v>
      </c>
      <c r="D169" s="148">
        <f>+'ZCB rates'!M227</f>
        <v>1.8121000000001028E-5</v>
      </c>
      <c r="E169" s="149">
        <f>+'ZCB rates'!N227</f>
        <v>-2.5253750000064061E-5</v>
      </c>
      <c r="F169" s="149">
        <f>+'ZCB rates'!O227</f>
        <v>-2.137189999999579E-4</v>
      </c>
      <c r="G169" s="149">
        <f>+'ZCB rates'!P227</f>
        <v>-6.5767100000004052E-4</v>
      </c>
      <c r="H169" s="150">
        <f>+'ZCB rates'!Q227</f>
        <v>-6.81557500000108E-4</v>
      </c>
      <c r="I169" s="151">
        <f t="shared" si="34"/>
        <v>0.99109891134610395</v>
      </c>
      <c r="J169" s="151">
        <f t="shared" si="35"/>
        <v>0.98276393444240939</v>
      </c>
      <c r="K169" s="151">
        <f t="shared" si="36"/>
        <v>0.96742146064615042</v>
      </c>
      <c r="L169" s="151">
        <f t="shared" si="37"/>
        <v>0.94008349518299827</v>
      </c>
      <c r="M169" s="151">
        <f t="shared" si="38"/>
        <v>0.86418738103016712</v>
      </c>
      <c r="N169" s="152">
        <f t="shared" si="44"/>
        <v>15492.555000703507</v>
      </c>
      <c r="O169" s="153">
        <f t="shared" si="45"/>
        <v>-9.8032568465914665</v>
      </c>
      <c r="P169" s="154">
        <f t="shared" si="39"/>
        <v>0.47592031481425329</v>
      </c>
      <c r="Q169" s="155">
        <f t="shared" si="40"/>
        <v>3.1645425589620711E-2</v>
      </c>
      <c r="R169" s="158">
        <f t="shared" si="31"/>
        <v>95.707313570931092</v>
      </c>
      <c r="S169" s="158">
        <f t="shared" si="41"/>
        <v>-936.30574715506145</v>
      </c>
      <c r="T169" s="158">
        <f t="shared" si="42"/>
        <v>9159.8898709645309</v>
      </c>
      <c r="U169"/>
      <c r="V169" s="77">
        <v>19.655272976895503</v>
      </c>
      <c r="W169" s="19">
        <f t="shared" si="43"/>
        <v>4.1070511297560796E-3</v>
      </c>
      <c r="X169" s="22">
        <f>+SUM($W$129:W169)</f>
        <v>0.8324125633734627</v>
      </c>
      <c r="Z169"/>
    </row>
    <row r="170" spans="2:26" ht="20" customHeight="1" x14ac:dyDescent="0.35">
      <c r="B170" s="146">
        <f t="shared" si="33"/>
        <v>11</v>
      </c>
      <c r="C170" s="147">
        <f>+'ZCB rates'!B228</f>
        <v>45397</v>
      </c>
      <c r="D170" s="148">
        <f>+'ZCB rates'!M228</f>
        <v>3.1922999999898369E-5</v>
      </c>
      <c r="E170" s="149">
        <f>+'ZCB rates'!N228</f>
        <v>2.3659999999965519E-5</v>
      </c>
      <c r="F170" s="149">
        <f>+'ZCB rates'!O228</f>
        <v>-1.1374400000005126E-4</v>
      </c>
      <c r="G170" s="149">
        <f>+'ZCB rates'!P228</f>
        <v>-7.9818000000008848E-4</v>
      </c>
      <c r="H170" s="150">
        <f>+'ZCB rates'!Q228</f>
        <v>-4.1437299999999878E-3</v>
      </c>
      <c r="I170" s="151">
        <f t="shared" si="34"/>
        <v>0.99111259058767842</v>
      </c>
      <c r="J170" s="151">
        <f t="shared" si="35"/>
        <v>0.98281200628748533</v>
      </c>
      <c r="K170" s="151">
        <f t="shared" si="36"/>
        <v>0.96751818344152862</v>
      </c>
      <c r="L170" s="151">
        <f t="shared" si="37"/>
        <v>0.93995141427066942</v>
      </c>
      <c r="M170" s="151">
        <f t="shared" si="38"/>
        <v>0.8612005886234505</v>
      </c>
      <c r="N170" s="152">
        <f t="shared" si="44"/>
        <v>15485.310816523534</v>
      </c>
      <c r="O170" s="153">
        <f t="shared" si="45"/>
        <v>-17.047441026565139</v>
      </c>
      <c r="P170" s="154">
        <f t="shared" si="39"/>
        <v>0.5062982072492056</v>
      </c>
      <c r="Q170" s="155">
        <f t="shared" si="40"/>
        <v>3.3665346371936931E-2</v>
      </c>
      <c r="R170" s="158">
        <f t="shared" si="31"/>
        <v>289.92539196143105</v>
      </c>
      <c r="S170" s="158">
        <f t="shared" si="41"/>
        <v>-4936.6163750271762</v>
      </c>
      <c r="T170" s="158">
        <f t="shared" si="42"/>
        <v>84056.732903989425</v>
      </c>
      <c r="U170"/>
      <c r="V170" s="77">
        <v>20.68716893312012</v>
      </c>
      <c r="W170" s="19">
        <f t="shared" si="43"/>
        <v>6.33337399246522E-3</v>
      </c>
      <c r="X170" s="22">
        <f>+SUM($W$129:W170)</f>
        <v>0.83874593736592795</v>
      </c>
      <c r="Z170"/>
    </row>
    <row r="171" spans="2:26" ht="20" customHeight="1" x14ac:dyDescent="0.35">
      <c r="B171" s="146">
        <f t="shared" si="33"/>
        <v>10</v>
      </c>
      <c r="C171" s="147">
        <f>+'ZCB rates'!B229</f>
        <v>45404</v>
      </c>
      <c r="D171" s="148">
        <f>+'ZCB rates'!M229</f>
        <v>6.5844000000093067E-5</v>
      </c>
      <c r="E171" s="149">
        <f>+'ZCB rates'!N229</f>
        <v>4.3974000000075436E-5</v>
      </c>
      <c r="F171" s="149">
        <f>+'ZCB rates'!O229</f>
        <v>-1.7255600000002559E-4</v>
      </c>
      <c r="G171" s="149">
        <f>+'ZCB rates'!P229</f>
        <v>-9.0379599999996E-4</v>
      </c>
      <c r="H171" s="150">
        <f>+'ZCB rates'!Q229</f>
        <v>-2.8523499999999311E-3</v>
      </c>
      <c r="I171" s="151">
        <f t="shared" si="34"/>
        <v>0.9911462106880744</v>
      </c>
      <c r="J171" s="151">
        <f t="shared" si="35"/>
        <v>0.98283197133336542</v>
      </c>
      <c r="K171" s="151">
        <f t="shared" si="36"/>
        <v>0.9674612834353421</v>
      </c>
      <c r="L171" s="151">
        <f t="shared" si="37"/>
        <v>0.93985214560437191</v>
      </c>
      <c r="M171" s="151">
        <f t="shared" si="38"/>
        <v>0.8623134442446776</v>
      </c>
      <c r="N171" s="152">
        <f t="shared" si="44"/>
        <v>15485.945135056299</v>
      </c>
      <c r="O171" s="153">
        <f t="shared" si="45"/>
        <v>-16.413122493799165</v>
      </c>
      <c r="P171" s="154">
        <f t="shared" si="39"/>
        <v>0.53861511409489959</v>
      </c>
      <c r="Q171" s="155">
        <f t="shared" si="40"/>
        <v>3.5814198268018009E-2</v>
      </c>
      <c r="R171" s="158">
        <f t="shared" si="31"/>
        <v>268.7264204291738</v>
      </c>
      <c r="S171" s="158">
        <f t="shared" si="41"/>
        <v>-4405.1991902859272</v>
      </c>
      <c r="T171" s="158">
        <f t="shared" si="42"/>
        <v>72213.889036677079</v>
      </c>
      <c r="U171"/>
      <c r="V171" s="77">
        <v>21.66827916181137</v>
      </c>
      <c r="W171" s="19">
        <f t="shared" si="43"/>
        <v>7.1676935179552058E-3</v>
      </c>
      <c r="X171" s="22">
        <f>+SUM($W$129:W171)</f>
        <v>0.84591363088388316</v>
      </c>
      <c r="Z171"/>
    </row>
    <row r="172" spans="2:26" ht="20" customHeight="1" x14ac:dyDescent="0.35">
      <c r="B172" s="146">
        <f t="shared" si="33"/>
        <v>9</v>
      </c>
      <c r="C172" s="147">
        <f>+'ZCB rates'!B230</f>
        <v>45411</v>
      </c>
      <c r="D172" s="148">
        <f>+'ZCB rates'!M230</f>
        <v>3.0500125000000632E-5</v>
      </c>
      <c r="E172" s="149">
        <f>+'ZCB rates'!N230</f>
        <v>4.0102249999979177E-5</v>
      </c>
      <c r="F172" s="149">
        <f>+'ZCB rates'!O230</f>
        <v>3.2233999999986071E-5</v>
      </c>
      <c r="G172" s="149">
        <f>+'ZCB rates'!P230</f>
        <v>4.5702000000051558E-5</v>
      </c>
      <c r="H172" s="150">
        <f>+'ZCB rates'!Q230</f>
        <v>8.5726249999986878E-4</v>
      </c>
      <c r="I172" s="151">
        <f t="shared" si="34"/>
        <v>0.99111118035935453</v>
      </c>
      <c r="J172" s="151">
        <f t="shared" si="35"/>
        <v>0.98282816606104684</v>
      </c>
      <c r="K172" s="151">
        <f t="shared" si="36"/>
        <v>0.96765943012011413</v>
      </c>
      <c r="L172" s="151">
        <f t="shared" si="37"/>
        <v>0.94074495713122264</v>
      </c>
      <c r="M172" s="151">
        <f t="shared" si="38"/>
        <v>0.86551823356447444</v>
      </c>
      <c r="N172" s="152">
        <f t="shared" si="44"/>
        <v>15504.345758630281</v>
      </c>
      <c r="O172" s="153">
        <f t="shared" si="45"/>
        <v>1.9875010801824828</v>
      </c>
      <c r="P172" s="154">
        <f t="shared" si="39"/>
        <v>0.57299480222861654</v>
      </c>
      <c r="Q172" s="155">
        <f t="shared" si="40"/>
        <v>3.810021092342341E-2</v>
      </c>
      <c r="R172" s="158">
        <f t="shared" si="31"/>
        <v>4.0310458041546431</v>
      </c>
      <c r="S172" s="158">
        <f t="shared" si="41"/>
        <v>8.0933178997330106</v>
      </c>
      <c r="T172" s="158">
        <f t="shared" si="42"/>
        <v>16.249330275192754</v>
      </c>
      <c r="U172"/>
      <c r="V172" s="77">
        <v>25.287223407156489</v>
      </c>
      <c r="W172" s="19">
        <f t="shared" si="43"/>
        <v>5.875331894983743E-2</v>
      </c>
      <c r="X172" s="22">
        <f>+SUM($W$129:W172)</f>
        <v>0.90466694983372054</v>
      </c>
      <c r="Z172"/>
    </row>
    <row r="173" spans="2:26" ht="20" customHeight="1" x14ac:dyDescent="0.35">
      <c r="B173" s="146">
        <f t="shared" si="33"/>
        <v>8</v>
      </c>
      <c r="C173" s="147">
        <f>+'ZCB rates'!B231</f>
        <v>45418</v>
      </c>
      <c r="D173" s="148">
        <f>+'ZCB rates'!M231</f>
        <v>5.6890375000105267E-5</v>
      </c>
      <c r="E173" s="149">
        <f>+'ZCB rates'!N231</f>
        <v>1.1938074999985867E-4</v>
      </c>
      <c r="F173" s="149">
        <f>+'ZCB rates'!O231</f>
        <v>2.719779999999758E-4</v>
      </c>
      <c r="G173" s="149">
        <f>+'ZCB rates'!P231</f>
        <v>7.0507799999998812E-4</v>
      </c>
      <c r="H173" s="150">
        <f>+'ZCB rates'!Q231</f>
        <v>2.5345574999999219E-3</v>
      </c>
      <c r="I173" s="151">
        <f t="shared" si="34"/>
        <v>0.99113733637631241</v>
      </c>
      <c r="J173" s="151">
        <f t="shared" si="35"/>
        <v>0.98290608629246845</v>
      </c>
      <c r="K173" s="151">
        <f t="shared" si="36"/>
        <v>0.96789144847392161</v>
      </c>
      <c r="L173" s="151">
        <f t="shared" si="37"/>
        <v>0.94136546633003071</v>
      </c>
      <c r="M173" s="151">
        <f t="shared" si="38"/>
        <v>0.86697118114025939</v>
      </c>
      <c r="N173" s="152">
        <f t="shared" si="44"/>
        <v>15515.791811516199</v>
      </c>
      <c r="O173" s="153">
        <f t="shared" si="45"/>
        <v>13.43355396610059</v>
      </c>
      <c r="P173" s="154">
        <f t="shared" si="39"/>
        <v>0.60956893854108152</v>
      </c>
      <c r="Q173" s="155">
        <f t="shared" si="40"/>
        <v>4.0532139280237682E-2</v>
      </c>
      <c r="R173" s="158">
        <f t="shared" si="31"/>
        <v>181.0047165488165</v>
      </c>
      <c r="S173" s="158">
        <f t="shared" si="41"/>
        <v>2435.2011351522742</v>
      </c>
      <c r="T173" s="158">
        <f t="shared" si="42"/>
        <v>32762.707412917407</v>
      </c>
      <c r="U173"/>
      <c r="V173" s="77">
        <v>30.163683830376613</v>
      </c>
      <c r="W173" s="19">
        <f t="shared" si="43"/>
        <v>2.3224705130782532E-2</v>
      </c>
      <c r="X173" s="22">
        <f>+SUM($W$129:W173)</f>
        <v>0.9278916549645031</v>
      </c>
      <c r="Z173"/>
    </row>
    <row r="174" spans="2:26" ht="20" customHeight="1" x14ac:dyDescent="0.35">
      <c r="B174" s="146">
        <f t="shared" si="33"/>
        <v>7</v>
      </c>
      <c r="C174" s="147">
        <f>+'ZCB rates'!B232</f>
        <v>45425</v>
      </c>
      <c r="D174" s="148">
        <f>+'ZCB rates'!M232</f>
        <v>6.5197999999967238E-5</v>
      </c>
      <c r="E174" s="149">
        <f>+'ZCB rates'!N232</f>
        <v>7.1893999999962961E-5</v>
      </c>
      <c r="F174" s="149">
        <f>+'ZCB rates'!O232</f>
        <v>-1.350600000006074E-5</v>
      </c>
      <c r="G174" s="149">
        <f>+'ZCB rates'!P232</f>
        <v>-2.7443200000001124E-4</v>
      </c>
      <c r="H174" s="150">
        <f>+'ZCB rates'!Q232</f>
        <v>-3.952100000000238E-4</v>
      </c>
      <c r="I174" s="151">
        <f t="shared" si="34"/>
        <v>0.99114557040782902</v>
      </c>
      <c r="J174" s="151">
        <f t="shared" si="35"/>
        <v>0.98285941238508023</v>
      </c>
      <c r="K174" s="151">
        <f t="shared" si="36"/>
        <v>0.96761517039000811</v>
      </c>
      <c r="L174" s="151">
        <f t="shared" si="37"/>
        <v>0.94044384088646193</v>
      </c>
      <c r="M174" s="151">
        <f t="shared" si="38"/>
        <v>0.86443487435911359</v>
      </c>
      <c r="N174" s="152">
        <f t="shared" si="44"/>
        <v>15498.156951781421</v>
      </c>
      <c r="O174" s="153">
        <f t="shared" si="45"/>
        <v>-4.2013057686781394</v>
      </c>
      <c r="P174" s="154">
        <f t="shared" si="39"/>
        <v>0.64847759419263984</v>
      </c>
      <c r="Q174" s="155">
        <f t="shared" si="40"/>
        <v>4.3119297106635826E-2</v>
      </c>
      <c r="R174" s="158">
        <f t="shared" si="31"/>
        <v>17.481266065861316</v>
      </c>
      <c r="S174" s="158">
        <f t="shared" si="41"/>
        <v>-73.090229284428659</v>
      </c>
      <c r="T174" s="158">
        <f t="shared" si="42"/>
        <v>305.59466326543441</v>
      </c>
      <c r="U174"/>
      <c r="V174" s="77">
        <v>32.164357931722407</v>
      </c>
      <c r="W174" s="19">
        <f t="shared" si="43"/>
        <v>1.2509177203836833E-2</v>
      </c>
      <c r="X174" s="22">
        <f>+SUM($W$129:W174)</f>
        <v>0.94040083216833992</v>
      </c>
      <c r="Z174"/>
    </row>
    <row r="175" spans="2:26" ht="20" customHeight="1" x14ac:dyDescent="0.35">
      <c r="B175" s="146">
        <f t="shared" si="33"/>
        <v>6</v>
      </c>
      <c r="C175" s="147">
        <f>+'ZCB rates'!B233</f>
        <v>45432</v>
      </c>
      <c r="D175" s="148">
        <f>+'ZCB rates'!M233</f>
        <v>-2.2695999999990955E-5</v>
      </c>
      <c r="E175" s="149">
        <f>+'ZCB rates'!N233</f>
        <v>-1.0134999999991123E-4</v>
      </c>
      <c r="F175" s="149">
        <f>+'ZCB rates'!O233</f>
        <v>-3.7371600000001584E-4</v>
      </c>
      <c r="G175" s="149">
        <f>+'ZCB rates'!P233</f>
        <v>-1.1335720000000464E-3</v>
      </c>
      <c r="H175" s="150">
        <f>+'ZCB rates'!Q233</f>
        <v>-3.2283000000000051E-3</v>
      </c>
      <c r="I175" s="151">
        <f t="shared" si="34"/>
        <v>0.99105845848742724</v>
      </c>
      <c r="J175" s="151">
        <f t="shared" si="35"/>
        <v>0.98268915263770673</v>
      </c>
      <c r="K175" s="151">
        <f t="shared" si="36"/>
        <v>0.96726668849658137</v>
      </c>
      <c r="L175" s="151">
        <f t="shared" si="37"/>
        <v>0.93963621494655492</v>
      </c>
      <c r="M175" s="151">
        <f t="shared" si="38"/>
        <v>0.86198931843668014</v>
      </c>
      <c r="N175" s="152">
        <f t="shared" si="44"/>
        <v>15482.195323870295</v>
      </c>
      <c r="O175" s="153">
        <f t="shared" si="45"/>
        <v>-20.162933679803245</v>
      </c>
      <c r="P175" s="154">
        <f t="shared" si="39"/>
        <v>0.68986978105599994</v>
      </c>
      <c r="Q175" s="155">
        <f t="shared" si="40"/>
        <v>4.5871592666633862E-2</v>
      </c>
      <c r="R175" s="158">
        <f t="shared" si="31"/>
        <v>405.7278923866736</v>
      </c>
      <c r="S175" s="158">
        <f t="shared" si="41"/>
        <v>-8172.4504753489618</v>
      </c>
      <c r="T175" s="158">
        <f t="shared" si="42"/>
        <v>164615.12266053219</v>
      </c>
      <c r="U175"/>
      <c r="V175" s="77">
        <v>34.667455851455088</v>
      </c>
      <c r="W175" s="19">
        <f t="shared" si="43"/>
        <v>1.7044704514535217E-2</v>
      </c>
      <c r="X175" s="22">
        <f>+SUM($W$129:W175)</f>
        <v>0.95744553668287513</v>
      </c>
      <c r="Z175"/>
    </row>
    <row r="176" spans="2:26" ht="20" customHeight="1" x14ac:dyDescent="0.35">
      <c r="B176" s="146">
        <f t="shared" si="33"/>
        <v>5</v>
      </c>
      <c r="C176" s="147">
        <f>+'ZCB rates'!B234</f>
        <v>45439</v>
      </c>
      <c r="D176" s="148">
        <f>+'ZCB rates'!M234</f>
        <v>9.1146000000052731E-5</v>
      </c>
      <c r="E176" s="149">
        <f>+'ZCB rates'!N234</f>
        <v>1.0848999999997882E-4</v>
      </c>
      <c r="F176" s="149">
        <f>+'ZCB rates'!O234</f>
        <v>-1.9032000000097141E-5</v>
      </c>
      <c r="G176" s="149">
        <f>+'ZCB rates'!P234</f>
        <v>-6.4101999999997437E-4</v>
      </c>
      <c r="H176" s="150">
        <f>+'ZCB rates'!Q234</f>
        <v>-3.0411200000000902E-3</v>
      </c>
      <c r="I176" s="151">
        <f t="shared" si="34"/>
        <v>0.99117128898676143</v>
      </c>
      <c r="J176" s="151">
        <f t="shared" si="35"/>
        <v>0.98289538176629965</v>
      </c>
      <c r="K176" s="151">
        <f t="shared" si="36"/>
        <v>0.96760982336335033</v>
      </c>
      <c r="L176" s="151">
        <f t="shared" si="37"/>
        <v>0.94009914864359923</v>
      </c>
      <c r="M176" s="151">
        <f t="shared" si="38"/>
        <v>0.86215068069872802</v>
      </c>
      <c r="N176" s="152">
        <f t="shared" si="44"/>
        <v>15489.183994187115</v>
      </c>
      <c r="O176" s="153">
        <f t="shared" si="45"/>
        <v>-13.174263362983766</v>
      </c>
      <c r="P176" s="154">
        <f t="shared" si="39"/>
        <v>0.73390402239999986</v>
      </c>
      <c r="Q176" s="155">
        <f t="shared" si="40"/>
        <v>4.8799566666631766E-2</v>
      </c>
      <c r="R176" s="158">
        <f t="shared" si="31"/>
        <v>173.02818938637773</v>
      </c>
      <c r="S176" s="158">
        <f t="shared" si="41"/>
        <v>-2276.0159166570079</v>
      </c>
      <c r="T176" s="158">
        <f t="shared" si="42"/>
        <v>29938.754322328201</v>
      </c>
      <c r="U176"/>
      <c r="V176" s="77">
        <v>39.531373537283798</v>
      </c>
      <c r="W176" s="19">
        <f t="shared" si="43"/>
        <v>3.0141813443304516E-3</v>
      </c>
      <c r="X176" s="22">
        <f>+SUM($W$129:W176)</f>
        <v>0.96045971802720553</v>
      </c>
      <c r="Z176"/>
    </row>
    <row r="177" spans="2:26" ht="20" customHeight="1" x14ac:dyDescent="0.35">
      <c r="B177" s="146">
        <f t="shared" si="33"/>
        <v>4</v>
      </c>
      <c r="C177" s="147">
        <f>+'ZCB rates'!B235</f>
        <v>45446</v>
      </c>
      <c r="D177" s="148">
        <f>+'ZCB rates'!M235</f>
        <v>8.0719499999994462E-5</v>
      </c>
      <c r="E177" s="149">
        <f>+'ZCB rates'!N235</f>
        <v>1.5169100000015338E-4</v>
      </c>
      <c r="F177" s="149">
        <f>+'ZCB rates'!O235</f>
        <v>2.862820000001422E-4</v>
      </c>
      <c r="G177" s="149">
        <f>+'ZCB rates'!P235</f>
        <v>6.0823200000009129E-4</v>
      </c>
      <c r="H177" s="150">
        <f>+'ZCB rates'!Q235</f>
        <v>2.1964300000001731E-3</v>
      </c>
      <c r="I177" s="151">
        <f t="shared" si="34"/>
        <v>0.99116095459319264</v>
      </c>
      <c r="J177" s="151">
        <f t="shared" si="35"/>
        <v>0.98293784474690249</v>
      </c>
      <c r="K177" s="151">
        <f t="shared" si="36"/>
        <v>0.96790529329221864</v>
      </c>
      <c r="L177" s="151">
        <f t="shared" si="37"/>
        <v>0.94127430326453898</v>
      </c>
      <c r="M177" s="151">
        <f t="shared" si="38"/>
        <v>0.86667808389712009</v>
      </c>
      <c r="N177" s="152">
        <f t="shared" si="44"/>
        <v>15514.004542985589</v>
      </c>
      <c r="O177" s="153">
        <f t="shared" si="45"/>
        <v>11.646285435490427</v>
      </c>
      <c r="P177" s="154">
        <f t="shared" si="39"/>
        <v>0.78074895999999994</v>
      </c>
      <c r="Q177" s="155">
        <f t="shared" si="40"/>
        <v>5.191443262407635E-2</v>
      </c>
      <c r="R177" s="158">
        <f t="shared" si="31"/>
        <v>136.1079410118322</v>
      </c>
      <c r="S177" s="158">
        <f t="shared" si="41"/>
        <v>1587.9074865486039</v>
      </c>
      <c r="T177" s="158">
        <f t="shared" si="42"/>
        <v>18525.371606480392</v>
      </c>
      <c r="U177"/>
      <c r="V177" s="77">
        <v>44.340386545243746</v>
      </c>
      <c r="W177" s="19">
        <f t="shared" si="43"/>
        <v>7.6252058701651122E-3</v>
      </c>
      <c r="X177" s="22">
        <f>+SUM($W$129:W177)</f>
        <v>0.96808492389737066</v>
      </c>
      <c r="Z177"/>
    </row>
    <row r="178" spans="2:26" ht="20" customHeight="1" x14ac:dyDescent="0.35">
      <c r="B178" s="146">
        <f t="shared" si="33"/>
        <v>3</v>
      </c>
      <c r="C178" s="147">
        <f>+'ZCB rates'!B236</f>
        <v>45453</v>
      </c>
      <c r="D178" s="148">
        <f>+'ZCB rates'!M236</f>
        <v>8.4010999999961286E-5</v>
      </c>
      <c r="E178" s="149">
        <f>+'ZCB rates'!N236</f>
        <v>1.2478699999996176E-4</v>
      </c>
      <c r="F178" s="149">
        <f>+'ZCB rates'!O236</f>
        <v>1.0897799999997491E-4</v>
      </c>
      <c r="G178" s="149">
        <f>+'ZCB rates'!P236</f>
        <v>-1.6674400000005028E-4</v>
      </c>
      <c r="H178" s="150">
        <f>+'ZCB rates'!Q236</f>
        <v>-1.8778999999999281E-3</v>
      </c>
      <c r="I178" s="151">
        <f t="shared" si="34"/>
        <v>0.99116421700484381</v>
      </c>
      <c r="J178" s="151">
        <f t="shared" si="35"/>
        <v>0.9829114001428616</v>
      </c>
      <c r="K178" s="151">
        <f t="shared" si="36"/>
        <v>0.96773369502507567</v>
      </c>
      <c r="L178" s="151">
        <f t="shared" si="37"/>
        <v>0.94054512085602004</v>
      </c>
      <c r="M178" s="151">
        <f t="shared" si="38"/>
        <v>0.86315413511950989</v>
      </c>
      <c r="N178" s="152">
        <f t="shared" si="44"/>
        <v>15497.299059267541</v>
      </c>
      <c r="O178" s="153">
        <f t="shared" si="45"/>
        <v>-5.0591982825571904</v>
      </c>
      <c r="P178" s="154">
        <f t="shared" si="39"/>
        <v>0.83058399999999988</v>
      </c>
      <c r="Q178" s="155">
        <f t="shared" si="40"/>
        <v>5.5228119812847178E-2</v>
      </c>
      <c r="R178" s="158">
        <f t="shared" si="31"/>
        <v>25.39104646517255</v>
      </c>
      <c r="S178" s="158">
        <f t="shared" si="41"/>
        <v>-127.94428756426481</v>
      </c>
      <c r="T178" s="158">
        <f t="shared" si="42"/>
        <v>644.70524059655145</v>
      </c>
      <c r="U178"/>
      <c r="V178" s="77">
        <v>48.067788797196044</v>
      </c>
      <c r="W178" s="19">
        <f t="shared" si="43"/>
        <v>9.7665270923513146E-3</v>
      </c>
      <c r="X178" s="22">
        <f>+SUM($W$129:W178)</f>
        <v>0.97785145098972193</v>
      </c>
      <c r="Z178"/>
    </row>
    <row r="179" spans="2:26" ht="20" customHeight="1" x14ac:dyDescent="0.35">
      <c r="B179" s="146">
        <f t="shared" si="33"/>
        <v>2</v>
      </c>
      <c r="C179" s="147">
        <f>+'ZCB rates'!B237</f>
        <v>45460</v>
      </c>
      <c r="D179" s="148">
        <f>+'ZCB rates'!M237</f>
        <v>6.1192999999879662E-5</v>
      </c>
      <c r="E179" s="149">
        <f>+'ZCB rates'!N237</f>
        <v>1.6055699999996108E-4</v>
      </c>
      <c r="F179" s="149">
        <f>+'ZCB rates'!O237</f>
        <v>4.5769399999987486E-4</v>
      </c>
      <c r="G179" s="149">
        <f>+'ZCB rates'!P237</f>
        <v>1.339368000000053E-3</v>
      </c>
      <c r="H179" s="150">
        <f>+'ZCB rates'!Q237</f>
        <v>4.693220000000089E-3</v>
      </c>
      <c r="I179" s="151">
        <f t="shared" si="34"/>
        <v>0.99114160087776848</v>
      </c>
      <c r="J179" s="151">
        <f t="shared" si="35"/>
        <v>0.98294655951246634</v>
      </c>
      <c r="K179" s="151">
        <f t="shared" si="36"/>
        <v>0.96807121809469698</v>
      </c>
      <c r="L179" s="151">
        <f t="shared" si="37"/>
        <v>0.94196275443858113</v>
      </c>
      <c r="M179" s="151">
        <f t="shared" si="38"/>
        <v>0.86884470073829478</v>
      </c>
      <c r="N179" s="152">
        <f t="shared" si="44"/>
        <v>15527.645480957255</v>
      </c>
      <c r="O179" s="153">
        <f t="shared" si="45"/>
        <v>25.287223407156489</v>
      </c>
      <c r="P179" s="154">
        <f t="shared" si="39"/>
        <v>0.88359999999999994</v>
      </c>
      <c r="Q179" s="155">
        <f t="shared" si="40"/>
        <v>5.875331894983743E-2</v>
      </c>
      <c r="R179" s="158">
        <f t="shared" si="31"/>
        <v>640.46797585550257</v>
      </c>
      <c r="S179" s="158">
        <f t="shared" si="41"/>
        <v>16208.623301083269</v>
      </c>
      <c r="T179" s="158">
        <f t="shared" si="42"/>
        <v>410199.22809644463</v>
      </c>
      <c r="U179"/>
      <c r="V179" s="77">
        <v>65.046870466987457</v>
      </c>
      <c r="W179" s="19">
        <f t="shared" si="43"/>
        <v>1.1758626571606624E-2</v>
      </c>
      <c r="X179" s="22">
        <f>+SUM($W$129:W179)</f>
        <v>0.98961007756132857</v>
      </c>
      <c r="Z179"/>
    </row>
    <row r="180" spans="2:26" ht="20" customHeight="1" x14ac:dyDescent="0.35">
      <c r="B180" s="146">
        <v>1</v>
      </c>
      <c r="C180" s="147">
        <f>+'ZCB rates'!B238</f>
        <v>45467</v>
      </c>
      <c r="D180" s="148">
        <f>+'ZCB rates'!M238</f>
        <v>6.5463999999923139E-5</v>
      </c>
      <c r="E180" s="149">
        <f>+'ZCB rates'!N238</f>
        <v>1.2263699999995705E-4</v>
      </c>
      <c r="F180" s="149">
        <f>+'ZCB rates'!O238</f>
        <v>2.099360000000894E-4</v>
      </c>
      <c r="G180" s="149">
        <f>+'ZCB rates'!P238</f>
        <v>2.7158800000003314E-4</v>
      </c>
      <c r="H180" s="150">
        <f>+'ZCB rates'!Q238</f>
        <v>-3.2224000000002841E-4</v>
      </c>
      <c r="I180" s="151">
        <f t="shared" si="34"/>
        <v>0.99114583405258572</v>
      </c>
      <c r="J180" s="151">
        <f t="shared" si="35"/>
        <v>0.98290928688562307</v>
      </c>
      <c r="K180" s="151">
        <f t="shared" si="36"/>
        <v>0.96783140041544558</v>
      </c>
      <c r="L180" s="151">
        <f t="shared" si="37"/>
        <v>0.94095748224892983</v>
      </c>
      <c r="M180" s="151">
        <f t="shared" si="38"/>
        <v>0.86449795447334554</v>
      </c>
      <c r="N180" s="152">
        <f t="shared" si="44"/>
        <v>15505.551105427303</v>
      </c>
      <c r="O180" s="153">
        <f t="shared" si="45"/>
        <v>3.1928478772042581</v>
      </c>
      <c r="P180" s="154">
        <f t="shared" si="39"/>
        <v>0.94</v>
      </c>
      <c r="Q180" s="155">
        <f>+P180/$P$184</f>
        <v>6.2503530797699394E-2</v>
      </c>
      <c r="R180" s="158">
        <f t="shared" si="31"/>
        <v>10.32396820872304</v>
      </c>
      <c r="S180" s="158">
        <f t="shared" si="41"/>
        <v>33.171872525346338</v>
      </c>
      <c r="T180" s="158">
        <f t="shared" si="42"/>
        <v>106.58431957472401</v>
      </c>
      <c r="U180"/>
      <c r="V180" s="77">
        <v>71.513879761030694</v>
      </c>
      <c r="W180" s="19">
        <f t="shared" si="43"/>
        <v>1.0389922438671612E-2</v>
      </c>
      <c r="X180" s="22">
        <f>+SUM($W$129:W180)</f>
        <v>1.0000000000000002</v>
      </c>
      <c r="Z180"/>
    </row>
    <row r="181" spans="2:26" ht="20" customHeight="1" x14ac:dyDescent="0.35">
      <c r="U181"/>
      <c r="V181" s="77"/>
      <c r="W181" s="19"/>
      <c r="X181" s="22"/>
      <c r="Z181"/>
    </row>
    <row r="182" spans="2:26" ht="20" customHeight="1" x14ac:dyDescent="0.35">
      <c r="B182"/>
      <c r="C182"/>
      <c r="D182"/>
      <c r="E182"/>
      <c r="F182"/>
      <c r="G182"/>
      <c r="H182"/>
      <c r="I182"/>
      <c r="J182"/>
      <c r="K182"/>
      <c r="L182"/>
      <c r="M182"/>
      <c r="N182"/>
      <c r="O182"/>
      <c r="P182"/>
      <c r="Q182"/>
      <c r="R182"/>
      <c r="S182"/>
      <c r="T182"/>
      <c r="U182"/>
      <c r="V182" s="77"/>
      <c r="W182"/>
      <c r="X182"/>
      <c r="Z182"/>
    </row>
    <row r="183" spans="2:26" ht="20" customHeight="1" x14ac:dyDescent="0.35">
      <c r="B183"/>
      <c r="C183"/>
      <c r="D183"/>
      <c r="E183"/>
      <c r="F183"/>
      <c r="G183"/>
      <c r="H183"/>
      <c r="I183"/>
      <c r="J183"/>
      <c r="K183"/>
      <c r="L183"/>
      <c r="M183"/>
      <c r="N183"/>
      <c r="O183"/>
      <c r="P183"/>
      <c r="Q183"/>
      <c r="R183"/>
      <c r="S183"/>
      <c r="T183"/>
      <c r="U183"/>
      <c r="V183" s="77"/>
      <c r="W183"/>
      <c r="X183"/>
      <c r="Z183"/>
    </row>
    <row r="184" spans="2:26" ht="20" customHeight="1" x14ac:dyDescent="0.35">
      <c r="B184"/>
      <c r="C184"/>
      <c r="D184"/>
      <c r="E184"/>
      <c r="F184"/>
      <c r="G184"/>
      <c r="H184"/>
      <c r="I184"/>
      <c r="J184"/>
      <c r="K184"/>
      <c r="L184"/>
      <c r="M184"/>
      <c r="N184"/>
      <c r="O184"/>
      <c r="P184" s="76">
        <f>+SUM(P129:P180)</f>
        <v>15.039150396838048</v>
      </c>
      <c r="Q184"/>
      <c r="R184"/>
      <c r="S184"/>
      <c r="T184"/>
      <c r="U184"/>
      <c r="V184" s="77"/>
      <c r="W184"/>
      <c r="X184"/>
      <c r="Z184"/>
    </row>
    <row r="185" spans="2:26" ht="20" customHeight="1" x14ac:dyDescent="0.35">
      <c r="B185"/>
      <c r="C185"/>
      <c r="D185"/>
      <c r="E185"/>
      <c r="F185"/>
      <c r="G185"/>
      <c r="H185"/>
      <c r="I185"/>
      <c r="J185"/>
      <c r="K185"/>
      <c r="L185"/>
      <c r="M185"/>
      <c r="N185"/>
      <c r="O185"/>
      <c r="P185"/>
      <c r="Q185"/>
      <c r="R185"/>
      <c r="S185"/>
      <c r="T185"/>
      <c r="U185"/>
      <c r="V185" s="77"/>
      <c r="W185"/>
      <c r="X185"/>
      <c r="Z185"/>
    </row>
    <row r="186" spans="2:26" ht="20" customHeight="1" x14ac:dyDescent="0.35">
      <c r="B186"/>
      <c r="C186"/>
      <c r="D186"/>
      <c r="E186"/>
      <c r="F186"/>
      <c r="G186"/>
      <c r="H186"/>
      <c r="I186"/>
      <c r="J186"/>
      <c r="K186"/>
      <c r="L186"/>
      <c r="M186"/>
      <c r="N186"/>
      <c r="O186"/>
      <c r="P186"/>
      <c r="Q186"/>
      <c r="R186"/>
      <c r="S186"/>
      <c r="T186"/>
      <c r="U186"/>
      <c r="V186" s="77"/>
      <c r="W186"/>
      <c r="X186"/>
      <c r="Z186"/>
    </row>
    <row r="187" spans="2:26" ht="20" customHeight="1" x14ac:dyDescent="0.35">
      <c r="B187"/>
      <c r="C187"/>
      <c r="D187"/>
      <c r="E187"/>
      <c r="F187"/>
      <c r="G187"/>
      <c r="H187"/>
      <c r="I187"/>
      <c r="J187"/>
      <c r="K187"/>
      <c r="L187"/>
      <c r="M187"/>
      <c r="N187"/>
      <c r="O187"/>
      <c r="P187"/>
      <c r="Q187"/>
      <c r="R187"/>
      <c r="S187"/>
      <c r="T187"/>
      <c r="U187"/>
      <c r="V187" s="77"/>
      <c r="W187"/>
      <c r="X187"/>
      <c r="Z187"/>
    </row>
    <row r="188" spans="2:26" ht="20" customHeight="1" x14ac:dyDescent="0.35">
      <c r="B188"/>
      <c r="C188"/>
      <c r="D188"/>
      <c r="E188"/>
      <c r="F188"/>
      <c r="G188"/>
      <c r="H188"/>
      <c r="I188"/>
      <c r="J188"/>
      <c r="K188"/>
      <c r="L188"/>
      <c r="M188"/>
      <c r="N188"/>
      <c r="O188"/>
      <c r="P188"/>
      <c r="Q188"/>
      <c r="R188"/>
      <c r="S188"/>
      <c r="T188"/>
      <c r="U188"/>
      <c r="V188" s="77"/>
      <c r="W188"/>
      <c r="X188"/>
      <c r="Z188"/>
    </row>
    <row r="189" spans="2:26" ht="20" customHeight="1" x14ac:dyDescent="0.35">
      <c r="B189"/>
      <c r="C189"/>
      <c r="D189"/>
      <c r="E189"/>
      <c r="F189"/>
      <c r="G189"/>
      <c r="H189"/>
      <c r="I189"/>
      <c r="J189"/>
      <c r="K189"/>
      <c r="L189"/>
      <c r="M189"/>
      <c r="N189"/>
      <c r="O189"/>
      <c r="P189"/>
      <c r="Q189"/>
      <c r="R189"/>
      <c r="S189"/>
      <c r="T189"/>
      <c r="U189"/>
      <c r="V189" s="77"/>
      <c r="W189"/>
      <c r="X189"/>
      <c r="Z189"/>
    </row>
    <row r="190" spans="2:26" ht="20" customHeight="1" x14ac:dyDescent="0.35">
      <c r="B190"/>
      <c r="C190"/>
      <c r="D190"/>
      <c r="E190"/>
      <c r="F190"/>
      <c r="G190"/>
      <c r="H190"/>
      <c r="I190"/>
      <c r="J190"/>
      <c r="K190"/>
      <c r="L190"/>
      <c r="M190"/>
      <c r="N190"/>
      <c r="O190"/>
      <c r="P190"/>
      <c r="Q190"/>
      <c r="R190"/>
      <c r="S190"/>
      <c r="T190"/>
      <c r="U190"/>
      <c r="V190" s="77"/>
      <c r="W190"/>
      <c r="X190"/>
      <c r="Z190"/>
    </row>
    <row r="191" spans="2:26" ht="20" customHeight="1" x14ac:dyDescent="0.35">
      <c r="B191"/>
      <c r="C191"/>
      <c r="D191"/>
      <c r="E191"/>
      <c r="F191"/>
      <c r="G191"/>
      <c r="H191"/>
      <c r="I191"/>
      <c r="J191"/>
      <c r="K191"/>
      <c r="L191"/>
      <c r="M191"/>
      <c r="N191"/>
      <c r="O191"/>
      <c r="P191"/>
      <c r="Q191"/>
      <c r="R191"/>
      <c r="S191"/>
      <c r="T191"/>
      <c r="U191"/>
      <c r="V191" s="77"/>
      <c r="W191"/>
      <c r="X191"/>
      <c r="Z191"/>
    </row>
    <row r="192" spans="2:26" ht="20" customHeight="1" x14ac:dyDescent="0.35">
      <c r="B192"/>
      <c r="C192"/>
      <c r="D192"/>
      <c r="E192"/>
      <c r="F192"/>
      <c r="G192"/>
      <c r="H192"/>
      <c r="I192"/>
      <c r="J192"/>
      <c r="K192"/>
      <c r="L192"/>
      <c r="M192"/>
      <c r="N192"/>
      <c r="O192"/>
      <c r="P192"/>
      <c r="Q192"/>
      <c r="R192"/>
      <c r="S192"/>
      <c r="T192"/>
      <c r="U192"/>
      <c r="V192" s="77"/>
      <c r="W192"/>
      <c r="X192"/>
      <c r="Z192"/>
    </row>
    <row r="193" spans="2:26" ht="20" customHeight="1" x14ac:dyDescent="0.35">
      <c r="B193"/>
      <c r="C193"/>
      <c r="D193"/>
      <c r="E193"/>
      <c r="F193"/>
      <c r="G193"/>
      <c r="H193"/>
      <c r="I193"/>
      <c r="J193"/>
      <c r="K193"/>
      <c r="L193"/>
      <c r="M193"/>
      <c r="N193"/>
      <c r="O193"/>
      <c r="P193"/>
      <c r="Q193"/>
      <c r="R193"/>
      <c r="S193"/>
      <c r="T193"/>
      <c r="U193"/>
      <c r="V193" s="77"/>
      <c r="W193"/>
      <c r="X193"/>
      <c r="Z193"/>
    </row>
    <row r="194" spans="2:26" ht="20" customHeight="1" x14ac:dyDescent="0.35">
      <c r="B194"/>
      <c r="C194"/>
      <c r="D194"/>
      <c r="E194"/>
      <c r="F194"/>
      <c r="G194"/>
      <c r="H194"/>
      <c r="I194"/>
      <c r="J194"/>
      <c r="K194"/>
      <c r="L194"/>
      <c r="M194"/>
      <c r="N194"/>
      <c r="O194"/>
      <c r="P194"/>
      <c r="Q194"/>
      <c r="R194"/>
      <c r="S194"/>
      <c r="T194"/>
      <c r="U194"/>
      <c r="V194" s="77"/>
      <c r="W194"/>
      <c r="X194"/>
      <c r="Z194"/>
    </row>
    <row r="195" spans="2:26" ht="20" customHeight="1" x14ac:dyDescent="0.35">
      <c r="B195"/>
      <c r="C195"/>
      <c r="D195"/>
      <c r="E195"/>
      <c r="F195"/>
      <c r="G195"/>
      <c r="H195"/>
      <c r="I195"/>
      <c r="J195"/>
      <c r="K195"/>
      <c r="L195"/>
      <c r="M195"/>
      <c r="O195"/>
      <c r="P195"/>
      <c r="Q195"/>
      <c r="R195"/>
      <c r="S195"/>
      <c r="T195"/>
      <c r="U195"/>
      <c r="V195" s="77"/>
      <c r="W195"/>
      <c r="X195"/>
      <c r="Z195"/>
    </row>
    <row r="196" spans="2:26" ht="20" customHeight="1" x14ac:dyDescent="0.35">
      <c r="B196"/>
      <c r="C196"/>
      <c r="D196"/>
      <c r="E196"/>
      <c r="F196"/>
      <c r="G196"/>
      <c r="H196"/>
      <c r="I196"/>
      <c r="J196"/>
      <c r="K196"/>
      <c r="L196"/>
      <c r="M196"/>
      <c r="N196"/>
      <c r="O196"/>
      <c r="P196"/>
      <c r="Q196"/>
      <c r="R196"/>
      <c r="S196"/>
      <c r="T196"/>
      <c r="U196"/>
      <c r="V196" s="77"/>
      <c r="W196"/>
      <c r="X196"/>
      <c r="Z196"/>
    </row>
    <row r="197" spans="2:26" ht="20" customHeight="1" x14ac:dyDescent="0.35">
      <c r="B197"/>
      <c r="C197"/>
      <c r="D197"/>
      <c r="E197"/>
      <c r="F197"/>
      <c r="G197"/>
      <c r="H197"/>
      <c r="I197"/>
      <c r="J197"/>
      <c r="K197"/>
      <c r="L197"/>
      <c r="M197"/>
      <c r="N197"/>
      <c r="O197"/>
      <c r="P197"/>
      <c r="Q197"/>
      <c r="R197"/>
      <c r="S197"/>
      <c r="T197"/>
      <c r="U197"/>
      <c r="V197" s="77"/>
      <c r="W197"/>
      <c r="X197"/>
      <c r="Z197"/>
    </row>
    <row r="198" spans="2:26" ht="20" customHeight="1" x14ac:dyDescent="0.35">
      <c r="B198"/>
      <c r="C198"/>
      <c r="D198"/>
      <c r="E198"/>
      <c r="F198"/>
      <c r="G198"/>
      <c r="H198"/>
      <c r="I198"/>
      <c r="J198"/>
      <c r="K198"/>
      <c r="L198"/>
      <c r="M198"/>
      <c r="N198"/>
      <c r="O198"/>
      <c r="P198"/>
      <c r="Q198"/>
      <c r="R198"/>
      <c r="S198"/>
      <c r="T198"/>
      <c r="U198"/>
      <c r="V198" s="77"/>
      <c r="W198"/>
      <c r="X198"/>
      <c r="Z198"/>
    </row>
    <row r="199" spans="2:26" ht="20" customHeight="1" x14ac:dyDescent="0.35">
      <c r="B199"/>
      <c r="C199"/>
      <c r="D199"/>
      <c r="E199"/>
      <c r="F199"/>
      <c r="G199"/>
      <c r="H199"/>
      <c r="I199"/>
      <c r="J199"/>
      <c r="K199"/>
      <c r="L199"/>
      <c r="M199"/>
      <c r="N199"/>
      <c r="O199"/>
      <c r="P199"/>
      <c r="Q199"/>
      <c r="R199"/>
      <c r="S199"/>
      <c r="T199"/>
      <c r="U199"/>
      <c r="V199" s="77"/>
      <c r="W199"/>
      <c r="X199"/>
      <c r="Z199"/>
    </row>
    <row r="200" spans="2:26" ht="20" customHeight="1" x14ac:dyDescent="0.35">
      <c r="B200"/>
      <c r="C200"/>
      <c r="D200"/>
      <c r="E200"/>
      <c r="F200"/>
      <c r="G200"/>
      <c r="H200"/>
      <c r="I200"/>
      <c r="J200"/>
      <c r="K200"/>
      <c r="L200"/>
      <c r="M200"/>
      <c r="N200"/>
      <c r="O200"/>
      <c r="P200"/>
      <c r="Q200"/>
      <c r="R200"/>
      <c r="S200"/>
      <c r="T200"/>
      <c r="U200"/>
      <c r="V200" s="77"/>
      <c r="W200"/>
      <c r="X200"/>
      <c r="Z200"/>
    </row>
    <row r="201" spans="2:26" ht="20" customHeight="1" x14ac:dyDescent="0.35">
      <c r="B201"/>
      <c r="C201"/>
      <c r="D201"/>
      <c r="E201"/>
      <c r="F201"/>
      <c r="G201"/>
      <c r="H201"/>
      <c r="I201"/>
      <c r="J201"/>
      <c r="K201"/>
      <c r="L201"/>
      <c r="M201"/>
      <c r="N201"/>
      <c r="O201"/>
      <c r="P201"/>
      <c r="Q201"/>
      <c r="R201"/>
      <c r="S201"/>
      <c r="T201"/>
      <c r="U201"/>
      <c r="V201" s="77"/>
      <c r="W201"/>
      <c r="X201"/>
      <c r="Z201"/>
    </row>
    <row r="202" spans="2:26" ht="20" customHeight="1" x14ac:dyDescent="0.35">
      <c r="B202"/>
      <c r="C202"/>
      <c r="D202"/>
      <c r="E202"/>
      <c r="F202"/>
      <c r="G202"/>
      <c r="H202"/>
      <c r="I202"/>
      <c r="J202"/>
      <c r="K202"/>
      <c r="L202"/>
      <c r="M202"/>
      <c r="N202"/>
      <c r="O202"/>
      <c r="P202"/>
      <c r="Q202"/>
      <c r="R202"/>
      <c r="S202"/>
      <c r="T202"/>
      <c r="U202"/>
      <c r="V202" s="77"/>
      <c r="W202"/>
      <c r="X202"/>
      <c r="Z202"/>
    </row>
    <row r="203" spans="2:26" ht="20" customHeight="1" x14ac:dyDescent="0.35">
      <c r="B203"/>
      <c r="C203"/>
      <c r="D203"/>
      <c r="E203"/>
      <c r="F203"/>
      <c r="G203"/>
      <c r="H203"/>
      <c r="I203"/>
      <c r="J203"/>
      <c r="K203"/>
      <c r="L203"/>
      <c r="M203"/>
      <c r="N203"/>
      <c r="O203"/>
      <c r="P203"/>
      <c r="Q203"/>
      <c r="R203"/>
      <c r="S203"/>
      <c r="T203"/>
      <c r="U203"/>
      <c r="V203" s="77"/>
      <c r="W203"/>
      <c r="X203"/>
      <c r="Z203"/>
    </row>
    <row r="204" spans="2:26" ht="20" customHeight="1" x14ac:dyDescent="0.35">
      <c r="B204"/>
      <c r="C204"/>
      <c r="D204"/>
      <c r="E204"/>
      <c r="F204"/>
      <c r="G204"/>
      <c r="H204"/>
      <c r="I204"/>
      <c r="J204"/>
      <c r="K204"/>
      <c r="L204"/>
      <c r="M204"/>
      <c r="N204"/>
      <c r="O204"/>
      <c r="P204"/>
      <c r="Q204"/>
      <c r="R204"/>
      <c r="S204"/>
      <c r="T204"/>
      <c r="U204"/>
      <c r="V204" s="77"/>
      <c r="W204"/>
      <c r="X204"/>
      <c r="Z204"/>
    </row>
    <row r="205" spans="2:26" ht="20" customHeight="1" x14ac:dyDescent="0.35">
      <c r="B205"/>
      <c r="C205"/>
      <c r="D205"/>
      <c r="E205"/>
      <c r="F205"/>
      <c r="G205"/>
      <c r="H205"/>
      <c r="I205"/>
      <c r="J205"/>
      <c r="K205"/>
      <c r="L205"/>
      <c r="M205"/>
      <c r="N205"/>
      <c r="O205"/>
      <c r="P205"/>
      <c r="Q205"/>
      <c r="R205"/>
      <c r="S205"/>
      <c r="T205"/>
      <c r="U205"/>
      <c r="V205" s="77"/>
      <c r="W205"/>
      <c r="X205"/>
      <c r="Z205"/>
    </row>
    <row r="206" spans="2:26" ht="20" customHeight="1" x14ac:dyDescent="0.35">
      <c r="B206"/>
      <c r="C206"/>
      <c r="D206"/>
      <c r="E206"/>
      <c r="F206"/>
      <c r="G206"/>
      <c r="H206"/>
      <c r="I206"/>
      <c r="J206"/>
      <c r="K206"/>
      <c r="L206"/>
      <c r="M206"/>
      <c r="N206"/>
      <c r="O206"/>
      <c r="P206"/>
      <c r="Q206"/>
      <c r="R206"/>
      <c r="S206"/>
      <c r="T206"/>
      <c r="U206"/>
      <c r="V206" s="77"/>
      <c r="W206"/>
      <c r="X206"/>
      <c r="Z206"/>
    </row>
    <row r="207" spans="2:26" ht="20" customHeight="1" x14ac:dyDescent="0.35">
      <c r="B207"/>
      <c r="C207"/>
      <c r="D207"/>
      <c r="E207"/>
      <c r="F207"/>
      <c r="G207"/>
      <c r="H207"/>
      <c r="I207"/>
      <c r="J207"/>
      <c r="K207"/>
      <c r="L207"/>
      <c r="M207"/>
      <c r="N207"/>
      <c r="O207"/>
      <c r="P207"/>
      <c r="Q207"/>
      <c r="R207"/>
      <c r="S207"/>
      <c r="T207"/>
      <c r="U207"/>
      <c r="V207" s="77"/>
      <c r="W207"/>
      <c r="X207"/>
      <c r="Z207"/>
    </row>
    <row r="208" spans="2:26" ht="20" customHeight="1" x14ac:dyDescent="0.35">
      <c r="B208"/>
      <c r="C208"/>
      <c r="D208"/>
      <c r="E208"/>
      <c r="F208"/>
      <c r="G208"/>
      <c r="H208"/>
      <c r="I208"/>
      <c r="J208"/>
      <c r="K208"/>
      <c r="L208"/>
      <c r="M208"/>
      <c r="N208"/>
      <c r="O208"/>
      <c r="P208"/>
      <c r="Q208"/>
      <c r="R208"/>
      <c r="S208"/>
      <c r="T208"/>
      <c r="U208"/>
      <c r="V208" s="77"/>
      <c r="W208"/>
      <c r="X208"/>
      <c r="Z208"/>
    </row>
    <row r="209" spans="2:26" ht="20" customHeight="1" x14ac:dyDescent="0.35">
      <c r="B209"/>
      <c r="C209"/>
      <c r="D209"/>
      <c r="E209"/>
      <c r="F209"/>
      <c r="G209"/>
      <c r="H209"/>
      <c r="I209"/>
      <c r="J209"/>
      <c r="K209"/>
      <c r="L209"/>
      <c r="M209"/>
      <c r="N209"/>
      <c r="O209"/>
      <c r="P209"/>
      <c r="Q209"/>
      <c r="R209"/>
      <c r="S209"/>
      <c r="T209"/>
      <c r="U209"/>
      <c r="V209" s="77"/>
      <c r="W209"/>
      <c r="X209"/>
      <c r="Z209"/>
    </row>
    <row r="210" spans="2:26" ht="20" customHeight="1" x14ac:dyDescent="0.35">
      <c r="B210"/>
      <c r="C210"/>
      <c r="D210"/>
      <c r="E210"/>
      <c r="F210"/>
      <c r="G210"/>
      <c r="H210"/>
      <c r="I210"/>
      <c r="J210"/>
      <c r="K210"/>
      <c r="L210"/>
      <c r="M210"/>
      <c r="N210"/>
      <c r="O210"/>
      <c r="P210"/>
      <c r="Q210"/>
      <c r="R210"/>
      <c r="S210"/>
      <c r="T210"/>
      <c r="U210"/>
      <c r="V210" s="77"/>
      <c r="W210"/>
      <c r="X210"/>
      <c r="Z210"/>
    </row>
    <row r="211" spans="2:26" ht="20" customHeight="1" x14ac:dyDescent="0.35">
      <c r="B211"/>
      <c r="C211"/>
      <c r="D211"/>
      <c r="E211"/>
      <c r="F211"/>
      <c r="G211"/>
      <c r="H211"/>
      <c r="I211"/>
      <c r="J211"/>
      <c r="K211"/>
      <c r="L211"/>
      <c r="M211"/>
      <c r="N211"/>
      <c r="O211"/>
      <c r="P211"/>
      <c r="Q211"/>
      <c r="R211"/>
      <c r="S211"/>
      <c r="T211"/>
      <c r="U211"/>
      <c r="V211" s="77"/>
      <c r="W211"/>
      <c r="X211"/>
      <c r="Z211"/>
    </row>
    <row r="212" spans="2:26" ht="20" customHeight="1" x14ac:dyDescent="0.35">
      <c r="B212"/>
      <c r="C212"/>
      <c r="D212"/>
      <c r="E212"/>
      <c r="F212"/>
      <c r="G212"/>
      <c r="H212"/>
      <c r="I212"/>
      <c r="J212"/>
      <c r="K212"/>
      <c r="L212"/>
      <c r="M212"/>
      <c r="N212"/>
      <c r="O212"/>
      <c r="P212"/>
      <c r="Q212"/>
      <c r="R212"/>
      <c r="S212"/>
      <c r="T212"/>
      <c r="U212"/>
      <c r="V212" s="77"/>
      <c r="W212"/>
      <c r="X212"/>
      <c r="Z212"/>
    </row>
    <row r="213" spans="2:26" ht="20" customHeight="1" x14ac:dyDescent="0.35">
      <c r="B213"/>
      <c r="C213"/>
      <c r="D213"/>
      <c r="E213"/>
      <c r="F213"/>
      <c r="G213"/>
      <c r="H213"/>
      <c r="I213"/>
      <c r="J213"/>
      <c r="K213"/>
      <c r="L213"/>
      <c r="M213"/>
      <c r="N213"/>
      <c r="O213"/>
      <c r="P213"/>
      <c r="Q213"/>
      <c r="R213"/>
      <c r="S213"/>
      <c r="T213"/>
      <c r="U213"/>
      <c r="V213" s="77"/>
      <c r="W213"/>
      <c r="X213"/>
      <c r="Z213"/>
    </row>
    <row r="214" spans="2:26" ht="20" customHeight="1" x14ac:dyDescent="0.35">
      <c r="B214"/>
      <c r="C214"/>
      <c r="D214"/>
      <c r="E214"/>
      <c r="F214"/>
      <c r="G214"/>
      <c r="H214"/>
      <c r="I214"/>
      <c r="J214"/>
      <c r="K214"/>
      <c r="L214"/>
      <c r="M214"/>
      <c r="N214"/>
      <c r="O214"/>
      <c r="P214"/>
      <c r="Q214"/>
      <c r="R214"/>
      <c r="S214"/>
      <c r="T214"/>
      <c r="U214"/>
      <c r="V214" s="77"/>
      <c r="W214"/>
      <c r="X214"/>
      <c r="Z214"/>
    </row>
    <row r="215" spans="2:26" ht="20" customHeight="1" x14ac:dyDescent="0.35">
      <c r="B215"/>
      <c r="C215"/>
      <c r="D215"/>
      <c r="E215"/>
      <c r="F215"/>
      <c r="G215"/>
      <c r="H215"/>
      <c r="I215"/>
      <c r="J215"/>
      <c r="K215"/>
      <c r="L215"/>
      <c r="M215"/>
      <c r="N215"/>
      <c r="O215"/>
      <c r="P215"/>
      <c r="Q215"/>
      <c r="R215"/>
      <c r="S215"/>
      <c r="T215"/>
      <c r="U215"/>
      <c r="V215" s="77"/>
      <c r="W215"/>
      <c r="X215"/>
      <c r="Z215"/>
    </row>
    <row r="216" spans="2:26" ht="20" customHeight="1" x14ac:dyDescent="0.35">
      <c r="B216"/>
      <c r="C216"/>
      <c r="D216"/>
      <c r="E216"/>
      <c r="F216"/>
      <c r="G216"/>
      <c r="H216"/>
      <c r="I216"/>
      <c r="J216"/>
      <c r="K216"/>
      <c r="L216"/>
      <c r="M216"/>
      <c r="N216"/>
      <c r="O216"/>
      <c r="P216"/>
      <c r="Q216"/>
      <c r="R216"/>
      <c r="S216"/>
      <c r="T216"/>
      <c r="U216"/>
      <c r="V216" s="77"/>
      <c r="W216"/>
      <c r="X216"/>
      <c r="Z216"/>
    </row>
    <row r="217" spans="2:26" ht="20" customHeight="1" x14ac:dyDescent="0.35">
      <c r="B217"/>
      <c r="C217"/>
      <c r="D217"/>
      <c r="E217"/>
      <c r="F217"/>
      <c r="G217"/>
      <c r="H217"/>
      <c r="I217"/>
      <c r="J217"/>
      <c r="K217"/>
      <c r="L217"/>
      <c r="M217"/>
      <c r="N217"/>
      <c r="O217"/>
      <c r="P217"/>
      <c r="Q217"/>
      <c r="R217"/>
      <c r="S217"/>
      <c r="T217"/>
      <c r="U217"/>
      <c r="V217" s="77"/>
      <c r="W217"/>
      <c r="X217"/>
      <c r="Z217"/>
    </row>
    <row r="218" spans="2:26" ht="20" customHeight="1" x14ac:dyDescent="0.35">
      <c r="B218"/>
      <c r="C218"/>
      <c r="D218"/>
      <c r="E218"/>
      <c r="F218"/>
      <c r="G218"/>
      <c r="H218"/>
      <c r="I218"/>
      <c r="J218"/>
      <c r="K218"/>
      <c r="L218"/>
      <c r="M218"/>
      <c r="N218"/>
      <c r="O218"/>
      <c r="P218"/>
      <c r="Q218"/>
      <c r="R218"/>
      <c r="S218"/>
      <c r="T218"/>
      <c r="U218"/>
      <c r="V218" s="77"/>
      <c r="W218"/>
      <c r="X218"/>
      <c r="Z218"/>
    </row>
    <row r="219" spans="2:26" ht="20" customHeight="1" x14ac:dyDescent="0.35">
      <c r="B219"/>
      <c r="C219"/>
      <c r="D219"/>
      <c r="E219"/>
      <c r="F219"/>
      <c r="G219"/>
      <c r="H219"/>
      <c r="I219"/>
      <c r="J219"/>
      <c r="K219"/>
      <c r="L219"/>
      <c r="M219"/>
      <c r="N219"/>
      <c r="O219"/>
      <c r="P219"/>
      <c r="Q219"/>
      <c r="R219"/>
      <c r="S219"/>
      <c r="T219"/>
      <c r="U219"/>
      <c r="V219" s="77"/>
      <c r="W219"/>
      <c r="X219"/>
      <c r="Z219"/>
    </row>
    <row r="220" spans="2:26" ht="20" customHeight="1" x14ac:dyDescent="0.35">
      <c r="B220"/>
      <c r="C220"/>
      <c r="D220"/>
      <c r="E220"/>
      <c r="F220"/>
      <c r="G220"/>
      <c r="H220"/>
      <c r="I220"/>
      <c r="J220"/>
      <c r="K220"/>
      <c r="L220"/>
      <c r="M220"/>
      <c r="N220"/>
      <c r="O220"/>
      <c r="P220"/>
      <c r="Q220"/>
      <c r="R220"/>
      <c r="S220"/>
      <c r="T220"/>
      <c r="U220"/>
      <c r="V220" s="77"/>
      <c r="W220"/>
      <c r="X220"/>
      <c r="Z220"/>
    </row>
    <row r="221" spans="2:26" ht="20" customHeight="1" x14ac:dyDescent="0.35">
      <c r="B221"/>
      <c r="C221"/>
      <c r="D221"/>
      <c r="E221"/>
      <c r="F221"/>
      <c r="G221"/>
      <c r="H221"/>
      <c r="I221"/>
      <c r="J221"/>
      <c r="K221"/>
      <c r="L221"/>
      <c r="M221"/>
      <c r="N221"/>
      <c r="O221"/>
      <c r="P221"/>
      <c r="Q221"/>
      <c r="R221"/>
      <c r="S221"/>
      <c r="T221"/>
      <c r="U221"/>
      <c r="V221" s="77"/>
      <c r="W221"/>
      <c r="X221"/>
      <c r="Z221"/>
    </row>
    <row r="222" spans="2:26" ht="20" customHeight="1" x14ac:dyDescent="0.35">
      <c r="B222"/>
      <c r="C222"/>
      <c r="D222"/>
      <c r="E222"/>
      <c r="F222"/>
      <c r="G222"/>
      <c r="H222"/>
      <c r="I222"/>
      <c r="J222"/>
      <c r="K222"/>
      <c r="L222"/>
      <c r="M222"/>
      <c r="N222"/>
      <c r="O222"/>
      <c r="P222"/>
      <c r="Q222"/>
      <c r="R222"/>
      <c r="S222"/>
      <c r="T222"/>
      <c r="U222"/>
      <c r="V222" s="77"/>
      <c r="W222"/>
      <c r="X222"/>
      <c r="Z222"/>
    </row>
    <row r="223" spans="2:26" ht="20" customHeight="1" x14ac:dyDescent="0.35">
      <c r="B223"/>
      <c r="C223"/>
      <c r="D223"/>
      <c r="E223"/>
      <c r="F223"/>
      <c r="G223"/>
      <c r="H223"/>
      <c r="I223"/>
      <c r="J223"/>
      <c r="K223"/>
      <c r="L223"/>
      <c r="M223"/>
      <c r="N223"/>
      <c r="O223"/>
      <c r="P223"/>
      <c r="Q223"/>
      <c r="R223"/>
      <c r="S223"/>
      <c r="T223"/>
      <c r="U223"/>
      <c r="V223" s="77"/>
      <c r="W223"/>
      <c r="X223"/>
      <c r="Z223"/>
    </row>
    <row r="224" spans="2:26" ht="20" customHeight="1" x14ac:dyDescent="0.35">
      <c r="B224"/>
      <c r="C224"/>
      <c r="D224"/>
      <c r="E224"/>
      <c r="F224"/>
      <c r="G224"/>
      <c r="H224"/>
      <c r="I224"/>
      <c r="J224"/>
      <c r="K224"/>
      <c r="L224"/>
      <c r="M224"/>
      <c r="N224"/>
      <c r="O224"/>
      <c r="P224"/>
      <c r="Q224"/>
      <c r="R224"/>
      <c r="S224"/>
      <c r="T224"/>
      <c r="U224"/>
      <c r="V224" s="77"/>
      <c r="W224"/>
      <c r="X224"/>
      <c r="Z224"/>
    </row>
    <row r="225" spans="2:26" ht="20" customHeight="1" x14ac:dyDescent="0.35">
      <c r="B225"/>
      <c r="C225"/>
      <c r="D225"/>
      <c r="E225"/>
      <c r="F225"/>
      <c r="G225"/>
      <c r="H225"/>
      <c r="I225"/>
      <c r="J225"/>
      <c r="K225"/>
      <c r="L225"/>
      <c r="M225"/>
      <c r="N225"/>
      <c r="O225"/>
      <c r="P225"/>
      <c r="Q225"/>
      <c r="R225"/>
      <c r="S225"/>
      <c r="T225"/>
      <c r="U225"/>
      <c r="V225" s="77"/>
      <c r="W225"/>
      <c r="X225"/>
      <c r="Z225"/>
    </row>
    <row r="226" spans="2:26" ht="20" customHeight="1" x14ac:dyDescent="0.35">
      <c r="B226"/>
      <c r="C226"/>
      <c r="D226"/>
      <c r="E226"/>
      <c r="F226"/>
      <c r="G226"/>
      <c r="H226"/>
      <c r="I226"/>
      <c r="J226"/>
      <c r="K226"/>
      <c r="L226"/>
      <c r="M226"/>
      <c r="N226"/>
      <c r="O226"/>
      <c r="P226"/>
      <c r="Q226"/>
      <c r="R226"/>
      <c r="S226"/>
      <c r="T226"/>
      <c r="U226"/>
      <c r="V226" s="77"/>
      <c r="W226"/>
      <c r="X226"/>
      <c r="Z226"/>
    </row>
    <row r="227" spans="2:26" ht="20" customHeight="1" x14ac:dyDescent="0.35">
      <c r="B227"/>
      <c r="C227"/>
      <c r="D227"/>
      <c r="E227"/>
      <c r="F227"/>
      <c r="G227"/>
      <c r="H227"/>
      <c r="I227"/>
      <c r="J227"/>
      <c r="K227"/>
      <c r="L227"/>
      <c r="M227"/>
      <c r="N227"/>
      <c r="O227"/>
      <c r="P227"/>
      <c r="Q227"/>
      <c r="R227"/>
      <c r="S227"/>
      <c r="T227"/>
      <c r="U227"/>
      <c r="V227" s="77"/>
      <c r="W227"/>
      <c r="X227"/>
      <c r="Z227"/>
    </row>
    <row r="228" spans="2:26" ht="20" customHeight="1" x14ac:dyDescent="0.35">
      <c r="B228"/>
      <c r="C228"/>
      <c r="D228"/>
      <c r="E228"/>
      <c r="F228"/>
      <c r="G228"/>
      <c r="H228"/>
      <c r="I228"/>
      <c r="J228"/>
      <c r="K228"/>
      <c r="L228"/>
      <c r="M228"/>
      <c r="N228"/>
      <c r="O228"/>
      <c r="P228"/>
      <c r="Q228"/>
      <c r="R228"/>
      <c r="S228"/>
      <c r="T228"/>
      <c r="U228"/>
      <c r="V228" s="77"/>
      <c r="W228"/>
      <c r="X228"/>
      <c r="Z228"/>
    </row>
    <row r="229" spans="2:26" ht="20" customHeight="1" x14ac:dyDescent="0.35">
      <c r="B229"/>
      <c r="C229"/>
      <c r="D229"/>
      <c r="E229"/>
      <c r="F229"/>
      <c r="G229"/>
      <c r="H229"/>
      <c r="I229"/>
      <c r="J229"/>
      <c r="K229"/>
      <c r="L229"/>
      <c r="M229"/>
      <c r="N229"/>
      <c r="O229"/>
      <c r="P229"/>
      <c r="Q229"/>
      <c r="R229"/>
      <c r="S229"/>
      <c r="T229"/>
      <c r="U229"/>
      <c r="V229" s="77"/>
      <c r="W229"/>
      <c r="X229"/>
      <c r="Z229"/>
    </row>
    <row r="230" spans="2:26" ht="20" customHeight="1" x14ac:dyDescent="0.35">
      <c r="B230"/>
      <c r="C230"/>
      <c r="D230"/>
      <c r="E230"/>
      <c r="F230"/>
      <c r="G230"/>
      <c r="H230"/>
      <c r="I230"/>
      <c r="J230"/>
      <c r="K230"/>
      <c r="L230"/>
      <c r="M230"/>
      <c r="N230"/>
      <c r="O230"/>
      <c r="P230"/>
      <c r="Q230"/>
      <c r="R230"/>
      <c r="S230"/>
      <c r="T230"/>
      <c r="U230"/>
      <c r="V230" s="77"/>
      <c r="W230"/>
      <c r="X230"/>
      <c r="Z230"/>
    </row>
    <row r="231" spans="2:26" ht="20" customHeight="1" x14ac:dyDescent="0.35">
      <c r="B231"/>
      <c r="C231"/>
      <c r="D231"/>
      <c r="E231"/>
      <c r="F231"/>
      <c r="G231"/>
      <c r="H231"/>
      <c r="I231"/>
      <c r="J231"/>
      <c r="K231"/>
      <c r="L231"/>
      <c r="M231"/>
      <c r="N231"/>
      <c r="O231"/>
      <c r="P231"/>
      <c r="Q231"/>
      <c r="R231"/>
      <c r="S231"/>
      <c r="T231"/>
      <c r="U231"/>
      <c r="V231" s="77"/>
      <c r="W231"/>
      <c r="X231"/>
      <c r="Z231"/>
    </row>
    <row r="232" spans="2:26" ht="20" customHeight="1" x14ac:dyDescent="0.35">
      <c r="B232"/>
      <c r="C232"/>
      <c r="D232"/>
      <c r="E232"/>
      <c r="F232"/>
      <c r="G232"/>
      <c r="H232"/>
      <c r="I232"/>
      <c r="J232"/>
      <c r="K232"/>
      <c r="L232"/>
      <c r="M232"/>
      <c r="N232"/>
      <c r="O232"/>
      <c r="P232"/>
      <c r="Q232"/>
      <c r="R232"/>
      <c r="S232"/>
      <c r="T232"/>
      <c r="U232"/>
      <c r="V232" s="77"/>
      <c r="W232"/>
      <c r="X232"/>
      <c r="Z232"/>
    </row>
    <row r="233" spans="2:26" ht="20" customHeight="1" x14ac:dyDescent="0.35">
      <c r="B233"/>
      <c r="C233"/>
      <c r="D233"/>
      <c r="E233"/>
      <c r="F233"/>
      <c r="G233"/>
      <c r="H233"/>
      <c r="I233"/>
      <c r="J233"/>
      <c r="K233"/>
      <c r="L233"/>
      <c r="M233"/>
      <c r="N233"/>
      <c r="O233"/>
      <c r="P233"/>
      <c r="Q233"/>
      <c r="R233"/>
      <c r="S233"/>
      <c r="T233"/>
      <c r="U233"/>
      <c r="V233" s="77"/>
      <c r="W233"/>
      <c r="X233"/>
      <c r="Z233"/>
    </row>
    <row r="234" spans="2:26" ht="20" customHeight="1" x14ac:dyDescent="0.35">
      <c r="B234"/>
      <c r="C234"/>
      <c r="D234"/>
      <c r="E234"/>
      <c r="F234"/>
      <c r="G234"/>
      <c r="H234"/>
      <c r="I234"/>
      <c r="J234"/>
      <c r="K234"/>
      <c r="L234"/>
      <c r="M234"/>
      <c r="N234"/>
      <c r="O234"/>
      <c r="P234"/>
      <c r="Q234"/>
      <c r="R234"/>
      <c r="S234"/>
      <c r="T234"/>
      <c r="U234"/>
      <c r="V234" s="77"/>
      <c r="W234"/>
      <c r="X234"/>
      <c r="Z234"/>
    </row>
    <row r="235" spans="2:26" ht="20" customHeight="1" x14ac:dyDescent="0.35">
      <c r="B235"/>
      <c r="C235"/>
      <c r="D235"/>
      <c r="E235"/>
      <c r="F235"/>
      <c r="G235"/>
      <c r="H235"/>
      <c r="I235"/>
      <c r="J235"/>
      <c r="K235"/>
      <c r="L235"/>
      <c r="M235"/>
      <c r="N235"/>
      <c r="O235"/>
      <c r="P235"/>
      <c r="Q235"/>
      <c r="R235"/>
      <c r="S235"/>
      <c r="T235"/>
      <c r="U235"/>
      <c r="V235" s="77"/>
      <c r="W235"/>
      <c r="X235"/>
      <c r="Z235"/>
    </row>
    <row r="236" spans="2:26" ht="20" customHeight="1" x14ac:dyDescent="0.35">
      <c r="B236"/>
      <c r="C236"/>
      <c r="D236"/>
      <c r="E236"/>
      <c r="F236"/>
      <c r="G236"/>
      <c r="H236"/>
      <c r="I236"/>
      <c r="J236"/>
      <c r="K236"/>
      <c r="L236"/>
      <c r="M236"/>
      <c r="N236"/>
      <c r="O236"/>
      <c r="P236"/>
      <c r="Q236"/>
      <c r="R236"/>
      <c r="S236"/>
      <c r="T236"/>
      <c r="U236"/>
      <c r="V236" s="77"/>
      <c r="W236"/>
      <c r="X236"/>
      <c r="Z236"/>
    </row>
    <row r="237" spans="2:26" ht="20" customHeight="1" x14ac:dyDescent="0.35">
      <c r="B237"/>
      <c r="C237"/>
      <c r="D237"/>
      <c r="E237"/>
      <c r="F237"/>
      <c r="G237"/>
      <c r="H237"/>
      <c r="I237"/>
      <c r="J237"/>
      <c r="K237"/>
      <c r="L237"/>
      <c r="M237"/>
      <c r="N237"/>
      <c r="O237"/>
      <c r="P237"/>
      <c r="Q237"/>
      <c r="R237"/>
      <c r="S237"/>
      <c r="T237"/>
      <c r="U237"/>
      <c r="V237" s="77"/>
      <c r="W237"/>
      <c r="X237"/>
      <c r="Z237"/>
    </row>
    <row r="238" spans="2:26" ht="20" customHeight="1" x14ac:dyDescent="0.35">
      <c r="B238"/>
      <c r="C238"/>
      <c r="D238"/>
      <c r="E238"/>
      <c r="F238"/>
      <c r="G238"/>
      <c r="H238"/>
      <c r="I238"/>
      <c r="J238"/>
      <c r="K238"/>
      <c r="L238"/>
      <c r="M238"/>
      <c r="N238"/>
      <c r="O238"/>
      <c r="Q238"/>
      <c r="R238"/>
      <c r="S238"/>
      <c r="T238"/>
      <c r="U238"/>
      <c r="V238" s="77"/>
      <c r="W238"/>
      <c r="X238"/>
      <c r="Z238"/>
    </row>
    <row r="239" spans="2:26" ht="20" customHeight="1" x14ac:dyDescent="0.35">
      <c r="B239"/>
      <c r="C239"/>
      <c r="D239"/>
      <c r="E239"/>
      <c r="F239"/>
      <c r="G239"/>
      <c r="H239"/>
      <c r="I239"/>
      <c r="J239"/>
      <c r="K239"/>
      <c r="L239"/>
      <c r="M239"/>
      <c r="N239"/>
      <c r="O239"/>
      <c r="P239"/>
      <c r="Q239"/>
      <c r="R239"/>
      <c r="S239"/>
      <c r="T239"/>
      <c r="U239"/>
      <c r="V239" s="77"/>
      <c r="W239"/>
      <c r="X239"/>
      <c r="Z239"/>
    </row>
    <row r="240" spans="2:26" ht="20" customHeight="1" x14ac:dyDescent="0.35">
      <c r="B240"/>
      <c r="C240"/>
      <c r="D240"/>
      <c r="E240"/>
      <c r="F240"/>
      <c r="G240"/>
      <c r="H240"/>
      <c r="I240"/>
      <c r="J240"/>
      <c r="K240"/>
      <c r="L240"/>
      <c r="M240"/>
      <c r="N240"/>
      <c r="O240"/>
      <c r="P240"/>
      <c r="Q240"/>
      <c r="R240"/>
      <c r="S240"/>
      <c r="T240"/>
      <c r="U240"/>
      <c r="V240" s="77"/>
      <c r="W240"/>
      <c r="X240"/>
      <c r="Z240"/>
    </row>
    <row r="241" spans="2:26" ht="20" customHeight="1" x14ac:dyDescent="0.35">
      <c r="B241"/>
      <c r="C241"/>
      <c r="D241"/>
      <c r="E241"/>
      <c r="F241"/>
      <c r="G241"/>
      <c r="H241"/>
      <c r="I241"/>
      <c r="J241"/>
      <c r="K241"/>
      <c r="L241"/>
      <c r="M241"/>
      <c r="N241"/>
      <c r="O241"/>
      <c r="P241"/>
      <c r="Q241"/>
      <c r="R241"/>
      <c r="S241"/>
      <c r="T241"/>
      <c r="U241"/>
      <c r="V241" s="77"/>
      <c r="W241"/>
      <c r="X241"/>
      <c r="Z241"/>
    </row>
    <row r="242" spans="2:26" ht="20" customHeight="1" x14ac:dyDescent="0.35">
      <c r="B242"/>
      <c r="C242"/>
      <c r="D242"/>
      <c r="E242"/>
      <c r="F242"/>
      <c r="G242"/>
      <c r="H242"/>
      <c r="I242"/>
      <c r="J242"/>
      <c r="K242"/>
      <c r="L242"/>
      <c r="M242"/>
      <c r="N242"/>
      <c r="O242"/>
      <c r="P242"/>
      <c r="Q242"/>
      <c r="R242"/>
      <c r="S242"/>
      <c r="T242"/>
      <c r="U242"/>
      <c r="V242" s="77"/>
      <c r="W242"/>
      <c r="X242"/>
      <c r="Z242"/>
    </row>
    <row r="243" spans="2:26" ht="20" customHeight="1" x14ac:dyDescent="0.35">
      <c r="B243"/>
      <c r="C243"/>
      <c r="D243"/>
      <c r="E243"/>
      <c r="F243"/>
      <c r="G243"/>
      <c r="H243"/>
      <c r="I243"/>
      <c r="J243"/>
      <c r="K243"/>
      <c r="L243"/>
      <c r="M243"/>
      <c r="N243"/>
      <c r="O243"/>
      <c r="P243"/>
      <c r="Q243"/>
      <c r="R243"/>
      <c r="S243"/>
      <c r="T243"/>
      <c r="U243"/>
      <c r="V243" s="77"/>
      <c r="W243"/>
      <c r="X243"/>
      <c r="Z243"/>
    </row>
    <row r="244" spans="2:26" ht="20" customHeight="1" x14ac:dyDescent="0.35">
      <c r="B244"/>
      <c r="C244"/>
      <c r="D244"/>
      <c r="E244"/>
      <c r="F244"/>
      <c r="G244"/>
      <c r="H244"/>
      <c r="I244"/>
      <c r="J244"/>
      <c r="K244"/>
      <c r="L244"/>
      <c r="M244"/>
      <c r="N244"/>
      <c r="O244"/>
      <c r="P244"/>
      <c r="Q244"/>
      <c r="R244"/>
      <c r="S244"/>
      <c r="T244"/>
      <c r="U244"/>
      <c r="V244" s="77"/>
      <c r="W244"/>
      <c r="X244"/>
      <c r="Z244"/>
    </row>
    <row r="245" spans="2:26" ht="20" customHeight="1" x14ac:dyDescent="0.35">
      <c r="B245"/>
      <c r="C245"/>
      <c r="D245"/>
      <c r="E245"/>
      <c r="F245"/>
      <c r="G245"/>
      <c r="H245"/>
      <c r="I245"/>
      <c r="J245"/>
      <c r="K245"/>
      <c r="L245"/>
      <c r="M245"/>
      <c r="N245"/>
      <c r="O245"/>
      <c r="P245"/>
      <c r="Q245"/>
      <c r="R245"/>
      <c r="S245"/>
      <c r="T245"/>
      <c r="U245"/>
      <c r="V245" s="77"/>
      <c r="W245"/>
      <c r="X245"/>
      <c r="Z245"/>
    </row>
    <row r="246" spans="2:26" ht="20" customHeight="1" x14ac:dyDescent="0.35">
      <c r="B246"/>
      <c r="C246"/>
      <c r="D246"/>
      <c r="E246"/>
      <c r="F246"/>
      <c r="G246"/>
      <c r="H246"/>
      <c r="I246"/>
      <c r="J246"/>
      <c r="K246"/>
      <c r="L246"/>
      <c r="M246"/>
      <c r="N246"/>
      <c r="O246"/>
      <c r="P246"/>
      <c r="Q246"/>
      <c r="R246"/>
      <c r="S246"/>
      <c r="T246"/>
      <c r="U246"/>
      <c r="V246" s="77"/>
      <c r="W246"/>
      <c r="X246"/>
      <c r="Z246"/>
    </row>
    <row r="247" spans="2:26" ht="20" customHeight="1" x14ac:dyDescent="0.35">
      <c r="B247"/>
      <c r="C247"/>
      <c r="D247"/>
      <c r="E247"/>
      <c r="F247"/>
      <c r="G247"/>
      <c r="H247"/>
      <c r="I247"/>
      <c r="J247"/>
      <c r="K247"/>
      <c r="L247"/>
      <c r="M247"/>
      <c r="N247"/>
      <c r="O247"/>
      <c r="P247"/>
      <c r="Q247"/>
      <c r="R247"/>
      <c r="S247"/>
      <c r="T247"/>
      <c r="U247"/>
      <c r="V247" s="77"/>
      <c r="W247"/>
      <c r="X247"/>
      <c r="Z247"/>
    </row>
    <row r="248" spans="2:26" ht="20" customHeight="1" x14ac:dyDescent="0.35">
      <c r="B248"/>
      <c r="C248"/>
      <c r="D248"/>
      <c r="E248"/>
      <c r="F248"/>
      <c r="G248"/>
      <c r="H248"/>
      <c r="I248"/>
      <c r="J248"/>
      <c r="K248"/>
      <c r="L248"/>
      <c r="M248"/>
      <c r="N248"/>
      <c r="O248"/>
      <c r="P248"/>
      <c r="Q248"/>
      <c r="R248"/>
      <c r="S248"/>
      <c r="T248"/>
      <c r="U248"/>
      <c r="V248" s="77"/>
      <c r="W248"/>
      <c r="X248"/>
      <c r="Z248"/>
    </row>
    <row r="249" spans="2:26" ht="20" customHeight="1" x14ac:dyDescent="0.35">
      <c r="B249"/>
      <c r="C249"/>
      <c r="D249"/>
      <c r="E249"/>
      <c r="F249"/>
      <c r="G249"/>
      <c r="H249"/>
      <c r="I249"/>
      <c r="J249"/>
      <c r="K249"/>
      <c r="L249"/>
      <c r="M249"/>
      <c r="N249"/>
      <c r="O249"/>
      <c r="P249"/>
      <c r="Q249"/>
      <c r="R249"/>
      <c r="S249"/>
      <c r="T249"/>
      <c r="U249"/>
      <c r="V249" s="77"/>
      <c r="W249"/>
      <c r="X249"/>
      <c r="Z249"/>
    </row>
    <row r="250" spans="2:26" ht="20" customHeight="1" x14ac:dyDescent="0.35">
      <c r="B250"/>
      <c r="C250"/>
      <c r="D250"/>
      <c r="E250"/>
      <c r="F250"/>
      <c r="G250"/>
      <c r="H250"/>
      <c r="I250"/>
      <c r="J250"/>
      <c r="K250"/>
      <c r="L250"/>
      <c r="M250"/>
      <c r="N250"/>
      <c r="O250"/>
      <c r="P250"/>
      <c r="Q250"/>
      <c r="R250"/>
      <c r="S250"/>
      <c r="T250"/>
      <c r="U250"/>
      <c r="V250" s="77"/>
      <c r="W250"/>
      <c r="X250"/>
      <c r="Z250"/>
    </row>
    <row r="251" spans="2:26" ht="20" customHeight="1" x14ac:dyDescent="0.35">
      <c r="B251"/>
      <c r="C251"/>
      <c r="D251"/>
      <c r="E251"/>
      <c r="F251"/>
      <c r="G251"/>
      <c r="H251"/>
      <c r="I251"/>
      <c r="J251"/>
      <c r="K251"/>
      <c r="L251"/>
      <c r="M251"/>
      <c r="N251"/>
      <c r="O251"/>
      <c r="P251"/>
      <c r="Q251"/>
      <c r="R251"/>
      <c r="S251"/>
      <c r="T251"/>
      <c r="U251"/>
      <c r="V251" s="77"/>
      <c r="W251"/>
      <c r="X251"/>
      <c r="Z251"/>
    </row>
    <row r="252" spans="2:26" ht="20" customHeight="1" x14ac:dyDescent="0.35">
      <c r="B252"/>
      <c r="C252"/>
      <c r="D252"/>
      <c r="E252"/>
      <c r="F252"/>
      <c r="G252"/>
      <c r="H252"/>
      <c r="I252"/>
      <c r="J252"/>
      <c r="K252"/>
      <c r="L252"/>
      <c r="M252"/>
      <c r="N252"/>
      <c r="O252"/>
      <c r="P252"/>
      <c r="Q252"/>
      <c r="R252"/>
      <c r="S252"/>
      <c r="T252"/>
      <c r="U252"/>
      <c r="V252" s="77"/>
      <c r="W252"/>
      <c r="X252"/>
      <c r="Z252"/>
    </row>
    <row r="253" spans="2:26" ht="20" customHeight="1" x14ac:dyDescent="0.35">
      <c r="B253"/>
      <c r="C253"/>
      <c r="D253"/>
      <c r="E253"/>
      <c r="F253"/>
      <c r="G253"/>
      <c r="H253"/>
      <c r="I253"/>
      <c r="J253"/>
      <c r="K253"/>
      <c r="L253"/>
      <c r="M253"/>
      <c r="N253"/>
      <c r="O253"/>
      <c r="P253"/>
      <c r="Q253"/>
      <c r="R253"/>
      <c r="S253"/>
      <c r="T253"/>
      <c r="U253"/>
      <c r="V253" s="77"/>
      <c r="W253"/>
      <c r="X253"/>
      <c r="Z253"/>
    </row>
    <row r="254" spans="2:26" ht="20" customHeight="1" x14ac:dyDescent="0.35">
      <c r="B254"/>
      <c r="C254"/>
      <c r="D254"/>
      <c r="E254"/>
      <c r="F254"/>
      <c r="G254"/>
      <c r="H254"/>
      <c r="I254"/>
      <c r="J254"/>
      <c r="K254"/>
      <c r="L254"/>
      <c r="M254"/>
      <c r="N254"/>
      <c r="O254"/>
      <c r="P254"/>
      <c r="Q254"/>
      <c r="R254"/>
      <c r="S254"/>
      <c r="T254"/>
      <c r="U254"/>
      <c r="V254" s="77"/>
      <c r="W254"/>
      <c r="X254"/>
      <c r="Z254"/>
    </row>
    <row r="255" spans="2:26" ht="20" customHeight="1" x14ac:dyDescent="0.35">
      <c r="B255"/>
      <c r="C255"/>
      <c r="D255"/>
      <c r="E255"/>
      <c r="F255"/>
      <c r="G255"/>
      <c r="H255"/>
      <c r="I255"/>
      <c r="J255"/>
      <c r="K255"/>
      <c r="L255"/>
      <c r="M255"/>
      <c r="N255"/>
      <c r="O255"/>
      <c r="P255"/>
      <c r="Q255"/>
      <c r="R255"/>
      <c r="S255"/>
      <c r="T255"/>
      <c r="U255"/>
      <c r="V255" s="77"/>
      <c r="W255"/>
      <c r="X255"/>
      <c r="Z255"/>
    </row>
    <row r="256" spans="2:26" ht="20" customHeight="1" x14ac:dyDescent="0.35">
      <c r="B256"/>
      <c r="C256"/>
      <c r="D256"/>
      <c r="E256"/>
      <c r="F256"/>
      <c r="G256"/>
      <c r="H256"/>
      <c r="I256"/>
      <c r="J256"/>
      <c r="K256"/>
      <c r="L256"/>
      <c r="M256"/>
      <c r="N256"/>
      <c r="O256"/>
      <c r="P256"/>
      <c r="Q256"/>
      <c r="R256"/>
      <c r="S256"/>
      <c r="T256"/>
      <c r="U256"/>
      <c r="V256" s="77"/>
      <c r="W256"/>
      <c r="X256"/>
      <c r="Z256"/>
    </row>
    <row r="257" spans="2:26" ht="20" customHeight="1" x14ac:dyDescent="0.35">
      <c r="B257"/>
      <c r="C257"/>
      <c r="D257"/>
      <c r="E257"/>
      <c r="F257"/>
      <c r="G257"/>
      <c r="H257"/>
      <c r="I257"/>
      <c r="J257"/>
      <c r="K257"/>
      <c r="L257"/>
      <c r="M257"/>
      <c r="N257"/>
      <c r="O257"/>
      <c r="P257"/>
      <c r="Q257"/>
      <c r="R257"/>
      <c r="S257"/>
      <c r="T257"/>
      <c r="U257"/>
      <c r="V257" s="77"/>
      <c r="W257"/>
      <c r="X257"/>
      <c r="Z257"/>
    </row>
    <row r="258" spans="2:26" ht="20" customHeight="1" x14ac:dyDescent="0.35">
      <c r="B258"/>
      <c r="C258"/>
      <c r="D258"/>
      <c r="E258"/>
      <c r="F258"/>
      <c r="G258"/>
      <c r="H258"/>
      <c r="I258"/>
      <c r="J258"/>
      <c r="K258"/>
      <c r="L258"/>
      <c r="M258"/>
      <c r="N258"/>
      <c r="O258"/>
      <c r="P258"/>
      <c r="Q258"/>
      <c r="R258"/>
      <c r="S258"/>
      <c r="T258"/>
      <c r="U258"/>
      <c r="V258" s="77"/>
      <c r="W258"/>
      <c r="X258"/>
      <c r="Z258"/>
    </row>
    <row r="259" spans="2:26" ht="20" customHeight="1" x14ac:dyDescent="0.35">
      <c r="B259"/>
      <c r="C259"/>
      <c r="D259"/>
      <c r="E259"/>
      <c r="F259"/>
      <c r="G259"/>
      <c r="H259"/>
      <c r="I259"/>
      <c r="J259"/>
      <c r="K259"/>
      <c r="L259"/>
      <c r="M259"/>
      <c r="N259"/>
      <c r="O259"/>
      <c r="P259"/>
      <c r="Q259"/>
      <c r="R259"/>
      <c r="S259"/>
      <c r="T259"/>
      <c r="U259"/>
      <c r="V259" s="77"/>
      <c r="W259"/>
      <c r="X259"/>
      <c r="Z259"/>
    </row>
    <row r="260" spans="2:26" ht="20" customHeight="1" x14ac:dyDescent="0.35">
      <c r="B260"/>
      <c r="C260"/>
      <c r="D260"/>
      <c r="E260"/>
      <c r="F260"/>
      <c r="G260"/>
      <c r="H260"/>
      <c r="I260"/>
      <c r="J260"/>
      <c r="K260"/>
      <c r="L260"/>
      <c r="M260"/>
      <c r="N260"/>
      <c r="O260"/>
      <c r="P260"/>
      <c r="Q260"/>
      <c r="R260"/>
      <c r="S260"/>
      <c r="T260"/>
      <c r="U260"/>
      <c r="V260" s="77"/>
      <c r="W260"/>
      <c r="X260"/>
      <c r="Z260"/>
    </row>
    <row r="261" spans="2:26" ht="20" customHeight="1" x14ac:dyDescent="0.35">
      <c r="B261"/>
      <c r="C261"/>
      <c r="D261"/>
      <c r="E261"/>
      <c r="F261"/>
      <c r="G261"/>
      <c r="H261"/>
      <c r="I261"/>
      <c r="J261"/>
      <c r="K261"/>
      <c r="L261"/>
      <c r="M261"/>
      <c r="N261"/>
      <c r="O261"/>
      <c r="P261"/>
      <c r="Q261"/>
      <c r="R261"/>
      <c r="S261"/>
      <c r="T261"/>
      <c r="U261"/>
      <c r="V261" s="77"/>
      <c r="W261"/>
      <c r="X261"/>
      <c r="Z261"/>
    </row>
    <row r="262" spans="2:26" ht="20" customHeight="1" x14ac:dyDescent="0.35">
      <c r="B262"/>
      <c r="C262"/>
      <c r="D262"/>
      <c r="E262"/>
      <c r="F262"/>
      <c r="G262"/>
      <c r="H262"/>
      <c r="I262"/>
      <c r="J262"/>
      <c r="K262"/>
      <c r="L262"/>
      <c r="M262"/>
      <c r="N262"/>
      <c r="O262"/>
      <c r="P262"/>
      <c r="Q262"/>
      <c r="R262"/>
      <c r="S262"/>
      <c r="T262"/>
      <c r="U262"/>
      <c r="V262" s="77"/>
      <c r="W262"/>
      <c r="X262"/>
      <c r="Z262"/>
    </row>
    <row r="263" spans="2:26" ht="20" customHeight="1" x14ac:dyDescent="0.35">
      <c r="B263"/>
      <c r="C263"/>
      <c r="D263"/>
      <c r="E263"/>
      <c r="F263"/>
      <c r="G263"/>
      <c r="H263"/>
      <c r="I263"/>
      <c r="J263"/>
      <c r="K263"/>
      <c r="L263"/>
      <c r="M263"/>
      <c r="N263"/>
      <c r="O263"/>
      <c r="P263"/>
      <c r="Q263"/>
      <c r="R263"/>
      <c r="S263"/>
      <c r="T263"/>
      <c r="U263"/>
      <c r="V263" s="77"/>
      <c r="W263"/>
      <c r="X263"/>
      <c r="Z263"/>
    </row>
    <row r="264" spans="2:26" ht="20" customHeight="1" x14ac:dyDescent="0.35">
      <c r="B264"/>
      <c r="C264"/>
      <c r="D264"/>
      <c r="E264"/>
      <c r="F264"/>
      <c r="G264"/>
      <c r="H264"/>
      <c r="I264"/>
      <c r="J264"/>
      <c r="K264"/>
      <c r="L264"/>
      <c r="M264"/>
      <c r="N264"/>
      <c r="O264"/>
      <c r="P264"/>
      <c r="Q264"/>
      <c r="R264"/>
      <c r="S264"/>
      <c r="T264"/>
      <c r="U264"/>
      <c r="V264" s="77"/>
      <c r="W264"/>
      <c r="X264"/>
      <c r="Z264"/>
    </row>
    <row r="265" spans="2:26" ht="20" customHeight="1" x14ac:dyDescent="0.35">
      <c r="B265"/>
      <c r="C265"/>
      <c r="D265"/>
      <c r="E265"/>
      <c r="F265"/>
      <c r="G265"/>
      <c r="H265"/>
      <c r="I265"/>
      <c r="J265"/>
      <c r="K265"/>
      <c r="L265"/>
      <c r="M265"/>
      <c r="N265"/>
      <c r="O265"/>
      <c r="P265"/>
      <c r="Q265"/>
      <c r="R265"/>
      <c r="S265"/>
      <c r="T265"/>
      <c r="U265"/>
      <c r="V265" s="77"/>
      <c r="W265"/>
      <c r="X265"/>
      <c r="Z265"/>
    </row>
    <row r="266" spans="2:26" ht="20" customHeight="1" x14ac:dyDescent="0.35">
      <c r="B266"/>
      <c r="C266"/>
      <c r="D266"/>
      <c r="E266"/>
      <c r="F266"/>
      <c r="G266"/>
      <c r="H266"/>
      <c r="I266"/>
      <c r="J266"/>
      <c r="K266"/>
      <c r="L266"/>
      <c r="M266"/>
      <c r="N266"/>
      <c r="O266"/>
      <c r="P266"/>
      <c r="Q266"/>
      <c r="R266"/>
      <c r="S266"/>
      <c r="T266"/>
      <c r="U266"/>
      <c r="V266" s="77"/>
      <c r="W266"/>
      <c r="X266"/>
      <c r="Z266"/>
    </row>
    <row r="267" spans="2:26" ht="20" customHeight="1" x14ac:dyDescent="0.35">
      <c r="B267"/>
      <c r="C267"/>
      <c r="D267"/>
      <c r="E267"/>
      <c r="F267"/>
      <c r="G267"/>
      <c r="H267"/>
      <c r="I267"/>
      <c r="J267"/>
      <c r="K267"/>
      <c r="L267"/>
      <c r="M267"/>
      <c r="N267"/>
      <c r="O267"/>
      <c r="P267"/>
      <c r="Q267"/>
      <c r="R267"/>
      <c r="S267"/>
      <c r="T267"/>
      <c r="U267"/>
      <c r="V267" s="77"/>
      <c r="W267"/>
      <c r="X267"/>
      <c r="Z267"/>
    </row>
    <row r="268" spans="2:26" ht="20" customHeight="1" x14ac:dyDescent="0.35">
      <c r="B268"/>
      <c r="C268"/>
      <c r="D268"/>
      <c r="E268"/>
      <c r="F268"/>
      <c r="G268"/>
      <c r="H268"/>
      <c r="I268"/>
      <c r="J268"/>
      <c r="K268"/>
      <c r="L268"/>
      <c r="M268"/>
      <c r="N268"/>
      <c r="P268"/>
      <c r="Q268"/>
      <c r="R268"/>
      <c r="S268"/>
      <c r="T268"/>
      <c r="U268"/>
      <c r="V268" s="77"/>
      <c r="W268"/>
      <c r="X268"/>
      <c r="Z268"/>
    </row>
    <row r="269" spans="2:26" ht="20" customHeight="1" x14ac:dyDescent="0.35">
      <c r="B269"/>
      <c r="C269"/>
      <c r="D269"/>
      <c r="E269"/>
      <c r="F269"/>
      <c r="G269"/>
      <c r="H269"/>
      <c r="I269"/>
      <c r="J269"/>
      <c r="K269"/>
      <c r="L269"/>
      <c r="M269"/>
      <c r="N269"/>
      <c r="O269"/>
      <c r="P269"/>
      <c r="Q269"/>
      <c r="R269"/>
      <c r="S269"/>
      <c r="T269"/>
      <c r="U269"/>
      <c r="V269" s="77"/>
      <c r="W269"/>
      <c r="X269"/>
      <c r="Z269"/>
    </row>
    <row r="270" spans="2:26" ht="20" customHeight="1" x14ac:dyDescent="0.35">
      <c r="B270"/>
      <c r="C270"/>
      <c r="D270"/>
      <c r="E270"/>
      <c r="F270"/>
      <c r="G270"/>
      <c r="H270"/>
      <c r="I270"/>
      <c r="J270"/>
      <c r="K270"/>
      <c r="L270"/>
      <c r="M270"/>
      <c r="N270"/>
      <c r="O270"/>
      <c r="P270"/>
      <c r="Q270"/>
      <c r="R270"/>
      <c r="S270"/>
      <c r="T270"/>
      <c r="U270"/>
      <c r="V270" s="77"/>
      <c r="W270"/>
      <c r="X270"/>
      <c r="Z270"/>
    </row>
    <row r="271" spans="2:26" ht="20" customHeight="1" x14ac:dyDescent="0.35">
      <c r="B271"/>
      <c r="C271"/>
      <c r="D271"/>
      <c r="E271"/>
      <c r="F271"/>
      <c r="G271"/>
      <c r="H271"/>
      <c r="I271"/>
      <c r="J271"/>
      <c r="K271"/>
      <c r="L271"/>
      <c r="M271"/>
      <c r="N271"/>
      <c r="O271"/>
      <c r="P271"/>
      <c r="Q271"/>
      <c r="R271"/>
      <c r="S271"/>
      <c r="T271"/>
      <c r="U271"/>
      <c r="V271" s="77"/>
      <c r="W271"/>
      <c r="X271"/>
      <c r="Z271"/>
    </row>
    <row r="272" spans="2:26" ht="20" customHeight="1" x14ac:dyDescent="0.35">
      <c r="B272"/>
      <c r="C272"/>
      <c r="D272"/>
      <c r="E272"/>
      <c r="F272"/>
      <c r="G272"/>
      <c r="H272"/>
      <c r="I272"/>
      <c r="J272"/>
      <c r="K272"/>
      <c r="L272"/>
      <c r="M272"/>
      <c r="N272"/>
      <c r="O272"/>
      <c r="P272"/>
      <c r="Q272"/>
      <c r="R272"/>
      <c r="S272"/>
      <c r="T272"/>
      <c r="U272"/>
      <c r="V272" s="77"/>
      <c r="W272"/>
      <c r="X272"/>
      <c r="Z272"/>
    </row>
    <row r="273" spans="2:26" ht="20" customHeight="1" x14ac:dyDescent="0.35">
      <c r="B273"/>
      <c r="C273"/>
      <c r="D273"/>
      <c r="E273"/>
      <c r="F273"/>
      <c r="G273"/>
      <c r="H273"/>
      <c r="I273"/>
      <c r="J273"/>
      <c r="K273"/>
      <c r="L273"/>
      <c r="M273"/>
      <c r="N273"/>
      <c r="O273"/>
      <c r="P273"/>
      <c r="Q273"/>
      <c r="R273"/>
      <c r="S273"/>
      <c r="T273"/>
      <c r="U273"/>
      <c r="V273" s="77"/>
      <c r="W273"/>
      <c r="X273"/>
      <c r="Z273"/>
    </row>
    <row r="274" spans="2:26" ht="20" customHeight="1" x14ac:dyDescent="0.35">
      <c r="B274"/>
      <c r="C274"/>
      <c r="D274"/>
      <c r="E274"/>
      <c r="F274"/>
      <c r="G274"/>
      <c r="H274"/>
      <c r="I274"/>
      <c r="J274"/>
      <c r="K274"/>
      <c r="L274"/>
      <c r="M274"/>
      <c r="N274"/>
      <c r="O274"/>
      <c r="P274"/>
      <c r="Q274"/>
      <c r="R274"/>
      <c r="S274"/>
      <c r="T274"/>
      <c r="U274"/>
      <c r="V274" s="77"/>
      <c r="W274"/>
      <c r="X274"/>
      <c r="Z274"/>
    </row>
    <row r="275" spans="2:26" ht="20" customHeight="1" x14ac:dyDescent="0.35">
      <c r="B275"/>
      <c r="C275"/>
      <c r="D275"/>
      <c r="E275"/>
      <c r="F275"/>
      <c r="G275"/>
      <c r="H275"/>
      <c r="I275"/>
      <c r="J275"/>
      <c r="K275"/>
      <c r="L275"/>
      <c r="M275"/>
      <c r="N275"/>
      <c r="O275"/>
      <c r="P275"/>
      <c r="Q275"/>
      <c r="R275"/>
      <c r="S275"/>
      <c r="T275"/>
      <c r="U275"/>
      <c r="V275" s="77"/>
      <c r="W275"/>
      <c r="X275"/>
      <c r="Z275"/>
    </row>
    <row r="276" spans="2:26" ht="20" customHeight="1" x14ac:dyDescent="0.35">
      <c r="B276"/>
      <c r="C276"/>
      <c r="D276"/>
      <c r="E276"/>
      <c r="F276"/>
      <c r="G276"/>
      <c r="H276"/>
      <c r="I276"/>
      <c r="J276"/>
      <c r="K276"/>
      <c r="L276"/>
      <c r="M276"/>
      <c r="N276"/>
      <c r="O276"/>
      <c r="P276"/>
      <c r="Q276"/>
      <c r="R276"/>
      <c r="S276"/>
      <c r="T276"/>
      <c r="U276"/>
      <c r="V276" s="77"/>
      <c r="W276"/>
      <c r="X276"/>
      <c r="Z276"/>
    </row>
    <row r="277" spans="2:26" ht="20" customHeight="1" x14ac:dyDescent="0.35">
      <c r="B277"/>
      <c r="C277"/>
      <c r="D277"/>
      <c r="E277"/>
      <c r="F277"/>
      <c r="G277"/>
      <c r="H277"/>
      <c r="I277"/>
      <c r="J277"/>
      <c r="K277"/>
      <c r="L277"/>
      <c r="M277"/>
      <c r="N277"/>
      <c r="O277"/>
      <c r="P277"/>
      <c r="Q277"/>
      <c r="R277"/>
      <c r="S277"/>
      <c r="T277"/>
      <c r="U277"/>
      <c r="V277" s="77"/>
      <c r="W277"/>
      <c r="X277"/>
      <c r="Z277"/>
    </row>
    <row r="278" spans="2:26" ht="20" customHeight="1" x14ac:dyDescent="0.35">
      <c r="B278"/>
      <c r="C278"/>
      <c r="D278"/>
      <c r="E278"/>
      <c r="F278"/>
      <c r="G278"/>
      <c r="H278"/>
      <c r="I278"/>
      <c r="J278"/>
      <c r="K278"/>
      <c r="L278"/>
      <c r="M278"/>
      <c r="N278"/>
      <c r="O278"/>
      <c r="P278"/>
      <c r="Q278"/>
      <c r="R278"/>
      <c r="S278"/>
      <c r="T278"/>
      <c r="U278"/>
      <c r="V278" s="77"/>
      <c r="W278"/>
      <c r="X278"/>
      <c r="Z278"/>
    </row>
    <row r="279" spans="2:26" ht="20" customHeight="1" x14ac:dyDescent="0.35">
      <c r="B279"/>
      <c r="C279"/>
      <c r="D279"/>
      <c r="E279"/>
      <c r="F279"/>
      <c r="G279"/>
      <c r="H279"/>
      <c r="I279"/>
      <c r="J279"/>
      <c r="K279"/>
      <c r="L279"/>
      <c r="M279"/>
      <c r="N279"/>
      <c r="O279"/>
      <c r="P279"/>
      <c r="Q279"/>
      <c r="R279"/>
      <c r="S279"/>
      <c r="T279"/>
      <c r="U279"/>
      <c r="V279" s="77"/>
      <c r="W279"/>
      <c r="X279"/>
      <c r="Z279"/>
    </row>
    <row r="280" spans="2:26" ht="20" customHeight="1" x14ac:dyDescent="0.35">
      <c r="B280"/>
      <c r="C280"/>
      <c r="D280"/>
      <c r="E280"/>
      <c r="F280"/>
      <c r="G280"/>
      <c r="H280"/>
      <c r="I280"/>
      <c r="J280"/>
      <c r="K280"/>
      <c r="L280"/>
      <c r="M280"/>
      <c r="N280"/>
      <c r="O280"/>
      <c r="P280"/>
      <c r="Q280"/>
      <c r="R280"/>
      <c r="S280"/>
      <c r="T280"/>
      <c r="U280"/>
      <c r="V280" s="77"/>
      <c r="W280"/>
      <c r="X280"/>
      <c r="Z280"/>
    </row>
    <row r="281" spans="2:26" ht="20" customHeight="1" x14ac:dyDescent="0.35">
      <c r="B281"/>
      <c r="C281"/>
      <c r="D281"/>
      <c r="E281"/>
      <c r="F281"/>
      <c r="G281"/>
      <c r="H281"/>
      <c r="I281"/>
      <c r="J281"/>
      <c r="K281"/>
      <c r="L281"/>
      <c r="M281"/>
      <c r="N281"/>
      <c r="O281"/>
      <c r="P281"/>
      <c r="Q281"/>
      <c r="R281"/>
      <c r="S281"/>
      <c r="T281"/>
      <c r="U281"/>
      <c r="V281" s="77"/>
      <c r="W281"/>
      <c r="X281"/>
      <c r="Z281"/>
    </row>
    <row r="282" spans="2:26" ht="20" customHeight="1" x14ac:dyDescent="0.35">
      <c r="B282"/>
      <c r="C282"/>
      <c r="D282"/>
      <c r="E282"/>
      <c r="F282"/>
      <c r="G282"/>
      <c r="H282"/>
      <c r="I282"/>
      <c r="J282"/>
      <c r="K282"/>
      <c r="L282"/>
      <c r="M282"/>
      <c r="N282"/>
      <c r="O282"/>
      <c r="P282"/>
      <c r="Q282"/>
      <c r="R282"/>
      <c r="S282"/>
      <c r="T282"/>
      <c r="U282"/>
      <c r="V282" s="77"/>
      <c r="W282"/>
      <c r="X282"/>
      <c r="Z282"/>
    </row>
    <row r="283" spans="2:26" ht="20" customHeight="1" x14ac:dyDescent="0.35">
      <c r="B283"/>
      <c r="C283"/>
      <c r="D283"/>
      <c r="E283"/>
      <c r="F283"/>
      <c r="G283"/>
      <c r="H283"/>
      <c r="I283"/>
      <c r="J283"/>
      <c r="K283"/>
      <c r="L283"/>
      <c r="M283"/>
      <c r="N283"/>
      <c r="O283"/>
      <c r="P283"/>
      <c r="Q283"/>
      <c r="R283"/>
      <c r="S283"/>
      <c r="T283"/>
      <c r="U283"/>
      <c r="V283" s="77"/>
      <c r="W283"/>
      <c r="X283"/>
      <c r="Z283"/>
    </row>
    <row r="284" spans="2:26" ht="20" customHeight="1" x14ac:dyDescent="0.35">
      <c r="B284"/>
      <c r="C284"/>
      <c r="D284"/>
      <c r="E284"/>
      <c r="F284"/>
      <c r="G284"/>
      <c r="H284"/>
      <c r="I284"/>
      <c r="J284"/>
      <c r="K284"/>
      <c r="L284"/>
      <c r="M284"/>
      <c r="N284"/>
      <c r="O284"/>
      <c r="P284"/>
      <c r="Q284"/>
      <c r="R284"/>
      <c r="S284"/>
      <c r="T284"/>
      <c r="U284"/>
      <c r="V284" s="77"/>
      <c r="W284"/>
      <c r="X284"/>
      <c r="Z284"/>
    </row>
    <row r="285" spans="2:26" ht="20" customHeight="1" x14ac:dyDescent="0.35">
      <c r="B285"/>
      <c r="C285"/>
      <c r="D285"/>
      <c r="E285"/>
      <c r="F285"/>
      <c r="G285"/>
      <c r="H285"/>
      <c r="I285"/>
      <c r="J285"/>
      <c r="K285"/>
      <c r="L285"/>
      <c r="M285"/>
      <c r="N285"/>
      <c r="O285"/>
      <c r="P285"/>
      <c r="Q285"/>
      <c r="R285"/>
      <c r="S285"/>
      <c r="T285"/>
      <c r="U285"/>
      <c r="V285" s="77"/>
      <c r="W285"/>
      <c r="X285"/>
      <c r="Z285"/>
    </row>
    <row r="286" spans="2:26" ht="20" customHeight="1" x14ac:dyDescent="0.35">
      <c r="B286"/>
      <c r="C286"/>
      <c r="D286"/>
      <c r="E286"/>
      <c r="F286"/>
      <c r="G286"/>
      <c r="H286"/>
      <c r="I286"/>
      <c r="J286"/>
      <c r="K286"/>
      <c r="L286"/>
      <c r="M286"/>
      <c r="N286"/>
      <c r="O286"/>
      <c r="P286"/>
      <c r="Q286"/>
      <c r="R286"/>
      <c r="S286"/>
      <c r="T286"/>
      <c r="U286"/>
      <c r="V286" s="77"/>
      <c r="W286"/>
      <c r="X286"/>
      <c r="Z286"/>
    </row>
    <row r="287" spans="2:26" ht="20" customHeight="1" x14ac:dyDescent="0.35">
      <c r="B287"/>
      <c r="C287"/>
      <c r="D287"/>
      <c r="E287"/>
      <c r="F287"/>
      <c r="G287"/>
      <c r="H287"/>
      <c r="I287"/>
      <c r="J287"/>
      <c r="K287"/>
      <c r="L287"/>
      <c r="M287"/>
      <c r="N287"/>
      <c r="O287"/>
      <c r="P287"/>
      <c r="Q287"/>
      <c r="R287"/>
      <c r="S287"/>
      <c r="T287"/>
      <c r="U287"/>
      <c r="V287" s="77"/>
      <c r="W287"/>
      <c r="X287"/>
      <c r="Z287"/>
    </row>
    <row r="288" spans="2:26" ht="20" customHeight="1" x14ac:dyDescent="0.35">
      <c r="B288"/>
      <c r="C288"/>
      <c r="D288"/>
      <c r="E288"/>
      <c r="F288"/>
      <c r="G288"/>
      <c r="H288"/>
      <c r="I288"/>
      <c r="J288"/>
      <c r="K288"/>
      <c r="L288"/>
      <c r="M288"/>
      <c r="N288"/>
      <c r="O288"/>
      <c r="P288"/>
      <c r="Q288"/>
      <c r="R288"/>
      <c r="S288"/>
      <c r="T288"/>
      <c r="U288"/>
      <c r="V288" s="77"/>
      <c r="W288"/>
      <c r="X288"/>
      <c r="Z288"/>
    </row>
    <row r="289" spans="2:26" ht="20" customHeight="1" x14ac:dyDescent="0.35">
      <c r="B289"/>
      <c r="C289"/>
      <c r="D289"/>
      <c r="E289"/>
      <c r="F289"/>
      <c r="G289"/>
      <c r="H289"/>
      <c r="I289"/>
      <c r="J289"/>
      <c r="K289"/>
      <c r="L289"/>
      <c r="M289"/>
      <c r="N289"/>
      <c r="O289"/>
      <c r="P289"/>
      <c r="Q289"/>
      <c r="R289"/>
      <c r="S289"/>
      <c r="T289"/>
      <c r="U289"/>
      <c r="V289" s="77"/>
      <c r="W289"/>
      <c r="X289"/>
      <c r="Z289"/>
    </row>
    <row r="290" spans="2:26" ht="20" customHeight="1" x14ac:dyDescent="0.35">
      <c r="B290"/>
      <c r="C290"/>
      <c r="D290"/>
      <c r="E290"/>
      <c r="F290"/>
      <c r="G290"/>
      <c r="H290"/>
      <c r="I290"/>
      <c r="J290"/>
      <c r="K290"/>
      <c r="L290"/>
      <c r="M290"/>
      <c r="N290"/>
      <c r="O290"/>
      <c r="P290"/>
      <c r="Q290"/>
      <c r="R290"/>
      <c r="S290"/>
      <c r="T290"/>
      <c r="U290"/>
      <c r="V290" s="77"/>
      <c r="W290"/>
      <c r="X290"/>
      <c r="Z290"/>
    </row>
    <row r="291" spans="2:26" ht="20" customHeight="1" x14ac:dyDescent="0.35">
      <c r="B291"/>
      <c r="C291"/>
      <c r="D291"/>
      <c r="E291"/>
      <c r="F291"/>
      <c r="G291"/>
      <c r="H291"/>
      <c r="I291"/>
      <c r="J291"/>
      <c r="K291"/>
      <c r="L291"/>
      <c r="M291"/>
      <c r="N291"/>
      <c r="O291"/>
      <c r="P291"/>
      <c r="Q291"/>
      <c r="R291"/>
      <c r="S291"/>
      <c r="T291"/>
      <c r="U291"/>
      <c r="V291" s="77"/>
      <c r="W291"/>
      <c r="X291"/>
      <c r="Z291"/>
    </row>
    <row r="292" spans="2:26" ht="20" customHeight="1" x14ac:dyDescent="0.35">
      <c r="B292"/>
      <c r="C292"/>
      <c r="D292"/>
      <c r="E292"/>
      <c r="F292"/>
      <c r="G292"/>
      <c r="H292"/>
      <c r="I292"/>
      <c r="J292"/>
      <c r="K292"/>
      <c r="L292"/>
      <c r="M292"/>
      <c r="N292"/>
      <c r="O292"/>
      <c r="P292"/>
      <c r="Q292"/>
      <c r="R292"/>
      <c r="S292"/>
      <c r="T292"/>
      <c r="U292"/>
      <c r="V292" s="77"/>
      <c r="W292"/>
      <c r="X292"/>
      <c r="Z292"/>
    </row>
    <row r="293" spans="2:26" ht="20" customHeight="1" x14ac:dyDescent="0.35">
      <c r="B293"/>
      <c r="C293"/>
      <c r="D293"/>
      <c r="E293"/>
      <c r="F293"/>
      <c r="G293"/>
      <c r="H293"/>
      <c r="I293"/>
      <c r="J293"/>
      <c r="K293"/>
      <c r="L293"/>
      <c r="M293"/>
      <c r="N293"/>
      <c r="O293"/>
      <c r="P293"/>
      <c r="Q293"/>
      <c r="R293"/>
      <c r="S293"/>
      <c r="T293"/>
      <c r="U293"/>
      <c r="V293" s="77"/>
      <c r="W293"/>
      <c r="X293"/>
      <c r="Z293"/>
    </row>
    <row r="294" spans="2:26" ht="20" customHeight="1" x14ac:dyDescent="0.35">
      <c r="B294"/>
      <c r="C294"/>
      <c r="D294"/>
      <c r="E294"/>
      <c r="F294"/>
      <c r="G294"/>
      <c r="H294"/>
      <c r="I294"/>
      <c r="J294"/>
      <c r="K294"/>
      <c r="L294"/>
      <c r="M294"/>
      <c r="N294"/>
      <c r="O294"/>
      <c r="P294"/>
      <c r="Q294"/>
      <c r="R294"/>
      <c r="S294"/>
      <c r="T294"/>
      <c r="U294"/>
      <c r="V294" s="77"/>
      <c r="W294"/>
      <c r="X294"/>
      <c r="Z294"/>
    </row>
    <row r="295" spans="2:26" ht="20" customHeight="1" x14ac:dyDescent="0.35">
      <c r="B295"/>
      <c r="C295"/>
      <c r="D295"/>
      <c r="E295"/>
      <c r="F295"/>
      <c r="G295"/>
      <c r="H295"/>
      <c r="I295"/>
      <c r="J295"/>
      <c r="K295"/>
      <c r="L295"/>
      <c r="M295"/>
      <c r="N295"/>
      <c r="O295"/>
      <c r="P295"/>
      <c r="Q295"/>
      <c r="R295"/>
      <c r="S295"/>
      <c r="T295"/>
      <c r="U295"/>
      <c r="V295" s="77"/>
      <c r="W295"/>
      <c r="X295"/>
      <c r="Z295"/>
    </row>
    <row r="296" spans="2:26" ht="20" customHeight="1" x14ac:dyDescent="0.35">
      <c r="B296"/>
      <c r="C296"/>
      <c r="D296"/>
      <c r="E296"/>
      <c r="F296"/>
      <c r="G296"/>
      <c r="H296"/>
      <c r="I296"/>
      <c r="J296"/>
      <c r="K296"/>
      <c r="L296"/>
      <c r="M296"/>
      <c r="N296"/>
      <c r="O296"/>
      <c r="P296"/>
      <c r="Q296"/>
      <c r="R296"/>
      <c r="S296"/>
      <c r="T296"/>
      <c r="U296"/>
      <c r="V296" s="77"/>
      <c r="W296"/>
      <c r="X296"/>
      <c r="Z296"/>
    </row>
    <row r="297" spans="2:26" ht="20" customHeight="1" x14ac:dyDescent="0.35">
      <c r="B297"/>
      <c r="C297"/>
      <c r="D297"/>
      <c r="E297"/>
      <c r="F297"/>
      <c r="G297"/>
      <c r="H297"/>
      <c r="I297"/>
      <c r="J297"/>
      <c r="K297"/>
      <c r="L297"/>
      <c r="M297"/>
      <c r="N297"/>
      <c r="O297"/>
      <c r="P297"/>
      <c r="Q297"/>
      <c r="R297"/>
      <c r="S297"/>
      <c r="T297"/>
      <c r="U297"/>
      <c r="V297" s="77"/>
      <c r="W297"/>
      <c r="X297"/>
      <c r="Z297"/>
    </row>
    <row r="298" spans="2:26" ht="20" customHeight="1" x14ac:dyDescent="0.35">
      <c r="B298"/>
      <c r="C298"/>
      <c r="D298"/>
      <c r="E298"/>
      <c r="F298"/>
      <c r="G298"/>
      <c r="H298"/>
      <c r="I298"/>
      <c r="J298"/>
      <c r="K298"/>
      <c r="L298"/>
      <c r="M298"/>
      <c r="N298"/>
      <c r="O298"/>
      <c r="P298"/>
      <c r="Q298"/>
      <c r="R298"/>
      <c r="S298"/>
      <c r="T298"/>
      <c r="U298"/>
      <c r="V298" s="77"/>
      <c r="W298"/>
      <c r="X298"/>
      <c r="Z298"/>
    </row>
    <row r="299" spans="2:26" ht="20" customHeight="1" x14ac:dyDescent="0.35">
      <c r="B299"/>
      <c r="C299"/>
      <c r="D299"/>
      <c r="E299"/>
      <c r="F299"/>
      <c r="G299"/>
      <c r="H299"/>
      <c r="I299"/>
      <c r="J299"/>
      <c r="K299"/>
      <c r="L299"/>
      <c r="M299"/>
      <c r="N299"/>
      <c r="O299"/>
      <c r="P299"/>
      <c r="Q299"/>
      <c r="R299"/>
      <c r="S299"/>
      <c r="T299"/>
      <c r="U299"/>
      <c r="V299" s="77"/>
      <c r="W299"/>
      <c r="X299"/>
      <c r="Z299"/>
    </row>
    <row r="300" spans="2:26" ht="20" customHeight="1" x14ac:dyDescent="0.35">
      <c r="B300"/>
      <c r="C300"/>
      <c r="D300"/>
      <c r="E300"/>
      <c r="F300"/>
      <c r="G300"/>
      <c r="H300"/>
      <c r="I300"/>
      <c r="J300"/>
      <c r="K300"/>
      <c r="L300"/>
      <c r="M300"/>
      <c r="N300"/>
      <c r="O300"/>
      <c r="P300"/>
      <c r="Q300"/>
      <c r="R300"/>
      <c r="S300"/>
      <c r="T300"/>
      <c r="U300"/>
      <c r="V300" s="77"/>
      <c r="W300"/>
      <c r="X300"/>
      <c r="Z300"/>
    </row>
    <row r="301" spans="2:26" ht="20" customHeight="1" x14ac:dyDescent="0.35">
      <c r="B301"/>
      <c r="C301"/>
      <c r="D301"/>
      <c r="E301"/>
      <c r="F301"/>
      <c r="G301"/>
      <c r="H301"/>
      <c r="I301"/>
      <c r="J301"/>
      <c r="K301"/>
      <c r="L301"/>
      <c r="M301"/>
      <c r="N301"/>
      <c r="O301"/>
      <c r="P301"/>
      <c r="Q301"/>
      <c r="R301"/>
      <c r="S301"/>
      <c r="T301"/>
      <c r="U301"/>
      <c r="V301" s="77"/>
      <c r="W301"/>
      <c r="X301"/>
      <c r="Z301"/>
    </row>
    <row r="302" spans="2:26" ht="20" customHeight="1" x14ac:dyDescent="0.35">
      <c r="B302"/>
      <c r="C302"/>
      <c r="D302"/>
      <c r="E302"/>
      <c r="F302"/>
      <c r="G302"/>
      <c r="H302"/>
      <c r="I302"/>
      <c r="J302"/>
      <c r="K302"/>
      <c r="L302"/>
      <c r="M302"/>
      <c r="N302"/>
      <c r="O302"/>
      <c r="P302"/>
      <c r="Q302"/>
      <c r="R302"/>
      <c r="S302"/>
      <c r="T302"/>
      <c r="U302"/>
      <c r="V302" s="77"/>
      <c r="W302"/>
      <c r="X302"/>
      <c r="Z302"/>
    </row>
    <row r="303" spans="2:26" ht="20" customHeight="1" x14ac:dyDescent="0.35">
      <c r="B303"/>
      <c r="C303"/>
      <c r="D303"/>
      <c r="E303"/>
      <c r="F303"/>
      <c r="G303"/>
      <c r="H303"/>
      <c r="I303"/>
      <c r="J303"/>
      <c r="K303"/>
      <c r="L303"/>
      <c r="M303"/>
      <c r="N303"/>
      <c r="O303"/>
      <c r="P303"/>
      <c r="Q303"/>
      <c r="R303"/>
      <c r="S303"/>
      <c r="T303"/>
      <c r="U303"/>
      <c r="V303" s="77"/>
      <c r="W303"/>
      <c r="X303"/>
      <c r="Z303"/>
    </row>
    <row r="304" spans="2:26" ht="20" customHeight="1" x14ac:dyDescent="0.35">
      <c r="B304"/>
      <c r="C304"/>
      <c r="D304"/>
      <c r="E304"/>
      <c r="F304"/>
      <c r="G304"/>
      <c r="H304"/>
      <c r="I304"/>
      <c r="J304"/>
      <c r="K304"/>
      <c r="L304"/>
      <c r="M304"/>
      <c r="N304"/>
      <c r="O304"/>
      <c r="P304"/>
      <c r="Q304"/>
      <c r="R304"/>
      <c r="S304"/>
      <c r="T304"/>
      <c r="U304"/>
      <c r="V304" s="77"/>
      <c r="W304"/>
      <c r="X304"/>
      <c r="Z304"/>
    </row>
    <row r="305" spans="2:26" ht="20" customHeight="1" x14ac:dyDescent="0.35">
      <c r="B305"/>
      <c r="C305"/>
      <c r="D305"/>
      <c r="E305"/>
      <c r="F305"/>
      <c r="G305"/>
      <c r="H305"/>
      <c r="I305"/>
      <c r="J305"/>
      <c r="K305"/>
      <c r="L305"/>
      <c r="M305"/>
      <c r="N305"/>
      <c r="O305"/>
      <c r="P305"/>
      <c r="Q305"/>
      <c r="R305"/>
      <c r="S305"/>
      <c r="T305"/>
      <c r="U305"/>
      <c r="V305" s="77"/>
      <c r="W305"/>
      <c r="X305"/>
      <c r="Z305"/>
    </row>
    <row r="306" spans="2:26" ht="20" customHeight="1" x14ac:dyDescent="0.35">
      <c r="B306"/>
      <c r="C306"/>
      <c r="D306"/>
      <c r="E306"/>
      <c r="F306"/>
      <c r="G306"/>
      <c r="H306"/>
      <c r="I306"/>
      <c r="J306"/>
      <c r="K306"/>
      <c r="L306"/>
      <c r="M306"/>
      <c r="N306"/>
      <c r="O306"/>
      <c r="P306"/>
      <c r="Q306"/>
      <c r="R306"/>
      <c r="S306"/>
      <c r="T306"/>
      <c r="U306"/>
      <c r="V306" s="77"/>
      <c r="W306"/>
      <c r="X306"/>
      <c r="Z306"/>
    </row>
    <row r="307" spans="2:26" ht="20" customHeight="1" x14ac:dyDescent="0.35">
      <c r="B307"/>
      <c r="C307"/>
      <c r="D307"/>
      <c r="E307"/>
      <c r="F307"/>
      <c r="G307"/>
      <c r="H307"/>
      <c r="I307"/>
      <c r="J307"/>
      <c r="K307"/>
      <c r="L307"/>
      <c r="M307"/>
      <c r="N307"/>
      <c r="O307"/>
      <c r="P307"/>
      <c r="Q307"/>
      <c r="R307"/>
      <c r="S307"/>
      <c r="T307"/>
      <c r="U307"/>
      <c r="V307" s="77"/>
      <c r="W307"/>
      <c r="X307"/>
      <c r="Z307"/>
    </row>
    <row r="308" spans="2:26" ht="20" customHeight="1" x14ac:dyDescent="0.35">
      <c r="B308"/>
      <c r="C308"/>
      <c r="D308"/>
      <c r="E308"/>
      <c r="F308"/>
      <c r="G308"/>
      <c r="H308"/>
      <c r="I308"/>
      <c r="J308"/>
      <c r="K308"/>
      <c r="L308"/>
      <c r="M308"/>
      <c r="N308"/>
      <c r="O308"/>
      <c r="P308"/>
      <c r="Q308"/>
      <c r="R308"/>
      <c r="S308"/>
      <c r="T308"/>
      <c r="U308"/>
      <c r="V308" s="77"/>
      <c r="W308"/>
      <c r="X308"/>
      <c r="Z308"/>
    </row>
    <row r="309" spans="2:26" ht="20" customHeight="1" x14ac:dyDescent="0.35">
      <c r="B309"/>
      <c r="C309"/>
      <c r="D309"/>
      <c r="E309"/>
      <c r="F309"/>
      <c r="G309"/>
      <c r="H309"/>
      <c r="I309"/>
      <c r="J309"/>
      <c r="K309"/>
      <c r="L309"/>
      <c r="M309"/>
      <c r="N309"/>
      <c r="O309"/>
      <c r="P309"/>
      <c r="Q309"/>
      <c r="R309"/>
      <c r="S309"/>
      <c r="T309"/>
      <c r="U309"/>
      <c r="V309"/>
      <c r="W309"/>
      <c r="X309"/>
      <c r="Z309"/>
    </row>
    <row r="310" spans="2:26" ht="20" customHeight="1" x14ac:dyDescent="0.35">
      <c r="U310"/>
      <c r="V310"/>
      <c r="W310"/>
      <c r="X310"/>
      <c r="Z310"/>
    </row>
    <row r="311" spans="2:26" ht="20" customHeight="1" x14ac:dyDescent="0.35">
      <c r="U311"/>
      <c r="V311"/>
      <c r="W311"/>
      <c r="X311"/>
      <c r="Z311"/>
    </row>
    <row r="312" spans="2:26" ht="20" customHeight="1" x14ac:dyDescent="0.35">
      <c r="U312"/>
      <c r="V312"/>
      <c r="W312"/>
      <c r="X312"/>
      <c r="Z312"/>
    </row>
    <row r="313" spans="2:26" ht="20" customHeight="1" x14ac:dyDescent="0.35">
      <c r="U313"/>
      <c r="V313"/>
      <c r="W313"/>
      <c r="X313"/>
      <c r="Z313"/>
    </row>
    <row r="314" spans="2:26" ht="20" customHeight="1" x14ac:dyDescent="0.35">
      <c r="U314"/>
      <c r="V314"/>
      <c r="W314"/>
      <c r="X314"/>
      <c r="Z314"/>
    </row>
    <row r="315" spans="2:26" ht="20" customHeight="1" x14ac:dyDescent="0.35">
      <c r="U315"/>
      <c r="V315"/>
      <c r="W315"/>
      <c r="X315"/>
      <c r="Z315"/>
    </row>
    <row r="316" spans="2:26" ht="20" customHeight="1" x14ac:dyDescent="0.35">
      <c r="U316"/>
      <c r="V316"/>
      <c r="W316"/>
      <c r="X316"/>
      <c r="Z316"/>
    </row>
    <row r="317" spans="2:26" ht="20" customHeight="1" x14ac:dyDescent="0.35">
      <c r="U317"/>
      <c r="V317"/>
      <c r="W317"/>
      <c r="X317"/>
      <c r="Z317"/>
    </row>
    <row r="318" spans="2:26" ht="20" customHeight="1" x14ac:dyDescent="0.35">
      <c r="U318"/>
      <c r="V318"/>
      <c r="W318"/>
      <c r="X318"/>
      <c r="Z318"/>
    </row>
    <row r="319" spans="2:26" ht="20" customHeight="1" x14ac:dyDescent="0.35">
      <c r="U319"/>
      <c r="V319"/>
      <c r="W319"/>
      <c r="X319"/>
      <c r="Z319"/>
    </row>
    <row r="320" spans="2:26" ht="20" customHeight="1" x14ac:dyDescent="0.35">
      <c r="U320"/>
      <c r="V320"/>
      <c r="W320"/>
      <c r="X320"/>
      <c r="Z320"/>
    </row>
    <row r="321" spans="21:26" ht="20" customHeight="1" x14ac:dyDescent="0.35">
      <c r="U321"/>
      <c r="V321"/>
      <c r="W321"/>
      <c r="X321"/>
      <c r="Z321"/>
    </row>
    <row r="322" spans="21:26" ht="20" customHeight="1" x14ac:dyDescent="0.35">
      <c r="U322"/>
      <c r="V322"/>
      <c r="W322"/>
      <c r="X322"/>
      <c r="Z322"/>
    </row>
    <row r="323" spans="21:26" ht="20" customHeight="1" x14ac:dyDescent="0.35">
      <c r="U323"/>
      <c r="V323"/>
      <c r="W323"/>
      <c r="X323"/>
      <c r="Z323"/>
    </row>
    <row r="324" spans="21:26" ht="20" customHeight="1" x14ac:dyDescent="0.35">
      <c r="U324"/>
      <c r="V324"/>
      <c r="W324"/>
      <c r="X324"/>
      <c r="Z324"/>
    </row>
    <row r="325" spans="21:26" ht="20" customHeight="1" x14ac:dyDescent="0.35">
      <c r="U325"/>
      <c r="V325"/>
      <c r="W325"/>
      <c r="X325"/>
      <c r="Z325"/>
    </row>
    <row r="326" spans="21:26" ht="20" customHeight="1" x14ac:dyDescent="0.35">
      <c r="U326"/>
      <c r="V326"/>
      <c r="W326"/>
      <c r="X326"/>
      <c r="Z326"/>
    </row>
    <row r="327" spans="21:26" ht="20" customHeight="1" x14ac:dyDescent="0.35">
      <c r="U327"/>
      <c r="V327"/>
      <c r="W327"/>
      <c r="X327"/>
      <c r="Z327"/>
    </row>
    <row r="328" spans="21:26" ht="20" customHeight="1" x14ac:dyDescent="0.35">
      <c r="U328"/>
      <c r="V328"/>
      <c r="W328"/>
      <c r="X328"/>
      <c r="Z328"/>
    </row>
    <row r="329" spans="21:26" ht="20" customHeight="1" x14ac:dyDescent="0.35">
      <c r="U329"/>
      <c r="V329"/>
      <c r="W329"/>
      <c r="X329"/>
      <c r="Z329"/>
    </row>
    <row r="330" spans="21:26" ht="20" customHeight="1" x14ac:dyDescent="0.35">
      <c r="U330"/>
      <c r="V330"/>
      <c r="W330"/>
      <c r="X330"/>
      <c r="Z330"/>
    </row>
    <row r="331" spans="21:26" ht="20" customHeight="1" x14ac:dyDescent="0.35">
      <c r="U331"/>
      <c r="V331"/>
      <c r="W331"/>
      <c r="X331"/>
      <c r="Z331"/>
    </row>
    <row r="332" spans="21:26" ht="20" customHeight="1" x14ac:dyDescent="0.35">
      <c r="U332"/>
      <c r="V332"/>
      <c r="W332"/>
      <c r="X332"/>
      <c r="Z332"/>
    </row>
    <row r="333" spans="21:26" ht="20" customHeight="1" x14ac:dyDescent="0.35">
      <c r="U333"/>
      <c r="V333"/>
      <c r="W333"/>
      <c r="X333"/>
      <c r="Z333"/>
    </row>
    <row r="334" spans="21:26" ht="20" customHeight="1" x14ac:dyDescent="0.35">
      <c r="U334"/>
      <c r="V334"/>
      <c r="W334"/>
      <c r="X334"/>
      <c r="Z334"/>
    </row>
    <row r="335" spans="21:26" ht="20" customHeight="1" x14ac:dyDescent="0.35">
      <c r="U335"/>
      <c r="V335"/>
      <c r="W335"/>
      <c r="X335"/>
      <c r="Z335"/>
    </row>
    <row r="336" spans="21:26" ht="20" customHeight="1" x14ac:dyDescent="0.35">
      <c r="U336"/>
      <c r="V336"/>
      <c r="W336"/>
      <c r="X336"/>
      <c r="Z336"/>
    </row>
    <row r="337" spans="21:26" ht="20" customHeight="1" x14ac:dyDescent="0.35">
      <c r="U337"/>
      <c r="V337"/>
      <c r="W337"/>
      <c r="X337"/>
      <c r="Z337"/>
    </row>
    <row r="338" spans="21:26" ht="20" customHeight="1" x14ac:dyDescent="0.35">
      <c r="U338"/>
      <c r="V338"/>
      <c r="W338"/>
      <c r="X338"/>
      <c r="Z338"/>
    </row>
    <row r="339" spans="21:26" ht="20" customHeight="1" x14ac:dyDescent="0.35">
      <c r="U339"/>
      <c r="V339"/>
      <c r="W339"/>
      <c r="X339"/>
      <c r="Z339"/>
    </row>
    <row r="340" spans="21:26" ht="20" customHeight="1" x14ac:dyDescent="0.35">
      <c r="U340"/>
      <c r="V340"/>
      <c r="W340"/>
      <c r="X340"/>
      <c r="Z340"/>
    </row>
    <row r="341" spans="21:26" ht="20" customHeight="1" x14ac:dyDescent="0.35">
      <c r="U341"/>
      <c r="V341"/>
      <c r="W341"/>
      <c r="X341"/>
      <c r="Z341"/>
    </row>
    <row r="342" spans="21:26" ht="20" customHeight="1" x14ac:dyDescent="0.35">
      <c r="U342"/>
      <c r="V342"/>
      <c r="W342"/>
      <c r="X342"/>
      <c r="Z342"/>
    </row>
    <row r="343" spans="21:26" ht="20" customHeight="1" x14ac:dyDescent="0.35">
      <c r="U343"/>
      <c r="V343"/>
      <c r="W343"/>
      <c r="X343"/>
      <c r="Z343"/>
    </row>
    <row r="344" spans="21:26" ht="20" customHeight="1" x14ac:dyDescent="0.35">
      <c r="U344"/>
      <c r="V344"/>
      <c r="W344"/>
      <c r="X344"/>
      <c r="Z344"/>
    </row>
    <row r="345" spans="21:26" ht="20" customHeight="1" x14ac:dyDescent="0.35">
      <c r="U345"/>
      <c r="V345"/>
      <c r="W345"/>
      <c r="X345"/>
      <c r="Z345"/>
    </row>
    <row r="346" spans="21:26" ht="20" customHeight="1" x14ac:dyDescent="0.35">
      <c r="U346"/>
      <c r="V346"/>
      <c r="W346"/>
      <c r="X346"/>
      <c r="Z346"/>
    </row>
    <row r="347" spans="21:26" ht="20" customHeight="1" x14ac:dyDescent="0.35">
      <c r="U347"/>
      <c r="V347"/>
      <c r="W347"/>
      <c r="X347"/>
      <c r="Z347"/>
    </row>
    <row r="348" spans="21:26" ht="20" customHeight="1" x14ac:dyDescent="0.35">
      <c r="U348"/>
      <c r="V348"/>
      <c r="W348"/>
      <c r="X348"/>
      <c r="Z348"/>
    </row>
    <row r="349" spans="21:26" ht="20" customHeight="1" x14ac:dyDescent="0.35">
      <c r="U349"/>
      <c r="V349"/>
      <c r="W349"/>
      <c r="X349"/>
      <c r="Z349"/>
    </row>
    <row r="350" spans="21:26" ht="20" customHeight="1" x14ac:dyDescent="0.35">
      <c r="U350"/>
      <c r="V350"/>
      <c r="W350"/>
      <c r="X350"/>
    </row>
    <row r="351" spans="21:26" ht="20" customHeight="1" x14ac:dyDescent="0.35">
      <c r="U351"/>
      <c r="V351"/>
      <c r="W351"/>
      <c r="X351"/>
    </row>
    <row r="352" spans="21:26" ht="20" customHeight="1" x14ac:dyDescent="0.35">
      <c r="U352"/>
      <c r="V352"/>
      <c r="W352"/>
      <c r="X352"/>
    </row>
    <row r="353" spans="2:24" ht="20" customHeight="1" x14ac:dyDescent="0.35">
      <c r="U353"/>
      <c r="V353"/>
      <c r="W353"/>
      <c r="X353"/>
    </row>
    <row r="354" spans="2:24" ht="20" customHeight="1" x14ac:dyDescent="0.35">
      <c r="U354"/>
      <c r="V354"/>
      <c r="W354"/>
      <c r="X354"/>
    </row>
    <row r="355" spans="2:24" ht="20" customHeight="1" x14ac:dyDescent="0.35">
      <c r="U355"/>
      <c r="V355"/>
      <c r="W355"/>
      <c r="X355"/>
    </row>
    <row r="356" spans="2:24" ht="20" customHeight="1" x14ac:dyDescent="0.35">
      <c r="U356"/>
      <c r="V356"/>
      <c r="W356"/>
      <c r="X356"/>
    </row>
    <row r="357" spans="2:24" ht="20" customHeight="1" x14ac:dyDescent="0.35">
      <c r="U357"/>
      <c r="V357"/>
      <c r="W357"/>
      <c r="X357"/>
    </row>
    <row r="358" spans="2:24" ht="20" customHeight="1" x14ac:dyDescent="0.35">
      <c r="U358"/>
      <c r="V358"/>
      <c r="W358"/>
      <c r="X358"/>
    </row>
    <row r="359" spans="2:24" ht="20" customHeight="1" x14ac:dyDescent="0.35">
      <c r="U359"/>
      <c r="V359"/>
      <c r="W359"/>
      <c r="X359"/>
    </row>
    <row r="360" spans="2:24" ht="20" customHeight="1" x14ac:dyDescent="0.35">
      <c r="U360"/>
      <c r="V360"/>
      <c r="W360"/>
      <c r="X360"/>
    </row>
    <row r="361" spans="2:24" ht="20" customHeight="1" x14ac:dyDescent="0.35">
      <c r="U361"/>
      <c r="V361"/>
      <c r="W361"/>
      <c r="X361"/>
    </row>
    <row r="362" spans="2:24" ht="20" customHeight="1" x14ac:dyDescent="0.35">
      <c r="U362"/>
      <c r="V362"/>
      <c r="W362"/>
      <c r="X362"/>
    </row>
    <row r="363" spans="2:24" ht="17" customHeight="1" x14ac:dyDescent="0.35">
      <c r="C363" s="1"/>
      <c r="N363"/>
      <c r="O363"/>
      <c r="P363"/>
      <c r="Q363"/>
      <c r="R363"/>
      <c r="S363"/>
      <c r="T363"/>
      <c r="U363"/>
      <c r="V363"/>
      <c r="W363"/>
    </row>
    <row r="364" spans="2:24" ht="17" customHeight="1" x14ac:dyDescent="0.35">
      <c r="B364" s="18"/>
      <c r="N364"/>
      <c r="O364"/>
      <c r="Q364"/>
      <c r="R364"/>
      <c r="S364"/>
      <c r="T364"/>
      <c r="U364"/>
      <c r="V364"/>
      <c r="W364"/>
    </row>
    <row r="365" spans="2:24" ht="17" customHeight="1" x14ac:dyDescent="0.35">
      <c r="B365" s="18"/>
      <c r="N365"/>
      <c r="O365"/>
      <c r="P365"/>
      <c r="Q365"/>
      <c r="R365"/>
      <c r="S365"/>
      <c r="T365"/>
      <c r="U365"/>
      <c r="V365"/>
      <c r="W365"/>
    </row>
    <row r="366" spans="2:24" ht="17" customHeight="1" x14ac:dyDescent="0.35">
      <c r="B366" s="18"/>
      <c r="N366"/>
      <c r="P366"/>
      <c r="Q366"/>
      <c r="R366"/>
      <c r="S366"/>
      <c r="T366"/>
      <c r="U366"/>
      <c r="V366"/>
      <c r="W366"/>
    </row>
    <row r="367" spans="2:24" ht="15.5" x14ac:dyDescent="0.35">
      <c r="B367" s="18"/>
      <c r="N367"/>
      <c r="O367"/>
      <c r="P367"/>
      <c r="Q367"/>
      <c r="R367"/>
      <c r="S367"/>
      <c r="T367"/>
      <c r="U367"/>
      <c r="V367"/>
      <c r="W367"/>
    </row>
    <row r="368" spans="2:24" ht="15.5" x14ac:dyDescent="0.35">
      <c r="B368" s="18"/>
      <c r="N368"/>
      <c r="O368"/>
      <c r="P368"/>
      <c r="Q368"/>
      <c r="R368"/>
      <c r="S368"/>
      <c r="T368"/>
      <c r="U368"/>
      <c r="V368"/>
      <c r="W368"/>
    </row>
    <row r="369" spans="2:2" ht="15.5" x14ac:dyDescent="0.35">
      <c r="B369" s="18"/>
    </row>
    <row r="370" spans="2:2" ht="15.5" x14ac:dyDescent="0.35">
      <c r="B370" s="18"/>
    </row>
    <row r="371" spans="2:2" ht="15.5" x14ac:dyDescent="0.35">
      <c r="B371" s="18"/>
    </row>
    <row r="372" spans="2:2" ht="15.5" x14ac:dyDescent="0.35">
      <c r="B372" s="18"/>
    </row>
    <row r="373" spans="2:2" ht="15.5" x14ac:dyDescent="0.35">
      <c r="B373" s="18"/>
    </row>
    <row r="374" spans="2:2" ht="15.5" x14ac:dyDescent="0.35">
      <c r="B374" s="18"/>
    </row>
    <row r="375" spans="2:2" ht="15.5" x14ac:dyDescent="0.35">
      <c r="B375" s="18"/>
    </row>
    <row r="376" spans="2:2" ht="15.5" x14ac:dyDescent="0.35">
      <c r="B376" s="18"/>
    </row>
    <row r="377" spans="2:2" ht="15.5" x14ac:dyDescent="0.35">
      <c r="B377" s="18"/>
    </row>
    <row r="378" spans="2:2" ht="15.5" x14ac:dyDescent="0.35">
      <c r="B378" s="18"/>
    </row>
    <row r="379" spans="2:2" ht="15.5" x14ac:dyDescent="0.35">
      <c r="B379" s="18"/>
    </row>
    <row r="380" spans="2:2" ht="15.5" x14ac:dyDescent="0.35">
      <c r="B380" s="18"/>
    </row>
    <row r="381" spans="2:2" ht="15.5" x14ac:dyDescent="0.35">
      <c r="B381" s="18"/>
    </row>
    <row r="382" spans="2:2" ht="15.5" x14ac:dyDescent="0.35">
      <c r="B382" s="18"/>
    </row>
    <row r="383" spans="2:2" ht="15.5" x14ac:dyDescent="0.35">
      <c r="B383" s="18"/>
    </row>
    <row r="384" spans="2:2" ht="15.5" x14ac:dyDescent="0.35">
      <c r="B384" s="18"/>
    </row>
    <row r="385" spans="2:2" ht="15.5" x14ac:dyDescent="0.35">
      <c r="B385" s="18"/>
    </row>
    <row r="386" spans="2:2" ht="15.5" x14ac:dyDescent="0.35">
      <c r="B386" s="18"/>
    </row>
    <row r="387" spans="2:2" ht="15.5" x14ac:dyDescent="0.35">
      <c r="B387" s="18"/>
    </row>
    <row r="388" spans="2:2" ht="15.5" x14ac:dyDescent="0.35">
      <c r="B388" s="18"/>
    </row>
    <row r="389" spans="2:2" ht="15.5" x14ac:dyDescent="0.35">
      <c r="B389" s="18"/>
    </row>
    <row r="390" spans="2:2" ht="15.5" x14ac:dyDescent="0.35">
      <c r="B390" s="18"/>
    </row>
    <row r="391" spans="2:2" ht="15.5" x14ac:dyDescent="0.35">
      <c r="B391" s="18"/>
    </row>
    <row r="392" spans="2:2" ht="15.5" x14ac:dyDescent="0.35">
      <c r="B392" s="18"/>
    </row>
    <row r="393" spans="2:2" ht="15.5" x14ac:dyDescent="0.35">
      <c r="B393" s="18"/>
    </row>
    <row r="394" spans="2:2" ht="15.5" x14ac:dyDescent="0.35">
      <c r="B394" s="18"/>
    </row>
    <row r="395" spans="2:2" ht="15.5" x14ac:dyDescent="0.35">
      <c r="B395" s="18"/>
    </row>
    <row r="396" spans="2:2" ht="15.5" x14ac:dyDescent="0.35">
      <c r="B396" s="18"/>
    </row>
    <row r="397" spans="2:2" ht="15.5" x14ac:dyDescent="0.35">
      <c r="B397" s="18"/>
    </row>
    <row r="398" spans="2:2" ht="15.5" x14ac:dyDescent="0.35">
      <c r="B398" s="18"/>
    </row>
    <row r="399" spans="2:2" ht="15.5" x14ac:dyDescent="0.35">
      <c r="B399" s="18"/>
    </row>
    <row r="400" spans="2:2" ht="15.5" x14ac:dyDescent="0.35">
      <c r="B400" s="18"/>
    </row>
    <row r="401" spans="2:2" ht="15.5" x14ac:dyDescent="0.35">
      <c r="B401" s="18"/>
    </row>
    <row r="402" spans="2:2" ht="15.5" x14ac:dyDescent="0.35">
      <c r="B402" s="18"/>
    </row>
    <row r="403" spans="2:2" ht="15.5" x14ac:dyDescent="0.35">
      <c r="B403" s="18"/>
    </row>
    <row r="404" spans="2:2" ht="15.5" x14ac:dyDescent="0.35">
      <c r="B404" s="18"/>
    </row>
    <row r="405" spans="2:2" ht="15.5" x14ac:dyDescent="0.35">
      <c r="B405" s="18"/>
    </row>
    <row r="406" spans="2:2" ht="15.5" x14ac:dyDescent="0.35">
      <c r="B406" s="18"/>
    </row>
    <row r="407" spans="2:2" ht="15.5" x14ac:dyDescent="0.35">
      <c r="B407" s="18"/>
    </row>
    <row r="408" spans="2:2" ht="15.5" x14ac:dyDescent="0.35">
      <c r="B408" s="18"/>
    </row>
    <row r="409" spans="2:2" ht="15.5" x14ac:dyDescent="0.35">
      <c r="B409" s="18"/>
    </row>
    <row r="410" spans="2:2" ht="15.5" x14ac:dyDescent="0.35">
      <c r="B410" s="18"/>
    </row>
    <row r="411" spans="2:2" ht="15.5" x14ac:dyDescent="0.35">
      <c r="B411" s="18"/>
    </row>
    <row r="412" spans="2:2" ht="15.5" x14ac:dyDescent="0.35">
      <c r="B412" s="18"/>
    </row>
    <row r="413" spans="2:2" ht="15.5" x14ac:dyDescent="0.35">
      <c r="B413" s="18"/>
    </row>
    <row r="414" spans="2:2" ht="15.5" x14ac:dyDescent="0.35">
      <c r="B414" s="18"/>
    </row>
    <row r="415" spans="2:2" ht="15.5" x14ac:dyDescent="0.35">
      <c r="B415" s="18"/>
    </row>
    <row r="416" spans="2:2" ht="15.5" x14ac:dyDescent="0.35">
      <c r="B416" s="18"/>
    </row>
    <row r="417" spans="2:2" ht="15.5" x14ac:dyDescent="0.35">
      <c r="B417" s="18"/>
    </row>
    <row r="418" spans="2:2" ht="15.5" x14ac:dyDescent="0.35">
      <c r="B418" s="18"/>
    </row>
    <row r="419" spans="2:2" ht="15.5" x14ac:dyDescent="0.35">
      <c r="B419" s="18"/>
    </row>
    <row r="420" spans="2:2" ht="15.5" x14ac:dyDescent="0.35">
      <c r="B420" s="18"/>
    </row>
    <row r="421" spans="2:2" ht="15.5" x14ac:dyDescent="0.35">
      <c r="B421" s="18"/>
    </row>
    <row r="422" spans="2:2" ht="15.5" x14ac:dyDescent="0.35">
      <c r="B422" s="18"/>
    </row>
    <row r="423" spans="2:2" ht="15.5" x14ac:dyDescent="0.35">
      <c r="B423" s="18"/>
    </row>
    <row r="424" spans="2:2" ht="15.5" x14ac:dyDescent="0.35">
      <c r="B424" s="18"/>
    </row>
    <row r="425" spans="2:2" ht="15.5" x14ac:dyDescent="0.35">
      <c r="B425" s="18"/>
    </row>
    <row r="426" spans="2:2" ht="15.5" x14ac:dyDescent="0.35">
      <c r="B426" s="18"/>
    </row>
    <row r="427" spans="2:2" ht="15.5" x14ac:dyDescent="0.35">
      <c r="B427" s="18"/>
    </row>
    <row r="428" spans="2:2" ht="15.5" x14ac:dyDescent="0.35">
      <c r="B428" s="18"/>
    </row>
    <row r="429" spans="2:2" ht="15.5" x14ac:dyDescent="0.35">
      <c r="B429" s="18"/>
    </row>
    <row r="430" spans="2:2" ht="15.5" x14ac:dyDescent="0.35">
      <c r="B430" s="18"/>
    </row>
    <row r="431" spans="2:2" ht="15.5" x14ac:dyDescent="0.35">
      <c r="B431" s="18"/>
    </row>
    <row r="432" spans="2:2" ht="15.5" x14ac:dyDescent="0.35">
      <c r="B432" s="18"/>
    </row>
    <row r="433" spans="2:2" ht="15.5" x14ac:dyDescent="0.35">
      <c r="B433" s="18"/>
    </row>
    <row r="434" spans="2:2" ht="15.5" x14ac:dyDescent="0.35">
      <c r="B434" s="18"/>
    </row>
    <row r="435" spans="2:2" ht="15.5" x14ac:dyDescent="0.35">
      <c r="B435" s="18"/>
    </row>
    <row r="436" spans="2:2" ht="15.5" x14ac:dyDescent="0.35">
      <c r="B436" s="18"/>
    </row>
    <row r="437" spans="2:2" ht="15.5" x14ac:dyDescent="0.35">
      <c r="B437" s="18"/>
    </row>
    <row r="438" spans="2:2" ht="15.5" x14ac:dyDescent="0.35">
      <c r="B438" s="18"/>
    </row>
    <row r="439" spans="2:2" ht="15.5" x14ac:dyDescent="0.35">
      <c r="B439" s="18"/>
    </row>
    <row r="440" spans="2:2" ht="15.5" x14ac:dyDescent="0.35">
      <c r="B440" s="18"/>
    </row>
    <row r="441" spans="2:2" ht="15.5" x14ac:dyDescent="0.35">
      <c r="B441" s="18"/>
    </row>
    <row r="442" spans="2:2" ht="15.5" x14ac:dyDescent="0.35">
      <c r="B442" s="18"/>
    </row>
    <row r="443" spans="2:2" ht="15.5" x14ac:dyDescent="0.35">
      <c r="B443" s="18"/>
    </row>
    <row r="444" spans="2:2" ht="15.5" x14ac:dyDescent="0.35">
      <c r="B444" s="18"/>
    </row>
    <row r="445" spans="2:2" ht="15.5" x14ac:dyDescent="0.35">
      <c r="B445" s="18"/>
    </row>
    <row r="446" spans="2:2" ht="15.5" x14ac:dyDescent="0.35">
      <c r="B446" s="18"/>
    </row>
    <row r="447" spans="2:2" ht="15.5" x14ac:dyDescent="0.35">
      <c r="B447" s="18"/>
    </row>
    <row r="448" spans="2:2" ht="15.5" x14ac:dyDescent="0.35">
      <c r="B448" s="18"/>
    </row>
    <row r="449" spans="2:2" ht="15.5" x14ac:dyDescent="0.35">
      <c r="B449" s="18"/>
    </row>
    <row r="450" spans="2:2" ht="15.5" x14ac:dyDescent="0.35">
      <c r="B450" s="18"/>
    </row>
    <row r="451" spans="2:2" ht="15.5" x14ac:dyDescent="0.35">
      <c r="B451" s="18"/>
    </row>
    <row r="452" spans="2:2" ht="15.5" x14ac:dyDescent="0.35">
      <c r="B452" s="18"/>
    </row>
    <row r="453" spans="2:2" ht="15.5" x14ac:dyDescent="0.35">
      <c r="B453" s="18"/>
    </row>
    <row r="454" spans="2:2" ht="15.5" x14ac:dyDescent="0.35">
      <c r="B454" s="18"/>
    </row>
    <row r="455" spans="2:2" ht="15.5" x14ac:dyDescent="0.35">
      <c r="B455" s="18"/>
    </row>
    <row r="456" spans="2:2" ht="15.5" x14ac:dyDescent="0.35">
      <c r="B456" s="18"/>
    </row>
    <row r="457" spans="2:2" ht="15.5" x14ac:dyDescent="0.35">
      <c r="B457" s="18"/>
    </row>
    <row r="458" spans="2:2" ht="15.5" x14ac:dyDescent="0.35">
      <c r="B458" s="18"/>
    </row>
    <row r="459" spans="2:2" ht="15.5" x14ac:dyDescent="0.35">
      <c r="B459" s="18"/>
    </row>
    <row r="460" spans="2:2" ht="15.5" x14ac:dyDescent="0.35">
      <c r="B460" s="18"/>
    </row>
    <row r="461" spans="2:2" ht="15.5" x14ac:dyDescent="0.35">
      <c r="B461" s="18"/>
    </row>
    <row r="462" spans="2:2" ht="15.5" x14ac:dyDescent="0.35">
      <c r="B462" s="18"/>
    </row>
    <row r="463" spans="2:2" ht="15.5" x14ac:dyDescent="0.35">
      <c r="B463" s="18"/>
    </row>
    <row r="464" spans="2:2" ht="15.5" x14ac:dyDescent="0.35">
      <c r="B464" s="18"/>
    </row>
    <row r="465" spans="2:2" ht="15.5" x14ac:dyDescent="0.35">
      <c r="B465" s="18"/>
    </row>
    <row r="466" spans="2:2" ht="15.5" x14ac:dyDescent="0.35">
      <c r="B466" s="18"/>
    </row>
    <row r="467" spans="2:2" ht="15.5" x14ac:dyDescent="0.35">
      <c r="B467" s="18"/>
    </row>
    <row r="468" spans="2:2" ht="15.5" x14ac:dyDescent="0.35">
      <c r="B468" s="18"/>
    </row>
    <row r="469" spans="2:2" ht="15.5" x14ac:dyDescent="0.35">
      <c r="B469" s="18"/>
    </row>
    <row r="470" spans="2:2" ht="15.5" x14ac:dyDescent="0.35">
      <c r="B470" s="18"/>
    </row>
    <row r="471" spans="2:2" ht="15.5" x14ac:dyDescent="0.35">
      <c r="B471" s="18"/>
    </row>
    <row r="472" spans="2:2" ht="15.5" x14ac:dyDescent="0.35">
      <c r="B472" s="18"/>
    </row>
    <row r="473" spans="2:2" ht="15.5" x14ac:dyDescent="0.35">
      <c r="B473" s="18"/>
    </row>
    <row r="474" spans="2:2" ht="15.5" x14ac:dyDescent="0.35">
      <c r="B474" s="18"/>
    </row>
    <row r="475" spans="2:2" ht="15.5" x14ac:dyDescent="0.35">
      <c r="B475" s="18"/>
    </row>
    <row r="476" spans="2:2" ht="15.5" x14ac:dyDescent="0.35">
      <c r="B476" s="18"/>
    </row>
    <row r="477" spans="2:2" ht="15.5" x14ac:dyDescent="0.35">
      <c r="B477" s="18"/>
    </row>
    <row r="478" spans="2:2" ht="15.5" x14ac:dyDescent="0.35">
      <c r="B478" s="18"/>
    </row>
    <row r="479" spans="2:2" ht="15.5" x14ac:dyDescent="0.35">
      <c r="B479" s="18"/>
    </row>
    <row r="480" spans="2:2" ht="15.5" x14ac:dyDescent="0.35">
      <c r="B480" s="18"/>
    </row>
    <row r="481" spans="2:2" ht="15.5" x14ac:dyDescent="0.35">
      <c r="B481" s="18"/>
    </row>
    <row r="482" spans="2:2" ht="15.5" x14ac:dyDescent="0.35">
      <c r="B482" s="18"/>
    </row>
    <row r="483" spans="2:2" ht="15.5" x14ac:dyDescent="0.35">
      <c r="B483" s="18"/>
    </row>
    <row r="484" spans="2:2" ht="15.5" x14ac:dyDescent="0.35">
      <c r="B484" s="18"/>
    </row>
    <row r="485" spans="2:2" ht="15.5" x14ac:dyDescent="0.35">
      <c r="B485" s="18"/>
    </row>
    <row r="486" spans="2:2" ht="15.5" x14ac:dyDescent="0.35">
      <c r="B486" s="18"/>
    </row>
    <row r="487" spans="2:2" ht="15.5" x14ac:dyDescent="0.35">
      <c r="B487" s="18"/>
    </row>
    <row r="488" spans="2:2" ht="15.5" x14ac:dyDescent="0.35">
      <c r="B488" s="18"/>
    </row>
    <row r="489" spans="2:2" ht="15.5" x14ac:dyDescent="0.35">
      <c r="B489" s="18"/>
    </row>
    <row r="490" spans="2:2" ht="15.5" x14ac:dyDescent="0.35">
      <c r="B490" s="18"/>
    </row>
    <row r="491" spans="2:2" ht="15.5" x14ac:dyDescent="0.35">
      <c r="B491" s="18"/>
    </row>
    <row r="492" spans="2:2" ht="15.5" x14ac:dyDescent="0.35">
      <c r="B492" s="18"/>
    </row>
    <row r="493" spans="2:2" ht="15.5" x14ac:dyDescent="0.35">
      <c r="B493" s="18"/>
    </row>
    <row r="494" spans="2:2" ht="15.5" x14ac:dyDescent="0.35">
      <c r="B494" s="18"/>
    </row>
    <row r="495" spans="2:2" ht="15.5" x14ac:dyDescent="0.35">
      <c r="B495" s="18"/>
    </row>
    <row r="496" spans="2:2" ht="15.5" x14ac:dyDescent="0.35">
      <c r="B496" s="18"/>
    </row>
    <row r="497" spans="2:2" ht="15.5" x14ac:dyDescent="0.35">
      <c r="B497" s="18"/>
    </row>
    <row r="498" spans="2:2" ht="15.5" x14ac:dyDescent="0.35">
      <c r="B498" s="18"/>
    </row>
    <row r="499" spans="2:2" ht="15.5" x14ac:dyDescent="0.35">
      <c r="B499" s="18"/>
    </row>
    <row r="500" spans="2:2" ht="15.5" x14ac:dyDescent="0.35">
      <c r="B500" s="18"/>
    </row>
    <row r="501" spans="2:2" ht="15.5" x14ac:dyDescent="0.35">
      <c r="B501" s="18"/>
    </row>
    <row r="502" spans="2:2" ht="15.5" x14ac:dyDescent="0.35">
      <c r="B502" s="18"/>
    </row>
    <row r="503" spans="2:2" ht="15.5" x14ac:dyDescent="0.35">
      <c r="B503" s="18"/>
    </row>
    <row r="504" spans="2:2" ht="15.5" x14ac:dyDescent="0.35">
      <c r="B504" s="18"/>
    </row>
    <row r="505" spans="2:2" ht="15.5" x14ac:dyDescent="0.35">
      <c r="B505" s="18"/>
    </row>
    <row r="506" spans="2:2" ht="15.5" x14ac:dyDescent="0.35">
      <c r="B506" s="18"/>
    </row>
    <row r="507" spans="2:2" ht="15.5" x14ac:dyDescent="0.35">
      <c r="B507" s="18"/>
    </row>
    <row r="508" spans="2:2" ht="15.5" x14ac:dyDescent="0.35">
      <c r="B508" s="18"/>
    </row>
    <row r="509" spans="2:2" ht="15.5" x14ac:dyDescent="0.35">
      <c r="B509" s="18"/>
    </row>
    <row r="510" spans="2:2" ht="15.5" x14ac:dyDescent="0.35">
      <c r="B510" s="18"/>
    </row>
    <row r="511" spans="2:2" ht="15.5" x14ac:dyDescent="0.35">
      <c r="B511" s="18"/>
    </row>
    <row r="512" spans="2:2" ht="15.5" x14ac:dyDescent="0.35">
      <c r="B512" s="18"/>
    </row>
    <row r="513" spans="2:2" ht="15.5" x14ac:dyDescent="0.35">
      <c r="B513" s="18"/>
    </row>
    <row r="514" spans="2:2" ht="15.5" x14ac:dyDescent="0.35">
      <c r="B514" s="18"/>
    </row>
    <row r="515" spans="2:2" ht="15.5" x14ac:dyDescent="0.35">
      <c r="B515" s="18"/>
    </row>
    <row r="516" spans="2:2" ht="15.5" x14ac:dyDescent="0.35">
      <c r="B516" s="18"/>
    </row>
    <row r="517" spans="2:2" ht="15.5" x14ac:dyDescent="0.35">
      <c r="B517" s="18"/>
    </row>
    <row r="518" spans="2:2" ht="15.5" x14ac:dyDescent="0.35">
      <c r="B518" s="18"/>
    </row>
    <row r="519" spans="2:2" ht="15.5" x14ac:dyDescent="0.35">
      <c r="B519" s="18"/>
    </row>
    <row r="520" spans="2:2" ht="15.5" x14ac:dyDescent="0.35">
      <c r="B520" s="18"/>
    </row>
    <row r="521" spans="2:2" ht="15.5" x14ac:dyDescent="0.35">
      <c r="B521" s="18"/>
    </row>
    <row r="522" spans="2:2" ht="15.5" x14ac:dyDescent="0.35">
      <c r="B522" s="18"/>
    </row>
    <row r="523" spans="2:2" ht="15.5" x14ac:dyDescent="0.35">
      <c r="B523" s="18"/>
    </row>
    <row r="524" spans="2:2" ht="15.5" x14ac:dyDescent="0.35">
      <c r="B524" s="18"/>
    </row>
    <row r="525" spans="2:2" ht="15.5" x14ac:dyDescent="0.35">
      <c r="B525" s="18"/>
    </row>
    <row r="526" spans="2:2" ht="15.5" x14ac:dyDescent="0.35">
      <c r="B526" s="18"/>
    </row>
    <row r="527" spans="2:2" ht="15.5" x14ac:dyDescent="0.35">
      <c r="B527" s="18"/>
    </row>
    <row r="528" spans="2:2" ht="15.5" x14ac:dyDescent="0.35">
      <c r="B528" s="18"/>
    </row>
    <row r="529" spans="2:2" ht="15.5" x14ac:dyDescent="0.35">
      <c r="B529" s="18"/>
    </row>
    <row r="530" spans="2:2" ht="15.5" x14ac:dyDescent="0.35">
      <c r="B530" s="18"/>
    </row>
    <row r="531" spans="2:2" ht="15.5" x14ac:dyDescent="0.35">
      <c r="B531" s="18"/>
    </row>
    <row r="532" spans="2:2" ht="15.5" x14ac:dyDescent="0.35">
      <c r="B532" s="18"/>
    </row>
    <row r="533" spans="2:2" ht="15.5" x14ac:dyDescent="0.35">
      <c r="B533" s="18"/>
    </row>
    <row r="534" spans="2:2" ht="15.5" x14ac:dyDescent="0.35">
      <c r="B534" s="18"/>
    </row>
    <row r="535" spans="2:2" ht="15.5" x14ac:dyDescent="0.35">
      <c r="B535" s="18"/>
    </row>
    <row r="536" spans="2:2" ht="15.5" x14ac:dyDescent="0.35">
      <c r="B536" s="18"/>
    </row>
    <row r="537" spans="2:2" ht="15.5" x14ac:dyDescent="0.35">
      <c r="B537" s="18"/>
    </row>
    <row r="538" spans="2:2" ht="15.5" x14ac:dyDescent="0.35">
      <c r="B538" s="18"/>
    </row>
    <row r="539" spans="2:2" ht="15.5" x14ac:dyDescent="0.35">
      <c r="B539" s="18"/>
    </row>
    <row r="540" spans="2:2" ht="15.5" x14ac:dyDescent="0.35">
      <c r="B540" s="18"/>
    </row>
    <row r="541" spans="2:2" ht="15.5" x14ac:dyDescent="0.35">
      <c r="B541" s="18"/>
    </row>
    <row r="542" spans="2:2" ht="15.5" x14ac:dyDescent="0.35">
      <c r="B542" s="18"/>
    </row>
    <row r="543" spans="2:2" ht="15.5" x14ac:dyDescent="0.35">
      <c r="B543" s="18"/>
    </row>
    <row r="544" spans="2:2" ht="15.5" x14ac:dyDescent="0.35">
      <c r="B544" s="18"/>
    </row>
    <row r="545" spans="2:2" ht="15.5" x14ac:dyDescent="0.35">
      <c r="B545" s="18"/>
    </row>
    <row r="546" spans="2:2" ht="15.5" x14ac:dyDescent="0.35">
      <c r="B546" s="18"/>
    </row>
    <row r="547" spans="2:2" ht="15.5" x14ac:dyDescent="0.35">
      <c r="B547" s="18"/>
    </row>
    <row r="548" spans="2:2" ht="15.5" x14ac:dyDescent="0.35">
      <c r="B548" s="18"/>
    </row>
    <row r="549" spans="2:2" ht="15.5" x14ac:dyDescent="0.35">
      <c r="B549" s="18"/>
    </row>
    <row r="550" spans="2:2" ht="15.5" x14ac:dyDescent="0.35">
      <c r="B550" s="18"/>
    </row>
    <row r="551" spans="2:2" ht="15.5" x14ac:dyDescent="0.35">
      <c r="B551" s="18"/>
    </row>
    <row r="552" spans="2:2" ht="15.5" x14ac:dyDescent="0.35">
      <c r="B552" s="18"/>
    </row>
    <row r="553" spans="2:2" ht="15.5" x14ac:dyDescent="0.35">
      <c r="B553" s="18"/>
    </row>
    <row r="554" spans="2:2" ht="15.5" x14ac:dyDescent="0.35">
      <c r="B554" s="18"/>
    </row>
    <row r="555" spans="2:2" ht="15.5" x14ac:dyDescent="0.35">
      <c r="B555" s="18"/>
    </row>
    <row r="556" spans="2:2" ht="15.5" x14ac:dyDescent="0.35">
      <c r="B556" s="18"/>
    </row>
    <row r="557" spans="2:2" ht="15.5" x14ac:dyDescent="0.35">
      <c r="B557" s="18"/>
    </row>
    <row r="558" spans="2:2" ht="15.5" x14ac:dyDescent="0.35">
      <c r="B558" s="18"/>
    </row>
    <row r="559" spans="2:2" ht="15.5" x14ac:dyDescent="0.35">
      <c r="B559" s="18"/>
    </row>
    <row r="560" spans="2:2" ht="15.5" x14ac:dyDescent="0.35">
      <c r="B560" s="18"/>
    </row>
    <row r="561" spans="2:2" ht="15.5" x14ac:dyDescent="0.35">
      <c r="B561" s="18"/>
    </row>
    <row r="562" spans="2:2" ht="15.5" x14ac:dyDescent="0.35">
      <c r="B562" s="18"/>
    </row>
    <row r="563" spans="2:2" ht="15.5" x14ac:dyDescent="0.35">
      <c r="B563" s="18"/>
    </row>
    <row r="564" spans="2:2" ht="15.5" x14ac:dyDescent="0.35">
      <c r="B564" s="18"/>
    </row>
    <row r="565" spans="2:2" ht="15.5" x14ac:dyDescent="0.35">
      <c r="B565" s="18"/>
    </row>
    <row r="566" spans="2:2" ht="15.5" x14ac:dyDescent="0.35">
      <c r="B566" s="18"/>
    </row>
    <row r="567" spans="2:2" ht="15.5" x14ac:dyDescent="0.35">
      <c r="B567" s="18"/>
    </row>
    <row r="568" spans="2:2" ht="15.5" x14ac:dyDescent="0.35">
      <c r="B568" s="18"/>
    </row>
    <row r="569" spans="2:2" ht="15.5" x14ac:dyDescent="0.35">
      <c r="B569" s="18"/>
    </row>
    <row r="570" spans="2:2" ht="15.5" x14ac:dyDescent="0.35">
      <c r="B570" s="18"/>
    </row>
    <row r="571" spans="2:2" ht="15.5" x14ac:dyDescent="0.35">
      <c r="B571" s="18"/>
    </row>
    <row r="572" spans="2:2" ht="15.5" x14ac:dyDescent="0.35">
      <c r="B572" s="18"/>
    </row>
    <row r="573" spans="2:2" ht="15.5" x14ac:dyDescent="0.35">
      <c r="B573" s="18"/>
    </row>
    <row r="574" spans="2:2" ht="15.5" x14ac:dyDescent="0.35">
      <c r="B574" s="18"/>
    </row>
    <row r="575" spans="2:2" ht="15.5" x14ac:dyDescent="0.35">
      <c r="B575" s="18"/>
    </row>
    <row r="576" spans="2:2" ht="15.5" x14ac:dyDescent="0.35">
      <c r="B576" s="18"/>
    </row>
    <row r="577" spans="2:2" ht="15.5" x14ac:dyDescent="0.35">
      <c r="B577" s="18"/>
    </row>
    <row r="578" spans="2:2" ht="15.5" x14ac:dyDescent="0.35">
      <c r="B578" s="18"/>
    </row>
    <row r="579" spans="2:2" ht="15.5" x14ac:dyDescent="0.35">
      <c r="B579" s="18"/>
    </row>
    <row r="580" spans="2:2" ht="15.5" x14ac:dyDescent="0.35">
      <c r="B580" s="18"/>
    </row>
    <row r="581" spans="2:2" ht="15.5" x14ac:dyDescent="0.35">
      <c r="B581" s="18"/>
    </row>
    <row r="582" spans="2:2" ht="15.5" x14ac:dyDescent="0.35">
      <c r="B582" s="18"/>
    </row>
    <row r="583" spans="2:2" ht="15.5" x14ac:dyDescent="0.35">
      <c r="B583" s="18"/>
    </row>
    <row r="584" spans="2:2" ht="15.5" x14ac:dyDescent="0.35">
      <c r="B584" s="18"/>
    </row>
    <row r="585" spans="2:2" ht="15.5" x14ac:dyDescent="0.35">
      <c r="B585" s="18"/>
    </row>
    <row r="586" spans="2:2" ht="15.5" x14ac:dyDescent="0.35">
      <c r="B586" s="18"/>
    </row>
    <row r="587" spans="2:2" ht="15.5" x14ac:dyDescent="0.35">
      <c r="B587" s="18"/>
    </row>
    <row r="588" spans="2:2" ht="15.5" x14ac:dyDescent="0.35">
      <c r="B588" s="18"/>
    </row>
    <row r="589" spans="2:2" ht="15.5" x14ac:dyDescent="0.35">
      <c r="B589" s="18"/>
    </row>
    <row r="590" spans="2:2" ht="15.5" x14ac:dyDescent="0.35">
      <c r="B590" s="18"/>
    </row>
    <row r="591" spans="2:2" ht="15.5" x14ac:dyDescent="0.35">
      <c r="B591" s="18"/>
    </row>
    <row r="592" spans="2:2" ht="15.5" x14ac:dyDescent="0.35">
      <c r="B592" s="18"/>
    </row>
    <row r="593" spans="2:2" ht="15.5" x14ac:dyDescent="0.35">
      <c r="B593" s="18"/>
    </row>
    <row r="594" spans="2:2" ht="15.5" x14ac:dyDescent="0.35">
      <c r="B594" s="18"/>
    </row>
    <row r="595" spans="2:2" ht="15.5" x14ac:dyDescent="0.35">
      <c r="B595" s="18"/>
    </row>
    <row r="596" spans="2:2" ht="15.5" x14ac:dyDescent="0.35">
      <c r="B596" s="18"/>
    </row>
    <row r="597" spans="2:2" ht="15.5" x14ac:dyDescent="0.35">
      <c r="B597" s="18"/>
    </row>
    <row r="598" spans="2:2" ht="15.5" x14ac:dyDescent="0.35">
      <c r="B598" s="18"/>
    </row>
    <row r="599" spans="2:2" ht="15.5" x14ac:dyDescent="0.35">
      <c r="B599" s="18"/>
    </row>
    <row r="600" spans="2:2" ht="15.5" x14ac:dyDescent="0.35">
      <c r="B600" s="18"/>
    </row>
    <row r="601" spans="2:2" ht="15.5" x14ac:dyDescent="0.35">
      <c r="B601" s="18"/>
    </row>
    <row r="602" spans="2:2" ht="15.5" x14ac:dyDescent="0.35">
      <c r="B602" s="18"/>
    </row>
    <row r="603" spans="2:2" ht="15.5" x14ac:dyDescent="0.35">
      <c r="B603" s="18"/>
    </row>
    <row r="604" spans="2:2" ht="15.5" x14ac:dyDescent="0.35">
      <c r="B604" s="18"/>
    </row>
    <row r="605" spans="2:2" ht="15.5" x14ac:dyDescent="0.35">
      <c r="B605" s="18"/>
    </row>
    <row r="606" spans="2:2" ht="15.5" x14ac:dyDescent="0.35">
      <c r="B606" s="18"/>
    </row>
    <row r="607" spans="2:2" ht="15.5" x14ac:dyDescent="0.35">
      <c r="B607" s="18"/>
    </row>
    <row r="608" spans="2:2" ht="15.5" x14ac:dyDescent="0.35">
      <c r="B608" s="18"/>
    </row>
    <row r="609" spans="2:2" ht="15.5" x14ac:dyDescent="0.35">
      <c r="B609" s="18"/>
    </row>
    <row r="610" spans="2:2" ht="15.5" x14ac:dyDescent="0.35">
      <c r="B610" s="18"/>
    </row>
    <row r="611" spans="2:2" ht="15.5" x14ac:dyDescent="0.35">
      <c r="B611" s="18"/>
    </row>
    <row r="612" spans="2:2" ht="15.5" x14ac:dyDescent="0.35">
      <c r="B612" s="18"/>
    </row>
    <row r="613" spans="2:2" ht="15.5" x14ac:dyDescent="0.35">
      <c r="B613" s="18"/>
    </row>
    <row r="614" spans="2:2" ht="15.5" x14ac:dyDescent="0.35">
      <c r="B614" s="18"/>
    </row>
    <row r="615" spans="2:2" ht="15.5" x14ac:dyDescent="0.35">
      <c r="B615" s="18"/>
    </row>
    <row r="616" spans="2:2" ht="15.5" x14ac:dyDescent="0.35">
      <c r="B616" s="18"/>
    </row>
    <row r="617" spans="2:2" ht="15.5" x14ac:dyDescent="0.35">
      <c r="B617" s="18"/>
    </row>
    <row r="618" spans="2:2" ht="15.5" x14ac:dyDescent="0.35">
      <c r="B618" s="18"/>
    </row>
    <row r="619" spans="2:2" ht="15.5" x14ac:dyDescent="0.35">
      <c r="B619" s="18"/>
    </row>
    <row r="620" spans="2:2" ht="15.5" x14ac:dyDescent="0.35">
      <c r="B620" s="18"/>
    </row>
    <row r="621" spans="2:2" ht="15.5" x14ac:dyDescent="0.35">
      <c r="B621" s="18"/>
    </row>
    <row r="622" spans="2:2" ht="15.5" x14ac:dyDescent="0.35">
      <c r="B622" s="18"/>
    </row>
    <row r="623" spans="2:2" ht="15.5" x14ac:dyDescent="0.35">
      <c r="B623" s="18"/>
    </row>
    <row r="624" spans="2:2" ht="15.5" x14ac:dyDescent="0.35">
      <c r="B624" s="18"/>
    </row>
    <row r="625" spans="2:2" ht="15.5" x14ac:dyDescent="0.35">
      <c r="B625" s="18"/>
    </row>
    <row r="626" spans="2:2" ht="15.5" x14ac:dyDescent="0.35">
      <c r="B626" s="18"/>
    </row>
    <row r="627" spans="2:2" ht="15.5" x14ac:dyDescent="0.35">
      <c r="B627" s="18"/>
    </row>
    <row r="628" spans="2:2" ht="15.5" x14ac:dyDescent="0.35">
      <c r="B628" s="18"/>
    </row>
    <row r="629" spans="2:2" ht="15.5" x14ac:dyDescent="0.35">
      <c r="B629" s="18"/>
    </row>
    <row r="630" spans="2:2" ht="15.5" x14ac:dyDescent="0.35">
      <c r="B630" s="18"/>
    </row>
    <row r="631" spans="2:2" ht="15.5" x14ac:dyDescent="0.35">
      <c r="B631" s="18"/>
    </row>
    <row r="632" spans="2:2" ht="15.5" x14ac:dyDescent="0.35">
      <c r="B632" s="18"/>
    </row>
    <row r="633" spans="2:2" ht="15.5" x14ac:dyDescent="0.35">
      <c r="B633" s="18"/>
    </row>
    <row r="634" spans="2:2" ht="15.5" x14ac:dyDescent="0.35">
      <c r="B634" s="18"/>
    </row>
    <row r="635" spans="2:2" ht="15.5" x14ac:dyDescent="0.35">
      <c r="B635" s="18"/>
    </row>
    <row r="636" spans="2:2" ht="15.5" x14ac:dyDescent="0.35">
      <c r="B636" s="18"/>
    </row>
    <row r="637" spans="2:2" ht="15.5" x14ac:dyDescent="0.35">
      <c r="B637" s="18"/>
    </row>
    <row r="638" spans="2:2" ht="15.5" x14ac:dyDescent="0.35">
      <c r="B638" s="18"/>
    </row>
    <row r="639" spans="2:2" ht="15.5" x14ac:dyDescent="0.35">
      <c r="B639" s="18"/>
    </row>
    <row r="640" spans="2:2" ht="15.5" x14ac:dyDescent="0.35">
      <c r="B640" s="18"/>
    </row>
    <row r="641" spans="2:2" ht="15.5" x14ac:dyDescent="0.35">
      <c r="B641" s="18"/>
    </row>
    <row r="642" spans="2:2" ht="15.5" x14ac:dyDescent="0.35">
      <c r="B642" s="18"/>
    </row>
    <row r="643" spans="2:2" ht="15.5" x14ac:dyDescent="0.35">
      <c r="B643" s="18"/>
    </row>
    <row r="644" spans="2:2" ht="15.5" x14ac:dyDescent="0.35">
      <c r="B644" s="18"/>
    </row>
    <row r="645" spans="2:2" ht="15.5" x14ac:dyDescent="0.35">
      <c r="B645" s="18"/>
    </row>
    <row r="646" spans="2:2" ht="15.5" x14ac:dyDescent="0.35">
      <c r="B646" s="18"/>
    </row>
    <row r="647" spans="2:2" ht="15.5" x14ac:dyDescent="0.35">
      <c r="B647" s="18"/>
    </row>
    <row r="648" spans="2:2" ht="15.5" x14ac:dyDescent="0.35">
      <c r="B648" s="18"/>
    </row>
    <row r="649" spans="2:2" ht="15.5" x14ac:dyDescent="0.35">
      <c r="B649" s="18"/>
    </row>
    <row r="650" spans="2:2" ht="15.5" x14ac:dyDescent="0.35">
      <c r="B650" s="18"/>
    </row>
    <row r="651" spans="2:2" ht="15.5" x14ac:dyDescent="0.35">
      <c r="B651" s="18"/>
    </row>
    <row r="652" spans="2:2" ht="15.5" x14ac:dyDescent="0.35">
      <c r="B652" s="18"/>
    </row>
    <row r="653" spans="2:2" ht="15.5" x14ac:dyDescent="0.35">
      <c r="B653" s="18"/>
    </row>
    <row r="654" spans="2:2" ht="15.5" x14ac:dyDescent="0.35">
      <c r="B654" s="18"/>
    </row>
    <row r="655" spans="2:2" ht="15.5" x14ac:dyDescent="0.35">
      <c r="B655" s="18"/>
    </row>
    <row r="656" spans="2:2" ht="15.5" x14ac:dyDescent="0.35">
      <c r="B656" s="18"/>
    </row>
    <row r="657" spans="2:2" ht="15.5" x14ac:dyDescent="0.35">
      <c r="B657" s="18"/>
    </row>
    <row r="658" spans="2:2" ht="15.5" x14ac:dyDescent="0.35">
      <c r="B658" s="18"/>
    </row>
    <row r="659" spans="2:2" ht="15.5" x14ac:dyDescent="0.35">
      <c r="B659" s="18"/>
    </row>
    <row r="660" spans="2:2" ht="15.5" x14ac:dyDescent="0.35">
      <c r="B660" s="18"/>
    </row>
    <row r="661" spans="2:2" ht="15.5" x14ac:dyDescent="0.35">
      <c r="B661" s="18"/>
    </row>
    <row r="662" spans="2:2" ht="15.5" x14ac:dyDescent="0.35">
      <c r="B662" s="18"/>
    </row>
    <row r="663" spans="2:2" ht="15.5" x14ac:dyDescent="0.35">
      <c r="B663" s="18"/>
    </row>
    <row r="664" spans="2:2" ht="15.5" x14ac:dyDescent="0.35">
      <c r="B664" s="18"/>
    </row>
    <row r="665" spans="2:2" ht="15.5" x14ac:dyDescent="0.35">
      <c r="B665" s="18"/>
    </row>
    <row r="666" spans="2:2" ht="15.5" x14ac:dyDescent="0.35">
      <c r="B666" s="18"/>
    </row>
    <row r="667" spans="2:2" ht="15.5" x14ac:dyDescent="0.35">
      <c r="B667" s="18"/>
    </row>
    <row r="668" spans="2:2" ht="15.5" x14ac:dyDescent="0.35">
      <c r="B668" s="18"/>
    </row>
    <row r="669" spans="2:2" ht="15.5" x14ac:dyDescent="0.35">
      <c r="B669" s="18"/>
    </row>
    <row r="670" spans="2:2" ht="15.5" x14ac:dyDescent="0.35">
      <c r="B670" s="18"/>
    </row>
    <row r="671" spans="2:2" ht="15.5" x14ac:dyDescent="0.35">
      <c r="B671" s="18"/>
    </row>
    <row r="672" spans="2:2" ht="15.5" x14ac:dyDescent="0.35">
      <c r="B672" s="18"/>
    </row>
    <row r="673" spans="2:2" ht="15.5" x14ac:dyDescent="0.35">
      <c r="B673" s="18"/>
    </row>
    <row r="674" spans="2:2" ht="15.5" x14ac:dyDescent="0.35">
      <c r="B674" s="18"/>
    </row>
    <row r="675" spans="2:2" ht="15.5" x14ac:dyDescent="0.35">
      <c r="B675" s="18"/>
    </row>
    <row r="676" spans="2:2" ht="15.5" x14ac:dyDescent="0.35">
      <c r="B676" s="18"/>
    </row>
    <row r="677" spans="2:2" ht="15.5" x14ac:dyDescent="0.35">
      <c r="B677" s="18"/>
    </row>
    <row r="678" spans="2:2" ht="15.5" x14ac:dyDescent="0.35">
      <c r="B678" s="18"/>
    </row>
    <row r="679" spans="2:2" ht="15.5" x14ac:dyDescent="0.35">
      <c r="B679" s="18"/>
    </row>
    <row r="680" spans="2:2" ht="15.5" x14ac:dyDescent="0.35">
      <c r="B680" s="18"/>
    </row>
    <row r="681" spans="2:2" ht="15.5" x14ac:dyDescent="0.35">
      <c r="B681" s="18"/>
    </row>
    <row r="682" spans="2:2" ht="15.5" x14ac:dyDescent="0.35">
      <c r="B682" s="18"/>
    </row>
    <row r="683" spans="2:2" ht="15.5" x14ac:dyDescent="0.35">
      <c r="B683" s="18"/>
    </row>
    <row r="684" spans="2:2" ht="15.5" x14ac:dyDescent="0.35">
      <c r="B684" s="18"/>
    </row>
    <row r="685" spans="2:2" ht="15.5" x14ac:dyDescent="0.35">
      <c r="B685" s="18"/>
    </row>
    <row r="686" spans="2:2" ht="15.5" x14ac:dyDescent="0.35">
      <c r="B686" s="18"/>
    </row>
    <row r="687" spans="2:2" ht="15.5" x14ac:dyDescent="0.35">
      <c r="B687" s="18"/>
    </row>
    <row r="688" spans="2:2" ht="15.5" x14ac:dyDescent="0.35">
      <c r="B688" s="18"/>
    </row>
    <row r="689" spans="2:2" ht="15.5" x14ac:dyDescent="0.35">
      <c r="B689" s="18"/>
    </row>
    <row r="690" spans="2:2" ht="15.5" x14ac:dyDescent="0.35">
      <c r="B690" s="18"/>
    </row>
    <row r="691" spans="2:2" ht="15.5" x14ac:dyDescent="0.35">
      <c r="B691" s="18"/>
    </row>
    <row r="692" spans="2:2" ht="15.5" x14ac:dyDescent="0.35">
      <c r="B692" s="18"/>
    </row>
    <row r="693" spans="2:2" ht="15.5" x14ac:dyDescent="0.35">
      <c r="B693" s="18"/>
    </row>
    <row r="694" spans="2:2" ht="15.5" x14ac:dyDescent="0.35">
      <c r="B694" s="18"/>
    </row>
    <row r="695" spans="2:2" ht="15.5" x14ac:dyDescent="0.35">
      <c r="B695" s="18"/>
    </row>
    <row r="696" spans="2:2" ht="15.5" x14ac:dyDescent="0.35">
      <c r="B696" s="18"/>
    </row>
    <row r="697" spans="2:2" ht="15.5" x14ac:dyDescent="0.35">
      <c r="B697" s="18"/>
    </row>
    <row r="698" spans="2:2" ht="15.5" x14ac:dyDescent="0.35">
      <c r="B698" s="18"/>
    </row>
    <row r="699" spans="2:2" ht="15.5" x14ac:dyDescent="0.35">
      <c r="B699" s="18"/>
    </row>
    <row r="700" spans="2:2" ht="15.5" x14ac:dyDescent="0.35">
      <c r="B700" s="18"/>
    </row>
    <row r="701" spans="2:2" ht="15.5" x14ac:dyDescent="0.35">
      <c r="B701" s="18"/>
    </row>
    <row r="702" spans="2:2" ht="15.5" x14ac:dyDescent="0.35">
      <c r="B702" s="18"/>
    </row>
    <row r="703" spans="2:2" ht="15.5" x14ac:dyDescent="0.35">
      <c r="B703" s="18"/>
    </row>
    <row r="704" spans="2:2" ht="15.5" x14ac:dyDescent="0.35">
      <c r="B704" s="18"/>
    </row>
    <row r="705" spans="2:2" ht="15.5" x14ac:dyDescent="0.35">
      <c r="B705" s="18"/>
    </row>
    <row r="706" spans="2:2" ht="15.5" x14ac:dyDescent="0.35">
      <c r="B706" s="18"/>
    </row>
    <row r="707" spans="2:2" ht="15.5" x14ac:dyDescent="0.35">
      <c r="B707" s="18"/>
    </row>
    <row r="708" spans="2:2" ht="15.5" x14ac:dyDescent="0.35">
      <c r="B708" s="18"/>
    </row>
    <row r="709" spans="2:2" ht="15.5" x14ac:dyDescent="0.35">
      <c r="B709" s="18"/>
    </row>
    <row r="710" spans="2:2" ht="15.5" x14ac:dyDescent="0.35">
      <c r="B710" s="18"/>
    </row>
    <row r="711" spans="2:2" ht="15.5" x14ac:dyDescent="0.35">
      <c r="B711" s="18"/>
    </row>
    <row r="712" spans="2:2" ht="15.5" x14ac:dyDescent="0.35">
      <c r="B712" s="18"/>
    </row>
    <row r="713" spans="2:2" ht="15.5" x14ac:dyDescent="0.35">
      <c r="B713" s="18"/>
    </row>
    <row r="714" spans="2:2" ht="15.5" x14ac:dyDescent="0.35">
      <c r="B714" s="18"/>
    </row>
    <row r="715" spans="2:2" ht="15.5" x14ac:dyDescent="0.35">
      <c r="B715" s="18"/>
    </row>
    <row r="716" spans="2:2" ht="15.5" x14ac:dyDescent="0.35">
      <c r="B716" s="18"/>
    </row>
    <row r="717" spans="2:2" ht="15.5" x14ac:dyDescent="0.35">
      <c r="B717" s="18"/>
    </row>
    <row r="718" spans="2:2" ht="15.5" x14ac:dyDescent="0.35">
      <c r="B718" s="18"/>
    </row>
    <row r="719" spans="2:2" ht="15.5" x14ac:dyDescent="0.35">
      <c r="B719" s="18"/>
    </row>
    <row r="720" spans="2:2" ht="15.5" x14ac:dyDescent="0.35">
      <c r="B720" s="18"/>
    </row>
    <row r="721" spans="2:2" ht="15.5" x14ac:dyDescent="0.35">
      <c r="B721" s="18"/>
    </row>
    <row r="722" spans="2:2" ht="15.5" x14ac:dyDescent="0.35">
      <c r="B722" s="18"/>
    </row>
    <row r="723" spans="2:2" ht="15.5" x14ac:dyDescent="0.35">
      <c r="B723" s="18"/>
    </row>
    <row r="724" spans="2:2" ht="15.5" x14ac:dyDescent="0.35">
      <c r="B724" s="18"/>
    </row>
    <row r="725" spans="2:2" ht="15.5" x14ac:dyDescent="0.35">
      <c r="B725" s="18"/>
    </row>
    <row r="726" spans="2:2" ht="15.5" x14ac:dyDescent="0.35">
      <c r="B726" s="18"/>
    </row>
    <row r="727" spans="2:2" ht="15.5" x14ac:dyDescent="0.35">
      <c r="B727" s="18"/>
    </row>
    <row r="728" spans="2:2" ht="15.5" x14ac:dyDescent="0.35">
      <c r="B728" s="18"/>
    </row>
    <row r="729" spans="2:2" ht="15.5" x14ac:dyDescent="0.35">
      <c r="B729" s="18"/>
    </row>
    <row r="730" spans="2:2" ht="15.5" x14ac:dyDescent="0.35">
      <c r="B730" s="18"/>
    </row>
    <row r="731" spans="2:2" ht="15.5" x14ac:dyDescent="0.35">
      <c r="B731" s="18"/>
    </row>
    <row r="732" spans="2:2" ht="15.5" x14ac:dyDescent="0.35">
      <c r="B732" s="18"/>
    </row>
    <row r="733" spans="2:2" ht="15.5" x14ac:dyDescent="0.35">
      <c r="B733" s="18"/>
    </row>
    <row r="734" spans="2:2" ht="15.5" x14ac:dyDescent="0.35">
      <c r="B734" s="18"/>
    </row>
    <row r="735" spans="2:2" ht="15.5" x14ac:dyDescent="0.35">
      <c r="B735" s="18"/>
    </row>
    <row r="736" spans="2:2" ht="15.5" x14ac:dyDescent="0.35">
      <c r="B736" s="18"/>
    </row>
    <row r="737" spans="2:48" ht="15.5" x14ac:dyDescent="0.35">
      <c r="B737" s="18"/>
    </row>
    <row r="738" spans="2:48" ht="15.5" x14ac:dyDescent="0.35">
      <c r="B738" s="18"/>
    </row>
    <row r="739" spans="2:48" ht="15.5" x14ac:dyDescent="0.35">
      <c r="B739" s="18"/>
    </row>
    <row r="740" spans="2:48" ht="15.5" x14ac:dyDescent="0.35">
      <c r="B740" s="18"/>
    </row>
    <row r="749" spans="2:48" ht="14.5" x14ac:dyDescent="0.35">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row>
    <row r="750" spans="2:48" ht="14.5" x14ac:dyDescent="0.35">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row>
    <row r="751" spans="2:48" ht="14.5" x14ac:dyDescent="0.35">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row>
    <row r="752" spans="2:48" x14ac:dyDescent="0.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row>
    <row r="753" spans="2:48" x14ac:dyDescent="0.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row>
    <row r="754" spans="2:48" x14ac:dyDescent="0.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row>
    <row r="763" spans="2:48" ht="14.5" x14ac:dyDescent="0.35">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row>
    <row r="764" spans="2:48" ht="14.5" x14ac:dyDescent="0.35">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row>
    <row r="765" spans="2:48" ht="14.5" x14ac:dyDescent="0.3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row>
    <row r="766" spans="2:48" x14ac:dyDescent="0.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row>
    <row r="767" spans="2:48" x14ac:dyDescent="0.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row>
    <row r="768" spans="2:48" x14ac:dyDescent="0.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row>
    <row r="777" spans="2:48" ht="14.5" x14ac:dyDescent="0.35">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row>
    <row r="778" spans="2:48" ht="14.5" x14ac:dyDescent="0.35">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row>
    <row r="779" spans="2:48" ht="14.5" x14ac:dyDescent="0.35">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row>
    <row r="780" spans="2:48" x14ac:dyDescent="0.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row>
    <row r="781" spans="2:48" x14ac:dyDescent="0.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row>
    <row r="782" spans="2:48" x14ac:dyDescent="0.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row>
    <row r="791" spans="2:48" ht="14.5" x14ac:dyDescent="0.35">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row>
    <row r="792" spans="2:48" ht="14.5" x14ac:dyDescent="0.35">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row>
    <row r="793" spans="2:48" ht="14.5" x14ac:dyDescent="0.35">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row>
    <row r="794" spans="2:48" x14ac:dyDescent="0.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row>
    <row r="795" spans="2:48" x14ac:dyDescent="0.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row>
    <row r="796" spans="2:48" x14ac:dyDescent="0.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row>
    <row r="805" spans="2:48" ht="14.5" x14ac:dyDescent="0.3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row>
    <row r="806" spans="2:48" ht="14.5" x14ac:dyDescent="0.35">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row>
    <row r="807" spans="2:48" ht="14.5" x14ac:dyDescent="0.35">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row>
    <row r="808" spans="2:48" x14ac:dyDescent="0.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row>
    <row r="809" spans="2:48" x14ac:dyDescent="0.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row>
    <row r="810" spans="2:48" x14ac:dyDescent="0.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row>
    <row r="819" spans="2:48" ht="14.5" x14ac:dyDescent="0.35">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row>
    <row r="820" spans="2:48" ht="14.5" x14ac:dyDescent="0.35">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row>
    <row r="821" spans="2:48" ht="14.5" x14ac:dyDescent="0.35">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row>
    <row r="822" spans="2:48" x14ac:dyDescent="0.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row>
    <row r="823" spans="2:48" x14ac:dyDescent="0.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row>
    <row r="824" spans="2:48" x14ac:dyDescent="0.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row>
    <row r="833" spans="2:48" ht="14.5" x14ac:dyDescent="0.35">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row>
    <row r="834" spans="2:48" ht="14.5" x14ac:dyDescent="0.35">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row>
    <row r="835" spans="2:48" ht="14.5" x14ac:dyDescent="0.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row>
    <row r="836" spans="2:48" x14ac:dyDescent="0.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row>
    <row r="837" spans="2:48" x14ac:dyDescent="0.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row>
    <row r="838" spans="2:48" x14ac:dyDescent="0.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row>
    <row r="847" spans="2:48" ht="14.5" x14ac:dyDescent="0.35">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row>
    <row r="848" spans="2:48" ht="14.5" x14ac:dyDescent="0.35">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row>
    <row r="849" spans="2:48" ht="14.5" x14ac:dyDescent="0.35">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row>
    <row r="850" spans="2:48" x14ac:dyDescent="0.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row>
    <row r="851" spans="2:48" x14ac:dyDescent="0.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row>
    <row r="852" spans="2:48" x14ac:dyDescent="0.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row>
    <row r="861" spans="2:48" ht="14.5" x14ac:dyDescent="0.35">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row>
    <row r="862" spans="2:48" ht="14.5" x14ac:dyDescent="0.35">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row>
    <row r="863" spans="2:48" ht="14.5" x14ac:dyDescent="0.35">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row>
    <row r="864" spans="2:48" x14ac:dyDescent="0.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row>
    <row r="865" spans="2:48" x14ac:dyDescent="0.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row>
    <row r="866" spans="2:48" x14ac:dyDescent="0.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row>
    <row r="875" spans="2:48" ht="14.5" x14ac:dyDescent="0.3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row>
    <row r="876" spans="2:48" ht="14.5" x14ac:dyDescent="0.35">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row>
    <row r="877" spans="2:48" ht="14.5" x14ac:dyDescent="0.35">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row>
    <row r="878" spans="2:48" x14ac:dyDescent="0.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row>
    <row r="879" spans="2:48" x14ac:dyDescent="0.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row>
    <row r="880" spans="2:48" x14ac:dyDescent="0.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row>
    <row r="885" spans="2:2" ht="15.5" x14ac:dyDescent="0.35">
      <c r="B885" s="18"/>
    </row>
    <row r="886" spans="2:2" ht="15.5" x14ac:dyDescent="0.35">
      <c r="B886" s="18"/>
    </row>
    <row r="887" spans="2:2" ht="15.5" x14ac:dyDescent="0.35">
      <c r="B887" s="18"/>
    </row>
    <row r="888" spans="2:2" ht="15.5" x14ac:dyDescent="0.35">
      <c r="B888" s="18"/>
    </row>
    <row r="889" spans="2:2" ht="15.5" x14ac:dyDescent="0.35">
      <c r="B889" s="18"/>
    </row>
    <row r="890" spans="2:2" ht="15.5" x14ac:dyDescent="0.35">
      <c r="B890" s="18"/>
    </row>
    <row r="891" spans="2:2" ht="15.5" x14ac:dyDescent="0.35">
      <c r="B891" s="18"/>
    </row>
    <row r="892" spans="2:2" ht="15.5" x14ac:dyDescent="0.35">
      <c r="B892" s="18"/>
    </row>
    <row r="893" spans="2:2" ht="15.5" x14ac:dyDescent="0.35">
      <c r="B893" s="18"/>
    </row>
    <row r="894" spans="2:2" ht="15.5" x14ac:dyDescent="0.35">
      <c r="B894" s="18"/>
    </row>
    <row r="895" spans="2:2" ht="15.5" x14ac:dyDescent="0.35">
      <c r="B895" s="18"/>
    </row>
    <row r="896" spans="2:2" ht="15.5" x14ac:dyDescent="0.35">
      <c r="B896" s="18"/>
    </row>
    <row r="897" spans="2:2" ht="15.5" x14ac:dyDescent="0.35">
      <c r="B897" s="18"/>
    </row>
    <row r="898" spans="2:2" ht="15.5" x14ac:dyDescent="0.35">
      <c r="B898" s="18"/>
    </row>
    <row r="899" spans="2:2" ht="15.5" x14ac:dyDescent="0.35">
      <c r="B899" s="18"/>
    </row>
    <row r="900" spans="2:2" ht="15.5" x14ac:dyDescent="0.35">
      <c r="B900" s="18"/>
    </row>
    <row r="901" spans="2:2" ht="15.5" x14ac:dyDescent="0.35">
      <c r="B901" s="18"/>
    </row>
    <row r="902" spans="2:2" ht="15.5" x14ac:dyDescent="0.35">
      <c r="B902" s="18"/>
    </row>
    <row r="903" spans="2:2" ht="15.5" x14ac:dyDescent="0.35">
      <c r="B903" s="18"/>
    </row>
    <row r="904" spans="2:2" ht="15.5" x14ac:dyDescent="0.35">
      <c r="B904" s="18"/>
    </row>
    <row r="905" spans="2:2" ht="15.5" x14ac:dyDescent="0.35">
      <c r="B905" s="18"/>
    </row>
    <row r="906" spans="2:2" ht="15.5" x14ac:dyDescent="0.35">
      <c r="B906" s="18"/>
    </row>
    <row r="907" spans="2:2" ht="15.5" x14ac:dyDescent="0.35">
      <c r="B907" s="18"/>
    </row>
    <row r="908" spans="2:2" ht="15.5" x14ac:dyDescent="0.35">
      <c r="B908" s="18"/>
    </row>
    <row r="909" spans="2:2" ht="15.5" x14ac:dyDescent="0.35">
      <c r="B909" s="18"/>
    </row>
    <row r="910" spans="2:2" ht="15.5" x14ac:dyDescent="0.35">
      <c r="B910" s="18"/>
    </row>
    <row r="911" spans="2:2" ht="15.5" x14ac:dyDescent="0.35">
      <c r="B911" s="18"/>
    </row>
    <row r="912" spans="2:2" ht="15.5" x14ac:dyDescent="0.35">
      <c r="B912" s="18"/>
    </row>
    <row r="913" spans="2:2" ht="15.5" x14ac:dyDescent="0.35">
      <c r="B913" s="18"/>
    </row>
    <row r="914" spans="2:2" ht="15.5" x14ac:dyDescent="0.35">
      <c r="B914" s="18"/>
    </row>
    <row r="915" spans="2:2" ht="15.5" x14ac:dyDescent="0.35">
      <c r="B915" s="18"/>
    </row>
    <row r="916" spans="2:2" ht="15.5" x14ac:dyDescent="0.35">
      <c r="B916" s="18"/>
    </row>
    <row r="917" spans="2:2" ht="15.5" x14ac:dyDescent="0.35">
      <c r="B917" s="18"/>
    </row>
    <row r="918" spans="2:2" ht="15.5" x14ac:dyDescent="0.35">
      <c r="B918" s="18"/>
    </row>
    <row r="919" spans="2:2" ht="15.5" x14ac:dyDescent="0.35">
      <c r="B919" s="18"/>
    </row>
    <row r="920" spans="2:2" ht="15.5" x14ac:dyDescent="0.35">
      <c r="B920" s="18"/>
    </row>
    <row r="921" spans="2:2" ht="15.5" x14ac:dyDescent="0.35">
      <c r="B921" s="18"/>
    </row>
    <row r="922" spans="2:2" ht="15.5" x14ac:dyDescent="0.35">
      <c r="B922" s="18"/>
    </row>
    <row r="923" spans="2:2" ht="15.5" x14ac:dyDescent="0.35">
      <c r="B923" s="18"/>
    </row>
    <row r="924" spans="2:2" ht="15.5" x14ac:dyDescent="0.35">
      <c r="B924" s="18"/>
    </row>
    <row r="925" spans="2:2" ht="15.5" x14ac:dyDescent="0.35">
      <c r="B925" s="18"/>
    </row>
    <row r="926" spans="2:2" ht="15.5" x14ac:dyDescent="0.35">
      <c r="B926" s="18"/>
    </row>
    <row r="927" spans="2:2" ht="15.5" x14ac:dyDescent="0.35">
      <c r="B927" s="18"/>
    </row>
    <row r="928" spans="2:2" ht="15.5" x14ac:dyDescent="0.35">
      <c r="B928" s="18"/>
    </row>
    <row r="929" spans="2:2" ht="15.5" x14ac:dyDescent="0.35">
      <c r="B929" s="18"/>
    </row>
    <row r="930" spans="2:2" ht="15.5" x14ac:dyDescent="0.35">
      <c r="B930" s="18"/>
    </row>
    <row r="931" spans="2:2" ht="15.5" x14ac:dyDescent="0.35">
      <c r="B931" s="18"/>
    </row>
    <row r="932" spans="2:2" ht="15.5" x14ac:dyDescent="0.35">
      <c r="B932" s="18"/>
    </row>
    <row r="933" spans="2:2" ht="15.5" x14ac:dyDescent="0.35">
      <c r="B933" s="18"/>
    </row>
    <row r="934" spans="2:2" ht="15.5" x14ac:dyDescent="0.35">
      <c r="B934" s="18"/>
    </row>
    <row r="935" spans="2:2" ht="15.5" x14ac:dyDescent="0.35">
      <c r="B935" s="18"/>
    </row>
    <row r="936" spans="2:2" ht="15.5" x14ac:dyDescent="0.35">
      <c r="B936" s="18"/>
    </row>
    <row r="937" spans="2:2" ht="15.5" x14ac:dyDescent="0.35">
      <c r="B937" s="18"/>
    </row>
    <row r="938" spans="2:2" ht="15.5" x14ac:dyDescent="0.35">
      <c r="B938" s="18"/>
    </row>
    <row r="939" spans="2:2" ht="15.5" x14ac:dyDescent="0.35">
      <c r="B939" s="18"/>
    </row>
    <row r="940" spans="2:2" ht="15.5" x14ac:dyDescent="0.35">
      <c r="B940" s="18"/>
    </row>
    <row r="941" spans="2:2" ht="15.5" x14ac:dyDescent="0.35">
      <c r="B941" s="18"/>
    </row>
    <row r="942" spans="2:2" ht="15.5" x14ac:dyDescent="0.35">
      <c r="B942" s="18"/>
    </row>
    <row r="943" spans="2:2" ht="15.5" x14ac:dyDescent="0.35">
      <c r="B943" s="18"/>
    </row>
    <row r="944" spans="2:2" ht="15.5" x14ac:dyDescent="0.35">
      <c r="B944" s="18"/>
    </row>
    <row r="945" spans="2:2" ht="15.5" x14ac:dyDescent="0.35">
      <c r="B945" s="18"/>
    </row>
    <row r="946" spans="2:2" ht="15.5" x14ac:dyDescent="0.35">
      <c r="B946" s="18"/>
    </row>
    <row r="947" spans="2:2" ht="15.5" x14ac:dyDescent="0.35">
      <c r="B947" s="18"/>
    </row>
    <row r="948" spans="2:2" ht="15.5" x14ac:dyDescent="0.35">
      <c r="B948" s="18"/>
    </row>
    <row r="949" spans="2:2" ht="15.5" x14ac:dyDescent="0.35">
      <c r="B949" s="18"/>
    </row>
    <row r="950" spans="2:2" ht="15.5" x14ac:dyDescent="0.35">
      <c r="B950" s="18"/>
    </row>
    <row r="951" spans="2:2" ht="15.5" x14ac:dyDescent="0.35">
      <c r="B951" s="18"/>
    </row>
    <row r="952" spans="2:2" ht="15.5" x14ac:dyDescent="0.35">
      <c r="B952" s="18"/>
    </row>
    <row r="953" spans="2:2" ht="15.5" x14ac:dyDescent="0.35">
      <c r="B953" s="18"/>
    </row>
    <row r="954" spans="2:2" ht="15.5" x14ac:dyDescent="0.35">
      <c r="B954" s="18"/>
    </row>
    <row r="955" spans="2:2" ht="15.5" x14ac:dyDescent="0.35">
      <c r="B955" s="18"/>
    </row>
    <row r="956" spans="2:2" ht="15.5" x14ac:dyDescent="0.35">
      <c r="B956" s="18"/>
    </row>
    <row r="957" spans="2:2" ht="15.5" x14ac:dyDescent="0.35">
      <c r="B957" s="18"/>
    </row>
    <row r="958" spans="2:2" ht="15.5" x14ac:dyDescent="0.35">
      <c r="B958" s="18"/>
    </row>
    <row r="959" spans="2:2" ht="15.5" x14ac:dyDescent="0.35">
      <c r="B959" s="18"/>
    </row>
    <row r="960" spans="2:2" ht="15.5" x14ac:dyDescent="0.35">
      <c r="B960" s="18"/>
    </row>
    <row r="961" spans="2:2" ht="15.5" x14ac:dyDescent="0.35">
      <c r="B961" s="18"/>
    </row>
    <row r="962" spans="2:2" ht="15.5" x14ac:dyDescent="0.35">
      <c r="B962" s="18"/>
    </row>
    <row r="963" spans="2:2" ht="15.5" x14ac:dyDescent="0.35">
      <c r="B963" s="18"/>
    </row>
    <row r="964" spans="2:2" ht="15.5" x14ac:dyDescent="0.35">
      <c r="B964" s="18"/>
    </row>
    <row r="965" spans="2:2" ht="15.5" x14ac:dyDescent="0.35">
      <c r="B965" s="18"/>
    </row>
    <row r="966" spans="2:2" ht="15.5" x14ac:dyDescent="0.35">
      <c r="B966" s="18"/>
    </row>
    <row r="967" spans="2:2" ht="15.5" x14ac:dyDescent="0.35">
      <c r="B967" s="18"/>
    </row>
    <row r="968" spans="2:2" ht="15.5" x14ac:dyDescent="0.35">
      <c r="B968" s="18"/>
    </row>
    <row r="969" spans="2:2" ht="15.5" x14ac:dyDescent="0.35">
      <c r="B969" s="18"/>
    </row>
    <row r="970" spans="2:2" ht="15.5" x14ac:dyDescent="0.35">
      <c r="B970" s="18"/>
    </row>
    <row r="971" spans="2:2" ht="15.5" x14ac:dyDescent="0.35">
      <c r="B971" s="18"/>
    </row>
    <row r="972" spans="2:2" ht="15.5" x14ac:dyDescent="0.35">
      <c r="B972" s="18"/>
    </row>
    <row r="973" spans="2:2" ht="15.5" x14ac:dyDescent="0.35">
      <c r="B973" s="18"/>
    </row>
    <row r="974" spans="2:2" ht="15.5" x14ac:dyDescent="0.35">
      <c r="B974" s="18"/>
    </row>
    <row r="975" spans="2:2" ht="15.5" x14ac:dyDescent="0.35">
      <c r="B975" s="18"/>
    </row>
    <row r="976" spans="2:2" ht="15.5" x14ac:dyDescent="0.35">
      <c r="B976" s="18"/>
    </row>
    <row r="977" spans="2:2" ht="15.5" x14ac:dyDescent="0.35">
      <c r="B977" s="18"/>
    </row>
    <row r="978" spans="2:2" ht="15.5" x14ac:dyDescent="0.35">
      <c r="B978" s="18"/>
    </row>
    <row r="979" spans="2:2" ht="15.5" x14ac:dyDescent="0.35">
      <c r="B979" s="18"/>
    </row>
    <row r="980" spans="2:2" ht="15.5" x14ac:dyDescent="0.35">
      <c r="B980" s="18"/>
    </row>
    <row r="981" spans="2:2" ht="15.5" x14ac:dyDescent="0.35">
      <c r="B981" s="18"/>
    </row>
    <row r="982" spans="2:2" ht="15.5" x14ac:dyDescent="0.35">
      <c r="B982" s="18"/>
    </row>
    <row r="983" spans="2:2" ht="15.5" x14ac:dyDescent="0.35">
      <c r="B983" s="18"/>
    </row>
    <row r="984" spans="2:2" ht="15.5" x14ac:dyDescent="0.35">
      <c r="B984" s="18"/>
    </row>
    <row r="985" spans="2:2" ht="15.5" x14ac:dyDescent="0.35">
      <c r="B985" s="18"/>
    </row>
    <row r="986" spans="2:2" ht="15.5" x14ac:dyDescent="0.35">
      <c r="B986" s="18"/>
    </row>
    <row r="987" spans="2:2" ht="15.5" x14ac:dyDescent="0.35">
      <c r="B987" s="18"/>
    </row>
    <row r="988" spans="2:2" ht="15.5" x14ac:dyDescent="0.35">
      <c r="B988" s="18"/>
    </row>
    <row r="989" spans="2:2" ht="15.5" x14ac:dyDescent="0.35">
      <c r="B989" s="18"/>
    </row>
    <row r="990" spans="2:2" ht="15.5" x14ac:dyDescent="0.35">
      <c r="B990" s="18"/>
    </row>
    <row r="991" spans="2:2" ht="15.5" x14ac:dyDescent="0.35">
      <c r="B991" s="18"/>
    </row>
    <row r="992" spans="2:2" ht="15.5" x14ac:dyDescent="0.35">
      <c r="B992" s="18"/>
    </row>
    <row r="993" spans="2:2" ht="15.5" x14ac:dyDescent="0.35">
      <c r="B993" s="18"/>
    </row>
    <row r="994" spans="2:2" ht="15.5" x14ac:dyDescent="0.35">
      <c r="B994" s="18"/>
    </row>
    <row r="995" spans="2:2" ht="15.5" x14ac:dyDescent="0.35">
      <c r="B995" s="18"/>
    </row>
    <row r="996" spans="2:2" ht="15.5" x14ac:dyDescent="0.35">
      <c r="B996" s="18"/>
    </row>
    <row r="997" spans="2:2" ht="15.5" x14ac:dyDescent="0.35">
      <c r="B997" s="18"/>
    </row>
    <row r="998" spans="2:2" ht="15.5" x14ac:dyDescent="0.35">
      <c r="B998" s="18"/>
    </row>
    <row r="999" spans="2:2" ht="15.5" x14ac:dyDescent="0.35">
      <c r="B999" s="18"/>
    </row>
    <row r="1000" spans="2:2" ht="15.5" x14ac:dyDescent="0.35">
      <c r="B1000" s="18"/>
    </row>
    <row r="1001" spans="2:2" ht="15.5" x14ac:dyDescent="0.35">
      <c r="B1001" s="18"/>
    </row>
    <row r="1002" spans="2:2" ht="15.5" x14ac:dyDescent="0.35">
      <c r="B1002" s="18"/>
    </row>
    <row r="1003" spans="2:2" ht="15.5" x14ac:dyDescent="0.35">
      <c r="B1003" s="18"/>
    </row>
    <row r="1004" spans="2:2" ht="15.5" x14ac:dyDescent="0.35">
      <c r="B1004" s="18"/>
    </row>
    <row r="1005" spans="2:2" ht="15.5" x14ac:dyDescent="0.35">
      <c r="B1005" s="18"/>
    </row>
    <row r="1006" spans="2:2" ht="15.5" x14ac:dyDescent="0.35">
      <c r="B1006" s="18"/>
    </row>
    <row r="1007" spans="2:2" ht="15.5" x14ac:dyDescent="0.35">
      <c r="B1007" s="18"/>
    </row>
    <row r="1008" spans="2:2" ht="15.5" x14ac:dyDescent="0.35">
      <c r="B1008" s="18"/>
    </row>
    <row r="1009" spans="2:2" ht="15.5" x14ac:dyDescent="0.35">
      <c r="B1009" s="18"/>
    </row>
    <row r="1010" spans="2:2" ht="15.5" x14ac:dyDescent="0.35">
      <c r="B1010" s="18"/>
    </row>
    <row r="1011" spans="2:2" ht="15.5" x14ac:dyDescent="0.35">
      <c r="B1011" s="18"/>
    </row>
    <row r="1012" spans="2:2" ht="15.5" x14ac:dyDescent="0.35">
      <c r="B1012" s="18"/>
    </row>
    <row r="1013" spans="2:2" ht="15.5" x14ac:dyDescent="0.35">
      <c r="B1013" s="18"/>
    </row>
    <row r="1014" spans="2:2" ht="15.5" x14ac:dyDescent="0.35">
      <c r="B1014" s="18"/>
    </row>
    <row r="1015" spans="2:2" ht="15.5" x14ac:dyDescent="0.35">
      <c r="B1015" s="18"/>
    </row>
    <row r="1016" spans="2:2" ht="15.5" x14ac:dyDescent="0.35">
      <c r="B1016" s="18"/>
    </row>
    <row r="1017" spans="2:2" ht="15.5" x14ac:dyDescent="0.35">
      <c r="B1017" s="18"/>
    </row>
    <row r="1018" spans="2:2" ht="15.5" x14ac:dyDescent="0.35">
      <c r="B1018" s="18"/>
    </row>
    <row r="1019" spans="2:2" ht="15.5" x14ac:dyDescent="0.35">
      <c r="B1019" s="18"/>
    </row>
    <row r="1020" spans="2:2" ht="15.5" x14ac:dyDescent="0.35">
      <c r="B1020" s="18"/>
    </row>
    <row r="1021" spans="2:2" ht="15.5" x14ac:dyDescent="0.35">
      <c r="B1021" s="18"/>
    </row>
    <row r="1022" spans="2:2" ht="15.5" x14ac:dyDescent="0.35">
      <c r="B1022" s="18"/>
    </row>
    <row r="1023" spans="2:2" ht="15.5" x14ac:dyDescent="0.35">
      <c r="B1023" s="18"/>
    </row>
    <row r="1024" spans="2:2" ht="15.5" x14ac:dyDescent="0.35">
      <c r="B1024" s="18"/>
    </row>
    <row r="1025" spans="2:7" ht="15.5" x14ac:dyDescent="0.35">
      <c r="B1025" s="18"/>
    </row>
    <row r="1026" spans="2:7" ht="15.5" x14ac:dyDescent="0.35">
      <c r="B1026" s="18"/>
    </row>
    <row r="1027" spans="2:7" x14ac:dyDescent="0.3">
      <c r="B1027" s="14"/>
      <c r="C1027" s="14"/>
      <c r="D1027" s="14"/>
      <c r="E1027" s="14"/>
      <c r="F1027" s="14"/>
      <c r="G1027" s="14"/>
    </row>
    <row r="1028" spans="2:7" s="14" customFormat="1" x14ac:dyDescent="0.3">
      <c r="B1028" s="3"/>
      <c r="C1028" s="3"/>
      <c r="D1028" s="3"/>
      <c r="E1028" s="3"/>
      <c r="F1028" s="3"/>
      <c r="G1028" s="3"/>
    </row>
    <row r="1029" spans="2:7" s="14" customFormat="1" x14ac:dyDescent="0.3">
      <c r="B1029" s="3"/>
      <c r="C1029" s="3"/>
      <c r="D1029" s="3"/>
      <c r="E1029" s="3"/>
      <c r="F1029" s="3"/>
      <c r="G1029" s="3"/>
    </row>
    <row r="1030" spans="2:7" s="14" customFormat="1" x14ac:dyDescent="0.3">
      <c r="B1030" s="3"/>
      <c r="C1030" s="3"/>
      <c r="D1030" s="3"/>
      <c r="E1030" s="3"/>
      <c r="F1030" s="3"/>
      <c r="G1030" s="3"/>
    </row>
    <row r="1031" spans="2:7" s="14" customFormat="1" x14ac:dyDescent="0.3">
      <c r="B1031" s="3"/>
      <c r="C1031" s="3"/>
      <c r="D1031" s="3"/>
      <c r="E1031" s="3"/>
      <c r="F1031" s="3"/>
      <c r="G1031" s="3"/>
    </row>
    <row r="1032" spans="2:7" s="14" customFormat="1" x14ac:dyDescent="0.3">
      <c r="B1032" s="3"/>
      <c r="C1032" s="3"/>
      <c r="D1032" s="3"/>
      <c r="E1032" s="3"/>
      <c r="F1032" s="3"/>
      <c r="G1032" s="3"/>
    </row>
    <row r="1033" spans="2:7" s="14" customFormat="1" x14ac:dyDescent="0.3">
      <c r="B1033" s="3"/>
      <c r="C1033" s="3"/>
      <c r="D1033" s="3"/>
      <c r="E1033" s="3"/>
      <c r="F1033" s="3"/>
      <c r="G1033" s="3"/>
    </row>
    <row r="1034" spans="2:7" s="14" customFormat="1" x14ac:dyDescent="0.3">
      <c r="B1034" s="3"/>
      <c r="C1034" s="3"/>
      <c r="D1034" s="3"/>
      <c r="E1034" s="3"/>
      <c r="F1034" s="3"/>
      <c r="G1034" s="3"/>
    </row>
  </sheetData>
  <conditionalFormatting sqref="B129:T180">
    <cfRule type="expression" dxfId="15" priority="7">
      <formula>+ISODD($B129)</formula>
    </cfRule>
  </conditionalFormatting>
  <conditionalFormatting sqref="C363">
    <cfRule type="expression" dxfId="14" priority="14">
      <formula>+ISODD(#REF!)</formula>
    </cfRule>
  </conditionalFormatting>
  <conditionalFormatting sqref="V182:V308">
    <cfRule type="expression" dxfId="13" priority="6">
      <formula>ISODD($B182)</formula>
    </cfRule>
  </conditionalFormatting>
  <conditionalFormatting sqref="Z129:AB148 V129:X181">
    <cfRule type="expression" dxfId="12" priority="23">
      <formula>ISODD(#REF!)</formula>
    </cfRule>
  </conditionalFormatting>
  <conditionalFormatting sqref="AU129:AW148">
    <cfRule type="expression" dxfId="11" priority="2">
      <formula>ISODD(#REF!)</formula>
    </cfRule>
  </conditionalFormatting>
  <conditionalFormatting sqref="AX130:AX148">
    <cfRule type="expression" dxfId="10" priority="1">
      <formula>ISODD(#REF!)</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E19AA-EA6F-434F-BC3B-8AAC57456834}">
  <sheetPr codeName="Sheet5"/>
  <dimension ref="B1:BJ1047"/>
  <sheetViews>
    <sheetView showGridLines="0" zoomScaleNormal="100" workbookViewId="0"/>
  </sheetViews>
  <sheetFormatPr defaultColWidth="8.453125" defaultRowHeight="14.5" x14ac:dyDescent="0.35"/>
  <cols>
    <col min="1" max="1" width="1.453125" style="3" customWidth="1"/>
    <col min="2" max="2" width="25.453125" style="3" customWidth="1"/>
    <col min="3" max="8" width="17.453125" style="3" customWidth="1"/>
    <col min="9" max="9" width="15.6328125" style="3" customWidth="1"/>
    <col min="10" max="11" width="13.453125" style="3" customWidth="1"/>
    <col min="12" max="16" width="17.6328125" style="3" customWidth="1"/>
    <col min="17" max="17" width="13.1796875" style="3" bestFit="1" customWidth="1"/>
    <col min="18" max="20" width="11.6328125" style="3" customWidth="1"/>
    <col min="21" max="21" width="8.6328125" style="3" customWidth="1"/>
    <col min="22" max="22" width="15.453125" customWidth="1"/>
    <col min="23" max="23" width="15.453125" style="3" customWidth="1"/>
    <col min="24" max="24" width="21.453125" style="3" customWidth="1"/>
    <col min="25" max="25" width="8.6328125" style="3" bestFit="1" customWidth="1"/>
    <col min="26" max="28" width="17.453125" style="3" customWidth="1"/>
    <col min="29" max="30" width="18.453125" style="3" customWidth="1"/>
    <col min="31" max="46" width="8.453125" style="3" bestFit="1"/>
    <col min="47" max="50" width="13.6328125" style="3" customWidth="1"/>
    <col min="51" max="16384" width="8.453125" style="3"/>
  </cols>
  <sheetData>
    <row r="1" spans="2:22" ht="13" customHeight="1" x14ac:dyDescent="0.35">
      <c r="J1"/>
      <c r="K1"/>
      <c r="L1"/>
      <c r="M1"/>
      <c r="N1"/>
      <c r="O1"/>
      <c r="P1"/>
      <c r="V1" s="3"/>
    </row>
    <row r="2" spans="2:22" ht="13" customHeight="1" x14ac:dyDescent="0.35">
      <c r="J2"/>
      <c r="K2"/>
      <c r="L2"/>
      <c r="M2"/>
      <c r="N2"/>
      <c r="O2"/>
      <c r="P2"/>
      <c r="V2" s="3"/>
    </row>
    <row r="3" spans="2:22" ht="20" customHeight="1" x14ac:dyDescent="0.4">
      <c r="B3" s="83" t="s">
        <v>28</v>
      </c>
      <c r="J3"/>
      <c r="K3"/>
      <c r="L3"/>
      <c r="M3"/>
      <c r="N3"/>
      <c r="O3"/>
      <c r="P3"/>
      <c r="V3" s="3"/>
    </row>
    <row r="4" spans="2:22" ht="13" customHeight="1" x14ac:dyDescent="0.35">
      <c r="J4"/>
      <c r="K4"/>
      <c r="L4"/>
      <c r="M4"/>
      <c r="N4"/>
      <c r="O4"/>
      <c r="P4"/>
      <c r="V4" s="3"/>
    </row>
    <row r="5" spans="2:22" ht="13" customHeight="1" x14ac:dyDescent="0.35">
      <c r="B5" s="80"/>
      <c r="C5"/>
      <c r="D5" s="3" t="s">
        <v>29</v>
      </c>
      <c r="J5"/>
      <c r="K5"/>
      <c r="L5"/>
      <c r="M5"/>
      <c r="N5"/>
      <c r="O5"/>
      <c r="P5"/>
      <c r="V5" s="3"/>
    </row>
    <row r="6" spans="2:22" ht="13" customHeight="1" x14ac:dyDescent="0.35">
      <c r="B6" s="79"/>
      <c r="D6" s="3" t="s">
        <v>30</v>
      </c>
      <c r="J6"/>
      <c r="K6"/>
      <c r="L6"/>
      <c r="M6"/>
      <c r="N6"/>
      <c r="O6"/>
      <c r="P6"/>
      <c r="V6" s="3"/>
    </row>
    <row r="7" spans="2:22" ht="13" customHeight="1" x14ac:dyDescent="0.35">
      <c r="B7"/>
      <c r="J7"/>
      <c r="K7"/>
      <c r="L7"/>
      <c r="M7"/>
      <c r="N7"/>
      <c r="O7"/>
      <c r="P7"/>
      <c r="V7" s="3"/>
    </row>
    <row r="8" spans="2:22" ht="13" customHeight="1" x14ac:dyDescent="0.35">
      <c r="J8"/>
      <c r="K8"/>
      <c r="L8"/>
      <c r="M8"/>
      <c r="N8"/>
      <c r="O8"/>
      <c r="P8"/>
      <c r="V8" s="3"/>
    </row>
    <row r="9" spans="2:22" ht="18" x14ac:dyDescent="0.4">
      <c r="B9" s="41" t="s">
        <v>31</v>
      </c>
      <c r="V9" s="3"/>
    </row>
    <row r="10" spans="2:22" ht="14" x14ac:dyDescent="0.3">
      <c r="V10" s="3"/>
    </row>
    <row r="11" spans="2:22" ht="14" x14ac:dyDescent="0.3">
      <c r="B11" s="3" t="s">
        <v>32</v>
      </c>
      <c r="C11" s="5">
        <v>45565</v>
      </c>
      <c r="V11" s="3"/>
    </row>
    <row r="12" spans="2:22" ht="14" x14ac:dyDescent="0.3">
      <c r="V12" s="3"/>
    </row>
    <row r="13" spans="2:22" ht="14" x14ac:dyDescent="0.3">
      <c r="B13" s="3" t="s">
        <v>33</v>
      </c>
      <c r="C13" s="5">
        <f>+EOMONTH($C$11,'ZCB rates'!C$3)</f>
        <v>45657</v>
      </c>
      <c r="D13" s="5">
        <f>+EOMONTH($C$11,'ZCB rates'!D$3)</f>
        <v>45747</v>
      </c>
      <c r="E13" s="5">
        <f>+EOMONTH($C$11,'ZCB rates'!E$3)</f>
        <v>45930</v>
      </c>
      <c r="F13" s="5">
        <f>+EOMONTH($C$11,'ZCB rates'!F$3)</f>
        <v>46295</v>
      </c>
      <c r="G13" s="5">
        <f>+EOMONTH($C$11,'ZCB rates'!G$3)</f>
        <v>47391</v>
      </c>
      <c r="V13" s="3"/>
    </row>
    <row r="14" spans="2:22" ht="14" x14ac:dyDescent="0.3">
      <c r="B14" s="3" t="s">
        <v>34</v>
      </c>
      <c r="C14" s="8">
        <f>+C13-$C$11</f>
        <v>92</v>
      </c>
      <c r="D14" s="8">
        <f t="shared" ref="D14:G14" si="0">+D13-$C$11</f>
        <v>182</v>
      </c>
      <c r="E14" s="8">
        <f t="shared" si="0"/>
        <v>365</v>
      </c>
      <c r="F14" s="8">
        <f t="shared" si="0"/>
        <v>730</v>
      </c>
      <c r="G14" s="8">
        <f t="shared" si="0"/>
        <v>1826</v>
      </c>
      <c r="V14" s="3"/>
    </row>
    <row r="15" spans="2:22" ht="14" x14ac:dyDescent="0.3">
      <c r="B15" s="5"/>
      <c r="C15" s="5"/>
      <c r="D15" s="5"/>
      <c r="E15" s="5"/>
      <c r="F15" s="5"/>
      <c r="G15" s="5"/>
      <c r="V15" s="3"/>
    </row>
    <row r="16" spans="2:22" ht="14" x14ac:dyDescent="0.3">
      <c r="B16" s="5"/>
      <c r="C16" s="5"/>
      <c r="D16" s="5"/>
      <c r="E16" s="5"/>
      <c r="F16" s="5"/>
      <c r="G16" s="5"/>
      <c r="V16" s="3"/>
    </row>
    <row r="17" spans="2:22" ht="18" x14ac:dyDescent="0.4">
      <c r="B17" s="42" t="s">
        <v>35</v>
      </c>
      <c r="C17" s="5"/>
      <c r="D17" s="5"/>
      <c r="E17" s="5"/>
      <c r="F17" s="5"/>
      <c r="G17" s="5"/>
      <c r="V17" s="3"/>
    </row>
    <row r="18" spans="2:22" ht="14" x14ac:dyDescent="0.3">
      <c r="B18" s="5"/>
      <c r="C18" s="5"/>
      <c r="D18" s="5"/>
      <c r="E18" s="5"/>
      <c r="F18" s="5"/>
      <c r="G18" s="5"/>
      <c r="V18" s="3"/>
    </row>
    <row r="19" spans="2:22" ht="14" x14ac:dyDescent="0.3">
      <c r="B19" s="32"/>
      <c r="C19" s="34">
        <f>+'ZCB rates'!C3</f>
        <v>3</v>
      </c>
      <c r="D19" s="34">
        <f>+'ZCB rates'!D3</f>
        <v>6</v>
      </c>
      <c r="E19" s="34">
        <f>+'ZCB rates'!E3</f>
        <v>12</v>
      </c>
      <c r="F19" s="34">
        <f>+'ZCB rates'!F3</f>
        <v>24</v>
      </c>
      <c r="G19" s="34">
        <f>+'ZCB rates'!G3</f>
        <v>60</v>
      </c>
      <c r="V19" s="3"/>
    </row>
    <row r="20" spans="2:22" ht="14" x14ac:dyDescent="0.3">
      <c r="B20" s="5">
        <f>+C11</f>
        <v>45565</v>
      </c>
      <c r="C20" s="15">
        <f>'ZCB rates'!R252</f>
        <v>3.2779851765786683E-2</v>
      </c>
      <c r="D20" s="15">
        <f>'ZCB rates'!S252</f>
        <v>2.9806831067181294E-2</v>
      </c>
      <c r="E20" s="15">
        <f>'ZCB rates'!T252</f>
        <v>2.5732802070756122E-2</v>
      </c>
      <c r="F20" s="15">
        <f>'ZCB rates'!U252</f>
        <v>2.2240956948040846E-2</v>
      </c>
      <c r="G20" s="15">
        <f>'ZCB rates'!V252</f>
        <v>2.3772414038324197E-2</v>
      </c>
      <c r="V20" s="3"/>
    </row>
    <row r="21" spans="2:22" ht="14" x14ac:dyDescent="0.3">
      <c r="B21" s="5"/>
      <c r="C21" s="5"/>
      <c r="D21" s="5"/>
      <c r="E21" s="5"/>
      <c r="F21" s="5"/>
      <c r="G21" s="5"/>
      <c r="V21" s="3"/>
    </row>
    <row r="22" spans="2:22" ht="14" x14ac:dyDescent="0.3">
      <c r="B22" s="5"/>
      <c r="C22" s="5"/>
      <c r="D22" s="5"/>
      <c r="E22" s="5"/>
      <c r="F22" s="5"/>
      <c r="G22" s="5"/>
      <c r="V22" s="3"/>
    </row>
    <row r="23" spans="2:22" ht="20" x14ac:dyDescent="0.4">
      <c r="B23" s="47" t="s">
        <v>16</v>
      </c>
      <c r="V23" s="3"/>
    </row>
    <row r="24" spans="2:22" customFormat="1" ht="17" customHeight="1" x14ac:dyDescent="0.35"/>
    <row r="25" spans="2:22" ht="17" customHeight="1" x14ac:dyDescent="0.3">
      <c r="B25" s="9"/>
      <c r="D25" s="5"/>
      <c r="E25" s="5"/>
      <c r="F25" s="5"/>
      <c r="G25" s="5"/>
      <c r="V25" s="3"/>
    </row>
    <row r="26" spans="2:22" ht="17" customHeight="1" x14ac:dyDescent="0.3">
      <c r="B26" s="32"/>
      <c r="C26" s="6">
        <f>+Assumptions!E7</f>
        <v>45657</v>
      </c>
      <c r="D26" s="6">
        <f>+Assumptions!F7</f>
        <v>45838</v>
      </c>
      <c r="E26" s="6">
        <f>+Assumptions!G7</f>
        <v>46022</v>
      </c>
      <c r="F26" s="6">
        <f>+Assumptions!H7</f>
        <v>46203</v>
      </c>
      <c r="G26" s="6">
        <f>+Assumptions!I7</f>
        <v>46387</v>
      </c>
      <c r="V26" s="3"/>
    </row>
    <row r="27" spans="2:22" ht="17" customHeight="1" x14ac:dyDescent="0.3">
      <c r="B27" s="5" t="s">
        <v>36</v>
      </c>
      <c r="C27" s="79">
        <f>+(C26-$C$11)/365</f>
        <v>0.25205479452054796</v>
      </c>
      <c r="D27" s="80">
        <f t="shared" ref="D27:G27" si="1">+(D26-$C$11)/365</f>
        <v>0.74794520547945209</v>
      </c>
      <c r="E27" s="80">
        <f t="shared" si="1"/>
        <v>1.252054794520548</v>
      </c>
      <c r="F27" s="80">
        <f t="shared" si="1"/>
        <v>1.747945205479452</v>
      </c>
      <c r="G27" s="80">
        <f t="shared" si="1"/>
        <v>2.2520547945205478</v>
      </c>
      <c r="V27" s="3"/>
    </row>
    <row r="28" spans="2:22" ht="17" customHeight="1" x14ac:dyDescent="0.3">
      <c r="B28" s="3" t="s">
        <v>37</v>
      </c>
      <c r="C28" s="15"/>
      <c r="D28" s="15">
        <f>+_xlfn.LET(_xlpm.t_rem,D27,_xlpm.r_m1,D20,_xlpm.r_m2,E20,_xlpm.mone,D19,_xlpm.mtwo,E19,_xlpm.r_m1+(_xlpm.r_m2-_xlpm.r_m1)/(_xlpm.mtwo/month_in_a_year-_xlpm.mone/month_in_a_year)*(_xlpm.t_rem-_xlpm.mone/month_in_a_year))</f>
        <v>2.7786559153885525E-2</v>
      </c>
      <c r="E28" s="15">
        <f>+_xlfn.LET(_xlpm.t_rem,E27,_xlpm.r_m1,E20,_xlpm.r_m2,F20,_xlpm.mone,E19,_xlpm.mtwo,F19,_xlpm.r_m1+(_xlpm.r_m2-_xlpm.r_m1)/(_xlpm.mtwo/month_in_a_year-_xlpm.mone/month_in_a_year)*(_xlpm.t_rem-_xlpm.mone/month_in_a_year))</f>
        <v>2.4852665765852544E-2</v>
      </c>
      <c r="F28" s="15">
        <f>+_xlfn.LET(_xlpm.t_rem,F27,_xlpm.r_m1,E20,_xlpm.r_m2,F20,_xlpm.mone,E19,_xlpm.mtwo,F19,_xlpm.r_m1+(_xlpm.r_m2-_xlpm.r_m1)/(_xlpm.mtwo/month_in_a_year-_xlpm.mone/month_in_a_year)*(_xlpm.t_rem-_xlpm.mone/month_in_a_year))</f>
        <v>2.3121093252944425E-2</v>
      </c>
      <c r="G28" s="15">
        <f>+_xlfn.LET(_xlpm.t_rem,G27,_xlpm.r_m1,F20,_xlpm.r_m2,G20,_xlpm.mone,F19,_xlpm.mtwo,G19,_xlpm.r_m1+(_xlpm.r_m2-_xlpm.r_m1)/(_xlpm.mtwo/month_in_a_year-_xlpm.mone/month_in_a_year)*(_xlpm.t_rem-_xlpm.mone/month_in_a_year))</f>
        <v>2.236962731544365E-2</v>
      </c>
      <c r="V28" s="3"/>
    </row>
    <row r="29" spans="2:22" ht="17" customHeight="1" x14ac:dyDescent="0.3">
      <c r="B29" s="10" t="s">
        <v>38</v>
      </c>
      <c r="C29" s="12"/>
      <c r="D29" s="12">
        <f t="shared" ref="D29" si="2">+D27/(1+D28)</f>
        <v>0.72772425248992367</v>
      </c>
      <c r="E29" s="12">
        <f>+E27/(1+E28)</f>
        <v>1.2216924796550261</v>
      </c>
      <c r="F29" s="12">
        <f>+F27/(1+F28)</f>
        <v>1.708444109897078</v>
      </c>
      <c r="G29" s="12">
        <f>+G27/(1+G28)</f>
        <v>2.2027794394029812</v>
      </c>
      <c r="V29" s="3"/>
    </row>
    <row r="30" spans="2:22" ht="17" customHeight="1" x14ac:dyDescent="0.3">
      <c r="V30" s="3"/>
    </row>
    <row r="31" spans="2:22" ht="17" customHeight="1" x14ac:dyDescent="0.3">
      <c r="B31" s="45" t="s">
        <v>39</v>
      </c>
      <c r="C31" s="44" t="s">
        <v>104</v>
      </c>
      <c r="D31" s="44" t="s">
        <v>40</v>
      </c>
      <c r="E31" s="44" t="s">
        <v>41</v>
      </c>
      <c r="F31" s="44" t="s">
        <v>41</v>
      </c>
      <c r="G31" s="44" t="s">
        <v>42</v>
      </c>
      <c r="V31" s="3"/>
    </row>
    <row r="32" spans="2:22" ht="17" customHeight="1" x14ac:dyDescent="0.3">
      <c r="B32" s="3" t="s">
        <v>43</v>
      </c>
      <c r="C32" s="8"/>
      <c r="D32" s="8">
        <f>+(D$19/month_in_a_year)/(1+D$20)</f>
        <v>0.48552795040391572</v>
      </c>
      <c r="E32" s="8">
        <f>+(E$19/month_in_a_year)/(1+E$20)</f>
        <v>0.97491276283764483</v>
      </c>
      <c r="F32" s="8">
        <f>+(E$19/month_in_a_year)/(1+E$20)</f>
        <v>0.97491276283764483</v>
      </c>
      <c r="G32" s="8">
        <f>+(F$19/month_in_a_year)/(1+F$20)</f>
        <v>1.9564858817348847</v>
      </c>
      <c r="V32" s="3"/>
    </row>
    <row r="33" spans="2:22" ht="17" customHeight="1" x14ac:dyDescent="0.3">
      <c r="B33" s="3" t="s">
        <v>44</v>
      </c>
      <c r="C33" s="8"/>
      <c r="D33" s="8">
        <f>+(E$19/month_in_a_year)/(1+E$20)</f>
        <v>0.97491276283764483</v>
      </c>
      <c r="E33" s="8">
        <f>+(F$19/month_in_a_year)/(1+F$20)</f>
        <v>1.9564858817348847</v>
      </c>
      <c r="F33" s="8">
        <f>+(F$19/month_in_a_year)/(1+F$20)</f>
        <v>1.9564858817348847</v>
      </c>
      <c r="G33" s="8">
        <f>+(G$19/month_in_a_year)/(1+G$20)</f>
        <v>4.8838979556767281</v>
      </c>
      <c r="V33" s="3"/>
    </row>
    <row r="34" spans="2:22" ht="17" customHeight="1" x14ac:dyDescent="0.3">
      <c r="C34" s="8"/>
      <c r="D34" s="8"/>
      <c r="E34" s="8"/>
      <c r="F34" s="8"/>
      <c r="G34" s="8"/>
      <c r="V34" s="3"/>
    </row>
    <row r="35" spans="2:22" ht="17" customHeight="1" x14ac:dyDescent="0.3">
      <c r="B35" s="3" t="s">
        <v>45</v>
      </c>
      <c r="C35" s="8">
        <f>C40/(1+C20)^C27</f>
        <v>198.38063378164219</v>
      </c>
      <c r="D35" s="8">
        <f>+Assumptions!F8/(1+D28)^D27</f>
        <v>195.94187217740082</v>
      </c>
      <c r="E35" s="8">
        <f>+Assumptions!G8/(1+E28)^E27</f>
        <v>193.94620887076732</v>
      </c>
      <c r="F35" s="8">
        <f>+Assumptions!H8/(1+F28)^F27</f>
        <v>192.16667531129639</v>
      </c>
      <c r="G35" s="8">
        <f>+Assumptions!I8/(1+G28)^G27</f>
        <v>9704.2631961909537</v>
      </c>
      <c r="V35" s="3"/>
    </row>
    <row r="36" spans="2:22" ht="17" customHeight="1" x14ac:dyDescent="0.3">
      <c r="C36" s="8"/>
      <c r="D36" s="8"/>
      <c r="E36" s="8"/>
      <c r="F36" s="8"/>
      <c r="G36" s="8"/>
      <c r="V36" s="3"/>
    </row>
    <row r="37" spans="2:22" ht="17" customHeight="1" x14ac:dyDescent="0.3">
      <c r="B37" s="3" t="s">
        <v>46</v>
      </c>
      <c r="C37" s="8"/>
      <c r="D37" s="8">
        <f>+_xlfn.LET(_xlpm.MDvirt1,D32,_xlpm.MDvirt2,D33,_xlpm.MDreal,D29,_xlpm.Mvreal,D35,(_xlpm.MDvirt2-_xlpm.MDreal)/(_xlpm.MDvirt2-_xlpm.MDvirt1)*_xlpm.Mvreal)</f>
        <v>98.970336364564133</v>
      </c>
      <c r="E37" s="8">
        <f>+_xlfn.LET(_xlpm.MDvirt1,E32,_xlpm.MDvirt2,E33,_xlpm.MDreal,E29,_xlpm.Mvreal,E35,(_xlpm.MDvirt2-_xlpm.MDreal)/(_xlpm.MDvirt2-_xlpm.MDvirt1)*_xlpm.Mvreal)</f>
        <v>145.18571453622016</v>
      </c>
      <c r="F37" s="8">
        <f>+_xlfn.LET(_xlpm.MDvirt1,F32,_xlpm.MDvirt2,F33,_xlpm.MDreal,F29,_xlpm.Mvreal,F35,(_xlpm.MDvirt2-_xlpm.MDreal)/(_xlpm.MDvirt2-_xlpm.MDvirt1)*_xlpm.Mvreal)</f>
        <v>48.560175207268003</v>
      </c>
      <c r="G37" s="8">
        <f>+_xlfn.LET(_xlpm.MDvirt1,G32,_xlpm.MDvirt2,G33,_xlpm.MDreal,G29,_xlpm.Mvreal,G35,(_xlpm.MDvirt2-_xlpm.MDreal)/(_xlpm.MDvirt2-_xlpm.MDvirt1)*_xlpm.Mvreal)</f>
        <v>8887.809124551115</v>
      </c>
      <c r="V37" s="3"/>
    </row>
    <row r="38" spans="2:22" ht="17" customHeight="1" x14ac:dyDescent="0.3">
      <c r="B38" s="3" t="s">
        <v>47</v>
      </c>
      <c r="C38" s="8"/>
      <c r="D38" s="8">
        <f>+D35-D37</f>
        <v>96.971535812836692</v>
      </c>
      <c r="E38" s="8">
        <f>+E35-E37</f>
        <v>48.760494334547161</v>
      </c>
      <c r="F38" s="8">
        <f>+F35-F37</f>
        <v>143.60650010402838</v>
      </c>
      <c r="G38" s="8">
        <f t="shared" ref="G38" si="3">+G35-G37</f>
        <v>816.45407163983873</v>
      </c>
      <c r="V38" s="3"/>
    </row>
    <row r="39" spans="2:22" ht="17" customHeight="1" x14ac:dyDescent="0.3">
      <c r="C39" s="8"/>
      <c r="D39" s="8"/>
      <c r="E39" s="8"/>
      <c r="F39" s="8"/>
      <c r="G39" s="8"/>
      <c r="J39" s="8"/>
      <c r="V39" s="3"/>
    </row>
    <row r="40" spans="2:22" ht="17" customHeight="1" x14ac:dyDescent="0.3">
      <c r="B40" s="3" t="s">
        <v>48</v>
      </c>
      <c r="C40" s="138">
        <f>Assumptions!E8</f>
        <v>200</v>
      </c>
      <c r="D40" s="133">
        <f>+D37*(1+D20)^(D19/month_in_a_year)</f>
        <v>100.43450199108004</v>
      </c>
      <c r="E40" s="133">
        <f>+E37*(1+E20)^(E19/month_in_a_year)</f>
        <v>148.92174979188201</v>
      </c>
      <c r="F40" s="133">
        <f>+F37*(1+E20)^(E19/month_in_a_year)</f>
        <v>49.809764584397868</v>
      </c>
      <c r="G40" s="134">
        <f>+G37*(1+F20)^(F19/month_in_a_year)</f>
        <v>9287.5523298908192</v>
      </c>
      <c r="V40" s="3"/>
    </row>
    <row r="41" spans="2:22" ht="17" customHeight="1" x14ac:dyDescent="0.3">
      <c r="B41" s="3" t="s">
        <v>49</v>
      </c>
      <c r="C41" s="137"/>
      <c r="D41" s="135">
        <f>+D38*(1+E20)^(E19/month_in_a_year)</f>
        <v>99.466885150405659</v>
      </c>
      <c r="E41" s="135">
        <f>+E38*(1+F20)^(F19/month_in_a_year)</f>
        <v>50.953574319286908</v>
      </c>
      <c r="F41" s="135">
        <f>+F38*(1+F20)^(F19/month_in_a_year)</f>
        <v>150.06542849174846</v>
      </c>
      <c r="G41" s="136">
        <f>+G38*(1+G20)^(G19/month_in_a_year)</f>
        <v>918.2244967323212</v>
      </c>
      <c r="V41" s="3"/>
    </row>
    <row r="42" spans="2:22" ht="17" customHeight="1" x14ac:dyDescent="0.3">
      <c r="G42" s="8"/>
      <c r="V42" s="3"/>
    </row>
    <row r="43" spans="2:22" ht="17" customHeight="1" x14ac:dyDescent="0.3">
      <c r="B43" s="3" t="s">
        <v>50</v>
      </c>
      <c r="C43" s="11">
        <f>ROUND(+C29-C32*C37/C35-C33*C38/C35,5)</f>
        <v>0</v>
      </c>
      <c r="D43" s="11">
        <f>ROUND(+D29-D32*D37/D35-D33*D38/D35,5)</f>
        <v>0</v>
      </c>
      <c r="E43" s="11">
        <f>ROUND(+E29-E32*E37/E35-E33*E38/E35,5)</f>
        <v>0</v>
      </c>
      <c r="F43" s="11">
        <f>+F29-F32*F37/F35-F33*F38/F35</f>
        <v>0</v>
      </c>
      <c r="G43" s="11">
        <f>+G29-G32*G37/G35-G33*G38/G35</f>
        <v>0</v>
      </c>
      <c r="V43" s="3"/>
    </row>
    <row r="44" spans="2:22" ht="14" x14ac:dyDescent="0.3">
      <c r="V44" s="3"/>
    </row>
    <row r="45" spans="2:22" ht="14" x14ac:dyDescent="0.3">
      <c r="V45" s="3"/>
    </row>
    <row r="46" spans="2:22" ht="17" customHeight="1" x14ac:dyDescent="0.3">
      <c r="V46" s="3"/>
    </row>
    <row r="47" spans="2:22" ht="17" customHeight="1" x14ac:dyDescent="0.4">
      <c r="B47" s="47" t="s">
        <v>19</v>
      </c>
      <c r="V47" s="3"/>
    </row>
    <row r="48" spans="2:22" ht="17" customHeight="1" x14ac:dyDescent="0.35">
      <c r="C48"/>
      <c r="D48"/>
      <c r="E48"/>
      <c r="F48"/>
      <c r="G48" s="11"/>
      <c r="V48" s="3"/>
    </row>
    <row r="49" spans="2:22" ht="17" customHeight="1" x14ac:dyDescent="0.3">
      <c r="C49" s="11"/>
      <c r="D49" s="11"/>
      <c r="E49" s="11"/>
      <c r="F49" s="11"/>
      <c r="G49" s="11"/>
      <c r="V49" s="3"/>
    </row>
    <row r="50" spans="2:22" ht="17" customHeight="1" x14ac:dyDescent="0.35">
      <c r="B50" s="32"/>
      <c r="C50" s="6">
        <f>+Assumptions!E10</f>
        <v>45747</v>
      </c>
      <c r="D50" s="6">
        <f>+Assumptions!F10</f>
        <v>45838</v>
      </c>
      <c r="E50" s="6">
        <f>+Assumptions!G10</f>
        <v>46022</v>
      </c>
      <c r="F50" s="6">
        <f>+Assumptions!H10</f>
        <v>46203</v>
      </c>
      <c r="G50"/>
      <c r="V50" s="3"/>
    </row>
    <row r="51" spans="2:22" ht="17" customHeight="1" x14ac:dyDescent="0.35">
      <c r="B51" s="5" t="s">
        <v>36</v>
      </c>
      <c r="C51" s="79">
        <f>+(C50-$C$11)/365</f>
        <v>0.49863013698630138</v>
      </c>
      <c r="D51" s="80">
        <f>+(D50-$C$11)/365</f>
        <v>0.74794520547945209</v>
      </c>
      <c r="E51" s="80">
        <f>+(E50-$C$11)/365</f>
        <v>1.252054794520548</v>
      </c>
      <c r="F51" s="80">
        <f>+(F50-$C$11)/365</f>
        <v>1.747945205479452</v>
      </c>
      <c r="G51"/>
      <c r="V51" s="3"/>
    </row>
    <row r="52" spans="2:22" ht="17" customHeight="1" x14ac:dyDescent="0.35">
      <c r="B52" s="3" t="s">
        <v>37</v>
      </c>
      <c r="C52" s="46"/>
      <c r="D52" s="81">
        <f>+_xlfn.LET(_xlpm.t_rem,D51,_xlpm.r_m1,D20,_xlpm.r_m2,E20,_xlpm.mone,D19,_xlpm.mtwo,E19,_xlpm.r_m1+(_xlpm.r_m2-_xlpm.r_m1)/(_xlpm.mtwo/month_in_a_year-_xlpm.mone/month_in_a_year)*(_xlpm.t_rem-_xlpm.mone/month_in_a_year))</f>
        <v>2.7786559153885525E-2</v>
      </c>
      <c r="E52" s="82">
        <f>+_xlfn.LET(_xlpm.t_rem,E51,_xlpm.r_m1,E20,_xlpm.r_m2,F20,_xlpm.mone,E19,_xlpm.mtwo,F19,_xlpm.r_m1+(_xlpm.r_m2-_xlpm.r_m1)/(_xlpm.mtwo/month_in_a_year-_xlpm.mone/month_in_a_year)*(_xlpm.t_rem-_xlpm.mone/month_in_a_year))</f>
        <v>2.4852665765852544E-2</v>
      </c>
      <c r="F52" s="82">
        <f>+_xlfn.LET(_xlpm.t_rem,F51,_xlpm.r_m1,E20,_xlpm.r_m2,F20,_xlpm.mone,E19,_xlpm.mtwo,F19,_xlpm.r_m1+(_xlpm.r_m2-_xlpm.r_m1)/(_xlpm.mtwo/month_in_a_year-_xlpm.mone/month_in_a_year)*(_xlpm.t_rem-_xlpm.mone/month_in_a_year))</f>
        <v>2.3121093252944425E-2</v>
      </c>
      <c r="G52"/>
      <c r="V52" s="3"/>
    </row>
    <row r="53" spans="2:22" ht="17" customHeight="1" x14ac:dyDescent="0.35">
      <c r="B53" s="10" t="s">
        <v>38</v>
      </c>
      <c r="C53" s="12"/>
      <c r="D53" s="78">
        <f t="shared" ref="D53:F53" si="4">+D51/(1+D52)</f>
        <v>0.72772425248992367</v>
      </c>
      <c r="E53" s="78">
        <f t="shared" si="4"/>
        <v>1.2216924796550261</v>
      </c>
      <c r="F53" s="78">
        <f t="shared" si="4"/>
        <v>1.708444109897078</v>
      </c>
      <c r="G53"/>
      <c r="V53" s="3"/>
    </row>
    <row r="54" spans="2:22" ht="17" customHeight="1" x14ac:dyDescent="0.3">
      <c r="C54" s="8"/>
      <c r="D54" s="8"/>
      <c r="E54" s="8"/>
      <c r="F54" s="8"/>
      <c r="V54" s="3"/>
    </row>
    <row r="55" spans="2:22" ht="17" customHeight="1" x14ac:dyDescent="0.35">
      <c r="B55" s="45" t="s">
        <v>39</v>
      </c>
      <c r="C55" s="44" t="s">
        <v>105</v>
      </c>
      <c r="D55" s="44" t="s">
        <v>40</v>
      </c>
      <c r="E55" s="44" t="s">
        <v>41</v>
      </c>
      <c r="F55" s="44" t="s">
        <v>41</v>
      </c>
      <c r="G55"/>
      <c r="V55" s="3"/>
    </row>
    <row r="56" spans="2:22" ht="17" customHeight="1" x14ac:dyDescent="0.3">
      <c r="B56" s="3" t="s">
        <v>43</v>
      </c>
      <c r="C56" s="8"/>
      <c r="D56" s="8">
        <f>+(D$19/12)/(1+D$20)</f>
        <v>0.48552795040391572</v>
      </c>
      <c r="E56" s="8">
        <f>+(E$19/12)/(1+E$20)</f>
        <v>0.97491276283764483</v>
      </c>
      <c r="F56" s="8">
        <f>+(E$19/12)/(1+E$20)</f>
        <v>0.97491276283764483</v>
      </c>
      <c r="V56" s="3"/>
    </row>
    <row r="57" spans="2:22" ht="17" customHeight="1" x14ac:dyDescent="0.35">
      <c r="B57" s="3" t="s">
        <v>44</v>
      </c>
      <c r="C57" s="8"/>
      <c r="D57" s="8">
        <f>+(E$19/12)/(1+E$20)</f>
        <v>0.97491276283764483</v>
      </c>
      <c r="E57" s="8">
        <f>+(F$19/12)/(1+F$20)</f>
        <v>1.9564858817348847</v>
      </c>
      <c r="F57" s="8">
        <f>+(F$19/12)/(1+F$20)</f>
        <v>1.9564858817348847</v>
      </c>
      <c r="G57"/>
      <c r="V57" s="3"/>
    </row>
    <row r="58" spans="2:22" ht="17" customHeight="1" x14ac:dyDescent="0.35">
      <c r="C58" s="8"/>
      <c r="D58" s="8"/>
      <c r="E58" s="8"/>
      <c r="F58" s="8"/>
      <c r="H58"/>
      <c r="I58"/>
      <c r="J58"/>
      <c r="V58" s="3"/>
    </row>
    <row r="59" spans="2:22" ht="17" customHeight="1" x14ac:dyDescent="0.35">
      <c r="B59" s="3" t="s">
        <v>45</v>
      </c>
      <c r="C59" s="8">
        <f>C64/(1+D20)^C51</f>
        <v>147.81920034291016</v>
      </c>
      <c r="D59" s="8">
        <f>+Assumptions!F$11/(1+D52)^D51</f>
        <v>146.9564041330506</v>
      </c>
      <c r="E59" s="8">
        <f>+Assumptions!G$11/(1+E52)^E51</f>
        <v>145.45965665307548</v>
      </c>
      <c r="F59" s="8">
        <f>+Assumptions!H$11/(1+F52)^F51</f>
        <v>4948.2918892658818</v>
      </c>
      <c r="H59"/>
      <c r="I59"/>
      <c r="J59"/>
      <c r="V59" s="3"/>
    </row>
    <row r="60" spans="2:22" ht="17" customHeight="1" x14ac:dyDescent="0.3">
      <c r="C60" s="8"/>
      <c r="D60" s="8"/>
      <c r="E60" s="8"/>
      <c r="F60" s="8"/>
      <c r="V60" s="3"/>
    </row>
    <row r="61" spans="2:22" ht="17" customHeight="1" x14ac:dyDescent="0.35">
      <c r="B61" s="3" t="s">
        <v>46</v>
      </c>
      <c r="C61" s="8"/>
      <c r="D61" s="8">
        <f>+_xlfn.LET(_xlpm.MDvirt1,D56,_xlpm.MDvirt2,D57,_xlpm.MDreal,D53,_xlpm.Mvreal,D59,(_xlpm.MDvirt2-_xlpm.MDreal)/(_xlpm.MDvirt2-_xlpm.MDvirt1)*_xlpm.Mvreal)</f>
        <v>74.227752273423093</v>
      </c>
      <c r="E61" s="8">
        <f t="shared" ref="E61" si="5">+_xlfn.LET(_xlpm.MDvirt1,E56,_xlpm.MDvirt2,E57,_xlpm.MDreal,E53,_xlpm.Mvreal,E59,(_xlpm.MDvirt2-_xlpm.MDreal)/(_xlpm.MDvirt2-_xlpm.MDvirt1)*_xlpm.Mvreal)</f>
        <v>108.88928590216511</v>
      </c>
      <c r="F61" s="8">
        <f t="shared" ref="F61" si="6">+_xlfn.LET(_xlpm.MDvirt1,F56,_xlpm.MDvirt2,F57,_xlpm.MDreal,F53,_xlpm.Mvreal,F59,(_xlpm.MDvirt2-_xlpm.MDreal)/(_xlpm.MDvirt2-_xlpm.MDvirt1)*_xlpm.Mvreal)</f>
        <v>1250.4245115871508</v>
      </c>
      <c r="G61"/>
      <c r="V61" s="3"/>
    </row>
    <row r="62" spans="2:22" ht="17" customHeight="1" x14ac:dyDescent="0.35">
      <c r="B62" s="3" t="s">
        <v>47</v>
      </c>
      <c r="C62" s="8"/>
      <c r="D62" s="8">
        <f t="shared" ref="D62:F62" si="7">+D59-D61</f>
        <v>72.728651859627504</v>
      </c>
      <c r="E62" s="8">
        <f t="shared" si="7"/>
        <v>36.570370750910371</v>
      </c>
      <c r="F62" s="8">
        <f t="shared" si="7"/>
        <v>3697.8673776787309</v>
      </c>
      <c r="G62"/>
      <c r="V62" s="3"/>
    </row>
    <row r="63" spans="2:22" ht="17" customHeight="1" x14ac:dyDescent="0.35">
      <c r="C63" s="8"/>
      <c r="D63" s="8"/>
      <c r="E63" s="8"/>
      <c r="F63" s="8"/>
      <c r="G63"/>
      <c r="V63" s="3"/>
    </row>
    <row r="64" spans="2:22" ht="17" customHeight="1" x14ac:dyDescent="0.35">
      <c r="B64" s="3" t="s">
        <v>48</v>
      </c>
      <c r="C64" s="138">
        <f>Assumptions!E11</f>
        <v>150</v>
      </c>
      <c r="D64" s="133">
        <f>+D61*(1+D20)^(D19/month_in_a_year)</f>
        <v>75.32587649331002</v>
      </c>
      <c r="E64" s="133">
        <f>+E61*(1+E20)^(E19/month_in_a_year)</f>
        <v>111.69131234391151</v>
      </c>
      <c r="F64" s="197">
        <f>+F61*(1+E20)^(E19/month_in_a_year)</f>
        <v>1282.601438048245</v>
      </c>
      <c r="G64"/>
      <c r="V64" s="3"/>
    </row>
    <row r="65" spans="2:22" ht="17" customHeight="1" x14ac:dyDescent="0.35">
      <c r="B65" s="3" t="s">
        <v>49</v>
      </c>
      <c r="C65" s="137"/>
      <c r="D65" s="135">
        <f>+D62*(1+E20)^(E19/month_in_a_year)</f>
        <v>74.600163862804223</v>
      </c>
      <c r="E65" s="135">
        <f>+E62*(1+F20)^(F19/month_in_a_year)</f>
        <v>38.215180739465183</v>
      </c>
      <c r="F65" s="198">
        <f>+F62*(1+F20)^(F19/month_in_a_year)</f>
        <v>3864.1847836625229</v>
      </c>
      <c r="G65"/>
      <c r="V65" s="3"/>
    </row>
    <row r="66" spans="2:22" ht="17" customHeight="1" x14ac:dyDescent="0.35">
      <c r="D66"/>
      <c r="F66"/>
      <c r="G66"/>
      <c r="V66" s="3"/>
    </row>
    <row r="67" spans="2:22" ht="17" customHeight="1" x14ac:dyDescent="0.35">
      <c r="B67" s="3" t="s">
        <v>50</v>
      </c>
      <c r="C67" s="11">
        <f>ROUND(+C53-C56*C61/C59-C57*C62/C59,5)</f>
        <v>0</v>
      </c>
      <c r="D67" s="11">
        <f>ROUND(+D53-D56*D61/D59-D57*D62/D59,5)</f>
        <v>0</v>
      </c>
      <c r="E67" s="11">
        <f t="shared" ref="E67" si="8">ROUND(+E53-E56*E61/E59-E57*E62/E59,5)</f>
        <v>0</v>
      </c>
      <c r="F67" s="11">
        <f>ROUND(+F53-F56*F61/F59-F57*F62/F59,5)</f>
        <v>0</v>
      </c>
      <c r="G67"/>
      <c r="V67" s="3"/>
    </row>
    <row r="68" spans="2:22" ht="17" customHeight="1" x14ac:dyDescent="0.3">
      <c r="C68" s="11"/>
      <c r="D68" s="11"/>
      <c r="E68" s="11"/>
      <c r="F68" s="11"/>
      <c r="G68" s="11"/>
      <c r="V68" s="3"/>
    </row>
    <row r="69" spans="2:22" ht="17" customHeight="1" x14ac:dyDescent="0.4">
      <c r="B69" s="47" t="s">
        <v>51</v>
      </c>
      <c r="V69" s="3"/>
    </row>
    <row r="70" spans="2:22" ht="17" customHeight="1" x14ac:dyDescent="0.3">
      <c r="C70" s="11"/>
      <c r="D70" s="11"/>
      <c r="E70" s="11"/>
      <c r="F70" s="11"/>
      <c r="G70" s="11"/>
      <c r="V70" s="3"/>
    </row>
    <row r="71" spans="2:22" ht="17" customHeight="1" x14ac:dyDescent="0.3">
      <c r="C71" s="11">
        <f>+C72-$C$11</f>
        <v>92</v>
      </c>
      <c r="D71" s="11">
        <f>+D72-$C$11</f>
        <v>182</v>
      </c>
      <c r="E71" s="11">
        <f>+E72-$C$11</f>
        <v>365</v>
      </c>
      <c r="F71" s="11">
        <f>+F72-$C$11</f>
        <v>730</v>
      </c>
      <c r="G71" s="11">
        <f>+G72-$C$11</f>
        <v>1826</v>
      </c>
      <c r="J71" s="201"/>
      <c r="V71" s="3"/>
    </row>
    <row r="72" spans="2:22" ht="17" customHeight="1" x14ac:dyDescent="0.3">
      <c r="B72" s="32"/>
      <c r="C72" s="6">
        <f>+C13</f>
        <v>45657</v>
      </c>
      <c r="D72" s="6">
        <f>+D13</f>
        <v>45747</v>
      </c>
      <c r="E72" s="6">
        <f>+E13</f>
        <v>45930</v>
      </c>
      <c r="F72" s="6">
        <f>+F13</f>
        <v>46295</v>
      </c>
      <c r="G72" s="6">
        <f>+G13</f>
        <v>47391</v>
      </c>
      <c r="V72" s="3"/>
    </row>
    <row r="73" spans="2:22" ht="17" customHeight="1" x14ac:dyDescent="0.3">
      <c r="B73" s="3" t="s">
        <v>52</v>
      </c>
      <c r="C73" s="210">
        <f>C40</f>
        <v>200</v>
      </c>
      <c r="D73" s="210">
        <f>D40+D64+C64</f>
        <v>325.76037848439006</v>
      </c>
      <c r="E73" s="210">
        <f>D41+SUM(E40:F40)+D65+SUM(E64:F64)</f>
        <v>1767.0913137816462</v>
      </c>
      <c r="F73" s="210">
        <f>SUM(E41:F41)+G40+SUM(E65:F65)</f>
        <v>13390.971297103843</v>
      </c>
      <c r="G73" s="210">
        <f>G41</f>
        <v>918.2244967323212</v>
      </c>
      <c r="I73" s="13"/>
      <c r="V73" s="3"/>
    </row>
    <row r="74" spans="2:22" ht="17" customHeight="1" x14ac:dyDescent="0.3">
      <c r="B74" s="3" t="s">
        <v>53</v>
      </c>
      <c r="C74" s="8">
        <f>+'ZCB rates'!H252</f>
        <v>0.99196890991489062</v>
      </c>
      <c r="D74" s="8">
        <f>+'ZCB rates'!I252</f>
        <v>0.98542168679597841</v>
      </c>
      <c r="E74" s="8">
        <f>+'ZCB rates'!J252</f>
        <v>0.97491276283764494</v>
      </c>
      <c r="F74" s="8">
        <f>+'ZCB rates'!K252</f>
        <v>0.95695925135698234</v>
      </c>
      <c r="G74" s="8">
        <f>+'ZCB rates'!L252</f>
        <v>0.88916607490362942</v>
      </c>
      <c r="V74" s="3"/>
    </row>
    <row r="75" spans="2:22" ht="17" customHeight="1" x14ac:dyDescent="0.3">
      <c r="C75" s="8">
        <f>1/(1+C20)^(C71/365)</f>
        <v>0.99190316890821095</v>
      </c>
      <c r="D75" s="8">
        <f>1/(1+D20)^(D71/365)</f>
        <v>0.98546133561940108</v>
      </c>
      <c r="E75" s="8">
        <f>1/(1+E20)^(E71/365)</f>
        <v>0.97491276283764483</v>
      </c>
      <c r="F75" s="8">
        <f>1/(1+F20)^(F71/365)</f>
        <v>0.95695925135698234</v>
      </c>
      <c r="G75" s="8">
        <f>1/(1+G20)^(G71/365)</f>
        <v>0.88910884307420868</v>
      </c>
      <c r="V75" s="3"/>
    </row>
    <row r="76" spans="2:22" ht="17" customHeight="1" x14ac:dyDescent="0.3">
      <c r="C76" s="8"/>
      <c r="D76" s="8"/>
      <c r="E76" s="8"/>
      <c r="F76" s="8"/>
      <c r="G76" s="8"/>
      <c r="V76" s="3"/>
    </row>
    <row r="77" spans="2:22" ht="17" customHeight="1" x14ac:dyDescent="0.35">
      <c r="B77"/>
      <c r="C77"/>
      <c r="D77"/>
      <c r="E77"/>
      <c r="F77"/>
      <c r="G77"/>
      <c r="H77"/>
      <c r="V77" s="3"/>
    </row>
    <row r="78" spans="2:22" ht="17" customHeight="1" x14ac:dyDescent="0.35">
      <c r="B78" s="3" t="s">
        <v>54</v>
      </c>
      <c r="C78" s="13">
        <f>+C73*C74</f>
        <v>198.39378198297811</v>
      </c>
      <c r="D78" s="13">
        <f>+D73*D74</f>
        <v>321.01134165738398</v>
      </c>
      <c r="E78" s="13">
        <f>+E73*E74</f>
        <v>1722.7598749052686</v>
      </c>
      <c r="F78" s="13">
        <f>+F73*F74</f>
        <v>12814.613867419332</v>
      </c>
      <c r="G78" s="13">
        <f>+G73*G74</f>
        <v>816.4540716398385</v>
      </c>
      <c r="H78"/>
      <c r="I78" s="208"/>
      <c r="V78" s="3"/>
    </row>
    <row r="79" spans="2:22" ht="17" customHeight="1" x14ac:dyDescent="0.3">
      <c r="C79" s="13"/>
      <c r="D79" s="13"/>
      <c r="E79" s="13"/>
      <c r="F79" s="13"/>
      <c r="G79" s="13"/>
      <c r="V79" s="3"/>
    </row>
    <row r="80" spans="2:22" ht="17" customHeight="1" x14ac:dyDescent="0.3">
      <c r="B80" s="3" t="s">
        <v>55</v>
      </c>
      <c r="C80" s="13"/>
      <c r="D80" s="13"/>
      <c r="E80" s="13"/>
      <c r="F80" s="13"/>
      <c r="G80" s="11">
        <f>+SUM(C78:G78)</f>
        <v>15873.232937604802</v>
      </c>
      <c r="I80" s="3" t="s">
        <v>50</v>
      </c>
      <c r="J80" s="11">
        <f>ROUND(SUM(C59:F59)+SUM(C35:G35)-G80,1)</f>
        <v>0</v>
      </c>
      <c r="V80" s="3"/>
    </row>
    <row r="81" spans="2:22" ht="17" customHeight="1" x14ac:dyDescent="0.3">
      <c r="C81" s="13"/>
      <c r="D81" s="13"/>
      <c r="E81" s="13"/>
      <c r="F81" s="13"/>
      <c r="G81" s="13"/>
      <c r="V81" s="3"/>
    </row>
    <row r="82" spans="2:22" ht="25" x14ac:dyDescent="0.5">
      <c r="B82" s="50" t="s">
        <v>56</v>
      </c>
      <c r="C82" s="49"/>
      <c r="D82" s="49"/>
      <c r="E82" s="49"/>
      <c r="F82" s="49"/>
      <c r="G82" s="49"/>
      <c r="V82" s="3"/>
    </row>
    <row r="83" spans="2:22" ht="17" customHeight="1" x14ac:dyDescent="0.35">
      <c r="B83" s="18"/>
      <c r="V83" s="3"/>
    </row>
    <row r="84" spans="2:22" ht="17" customHeight="1" x14ac:dyDescent="0.3">
      <c r="B84" s="32"/>
      <c r="C84" s="6">
        <f>+C72</f>
        <v>45657</v>
      </c>
      <c r="D84" s="6">
        <f>+D72</f>
        <v>45747</v>
      </c>
      <c r="E84" s="6">
        <f>+E72</f>
        <v>45930</v>
      </c>
      <c r="F84" s="6">
        <f>+F72</f>
        <v>46295</v>
      </c>
      <c r="G84" s="6">
        <f>+G72</f>
        <v>47391</v>
      </c>
      <c r="V84" s="3"/>
    </row>
    <row r="85" spans="2:22" ht="17" customHeight="1" x14ac:dyDescent="0.3">
      <c r="B85" s="4" t="s">
        <v>57</v>
      </c>
      <c r="C85" s="53">
        <f>C78</f>
        <v>198.39378198297811</v>
      </c>
      <c r="D85" s="54">
        <f>D78</f>
        <v>321.01134165738398</v>
      </c>
      <c r="E85" s="54">
        <f>E78</f>
        <v>1722.7598749052686</v>
      </c>
      <c r="F85" s="54">
        <f>F78</f>
        <v>12814.613867419332</v>
      </c>
      <c r="G85" s="55">
        <f>G78</f>
        <v>816.4540716398385</v>
      </c>
      <c r="H85" s="5"/>
      <c r="V85" s="3"/>
    </row>
    <row r="86" spans="2:22" ht="17" customHeight="1" x14ac:dyDescent="0.3">
      <c r="C86" s="11"/>
      <c r="D86" s="11"/>
      <c r="E86" s="11"/>
      <c r="F86" s="11"/>
      <c r="G86" s="11"/>
      <c r="I86" s="11"/>
      <c r="V86" s="3"/>
    </row>
    <row r="87" spans="2:22" ht="17" customHeight="1" x14ac:dyDescent="0.3">
      <c r="B87" s="4" t="s">
        <v>58</v>
      </c>
      <c r="C87" s="205" cm="1">
        <f t="array" ref="C87:C91">+TRANSPOSE(C85:G85)</f>
        <v>198.39378198297811</v>
      </c>
      <c r="D87" s="11"/>
      <c r="E87" s="11"/>
      <c r="F87" s="11"/>
      <c r="G87" s="11"/>
      <c r="V87" s="3"/>
    </row>
    <row r="88" spans="2:22" ht="17" customHeight="1" x14ac:dyDescent="0.3">
      <c r="C88" s="206">
        <v>321.01134165738398</v>
      </c>
      <c r="D88" s="11"/>
      <c r="E88" s="11"/>
      <c r="F88" s="11"/>
      <c r="G88" s="11"/>
      <c r="V88" s="3"/>
    </row>
    <row r="89" spans="2:22" ht="17" customHeight="1" x14ac:dyDescent="0.3">
      <c r="C89" s="206">
        <v>1722.7598749052686</v>
      </c>
      <c r="V89" s="3"/>
    </row>
    <row r="90" spans="2:22" customFormat="1" ht="17" customHeight="1" x14ac:dyDescent="0.35">
      <c r="B90" s="3"/>
      <c r="C90" s="206">
        <v>12814.613867419332</v>
      </c>
      <c r="D90" s="11"/>
      <c r="E90" s="11"/>
      <c r="F90" s="11"/>
      <c r="G90" s="11"/>
    </row>
    <row r="91" spans="2:22" ht="17" customHeight="1" x14ac:dyDescent="0.3">
      <c r="C91" s="207">
        <v>816.4540716398385</v>
      </c>
      <c r="D91" s="11"/>
      <c r="E91" s="11"/>
      <c r="F91" s="11"/>
      <c r="G91" s="11"/>
      <c r="V91" s="3"/>
    </row>
    <row r="92" spans="2:22" ht="17" customHeight="1" x14ac:dyDescent="0.3">
      <c r="C92" s="11"/>
      <c r="D92" s="11"/>
      <c r="E92" s="11"/>
      <c r="F92" s="11"/>
      <c r="G92" s="11"/>
      <c r="V92" s="3"/>
    </row>
    <row r="93" spans="2:22" ht="17" customHeight="1" x14ac:dyDescent="0.3">
      <c r="C93" s="11"/>
      <c r="D93" s="11"/>
      <c r="E93" s="11"/>
      <c r="F93" s="11"/>
      <c r="G93" s="11"/>
      <c r="V93" s="3"/>
    </row>
    <row r="94" spans="2:22" ht="17" customHeight="1" x14ac:dyDescent="0.3">
      <c r="C94" s="107" t="s">
        <v>102</v>
      </c>
      <c r="D94" s="107"/>
      <c r="E94" s="107"/>
      <c r="F94" s="107"/>
      <c r="G94" s="107"/>
      <c r="L94" s="107" t="s">
        <v>103</v>
      </c>
      <c r="M94" s="107"/>
      <c r="N94" s="107"/>
      <c r="O94" s="107"/>
      <c r="P94" s="107"/>
      <c r="V94" s="3"/>
    </row>
    <row r="95" spans="2:22" ht="17" customHeight="1" x14ac:dyDescent="0.3">
      <c r="C95" s="11"/>
      <c r="D95" s="11"/>
      <c r="E95" s="11"/>
      <c r="F95" s="11"/>
      <c r="G95" s="11"/>
      <c r="I95" s="11"/>
      <c r="V95" s="3"/>
    </row>
    <row r="96" spans="2:22" ht="17" customHeight="1" x14ac:dyDescent="0.3">
      <c r="B96" s="4" t="s">
        <v>59</v>
      </c>
      <c r="C96" s="175" cm="1">
        <f t="array" ref="C96:G100">+EWMACovMatrix('ZCB rates'!M201:Q252,Lambda)</f>
        <v>6.3475600223728809E-9</v>
      </c>
      <c r="D96" s="176">
        <v>1.2781828027916042E-8</v>
      </c>
      <c r="E96" s="176">
        <v>2.5729997736592333E-8</v>
      </c>
      <c r="F96" s="176">
        <v>4.9250801992493857E-8</v>
      </c>
      <c r="G96" s="177">
        <v>9.9129294047889888E-8</v>
      </c>
      <c r="I96" s="11"/>
      <c r="J96" s="144"/>
      <c r="L96" s="175" cm="1">
        <f t="array" ref="L96:P100">CovarianceMatrix('ZCB rates'!M201:Q252)</f>
        <v>5.4560068256620831E-9</v>
      </c>
      <c r="M96" s="176">
        <v>9.3616661260168014E-9</v>
      </c>
      <c r="N96" s="176">
        <v>1.616889971289021E-8</v>
      </c>
      <c r="O96" s="176">
        <v>3.1459138505154067E-8</v>
      </c>
      <c r="P96" s="177">
        <v>7.8770957017616539E-8</v>
      </c>
      <c r="V96" s="3"/>
    </row>
    <row r="97" spans="2:62" ht="17" customHeight="1" x14ac:dyDescent="0.3">
      <c r="C97" s="181">
        <v>1.2781828027916042E-8</v>
      </c>
      <c r="D97" s="182">
        <v>3.425671133253383E-8</v>
      </c>
      <c r="E97" s="182">
        <v>9.0985565892305431E-8</v>
      </c>
      <c r="F97" s="182">
        <v>2.0964603279006999E-7</v>
      </c>
      <c r="G97" s="183">
        <v>4.0468121635729217E-7</v>
      </c>
      <c r="I97" s="11"/>
      <c r="L97" s="181">
        <v>9.3616661260168014E-9</v>
      </c>
      <c r="M97" s="192">
        <v>2.8080968145103247E-8</v>
      </c>
      <c r="N97" s="192">
        <v>8.1973731421744673E-8</v>
      </c>
      <c r="O97" s="192">
        <v>2.0973968859438227E-7</v>
      </c>
      <c r="P97" s="183">
        <v>5.0448285522047363E-7</v>
      </c>
      <c r="V97" s="3"/>
    </row>
    <row r="98" spans="2:62" s="49" customFormat="1" ht="17" customHeight="1" x14ac:dyDescent="0.5">
      <c r="B98" s="3"/>
      <c r="C98" s="181">
        <v>2.5729997736592333E-8</v>
      </c>
      <c r="D98" s="182">
        <v>9.0985565892305431E-8</v>
      </c>
      <c r="E98" s="182">
        <v>2.8667811934337257E-7</v>
      </c>
      <c r="F98" s="182">
        <v>7.2414542038113602E-7</v>
      </c>
      <c r="G98" s="183">
        <v>1.4142042315189819E-6</v>
      </c>
      <c r="L98" s="181">
        <v>1.616889971289021E-8</v>
      </c>
      <c r="M98" s="192">
        <v>8.1973731421744673E-8</v>
      </c>
      <c r="N98" s="192">
        <v>2.9726890697580071E-7</v>
      </c>
      <c r="O98" s="192">
        <v>8.2430209446465725E-7</v>
      </c>
      <c r="P98" s="183">
        <v>1.9860444080531986E-6</v>
      </c>
    </row>
    <row r="99" spans="2:62" ht="17" customHeight="1" x14ac:dyDescent="0.3">
      <c r="C99" s="181">
        <v>4.9250801992493857E-8</v>
      </c>
      <c r="D99" s="182">
        <v>2.0964603279006999E-7</v>
      </c>
      <c r="E99" s="182">
        <v>7.2414542038113602E-7</v>
      </c>
      <c r="F99" s="182">
        <v>1.9472104471405207E-6</v>
      </c>
      <c r="G99" s="183">
        <v>4.095025459327894E-6</v>
      </c>
      <c r="L99" s="181">
        <v>3.1459138505154067E-8</v>
      </c>
      <c r="M99" s="192">
        <v>2.0973968859438227E-7</v>
      </c>
      <c r="N99" s="192">
        <v>8.2430209446465725E-7</v>
      </c>
      <c r="O99" s="192">
        <v>2.3888603891443936E-6</v>
      </c>
      <c r="P99" s="183">
        <v>5.9920509091269612E-6</v>
      </c>
      <c r="V99" s="3"/>
    </row>
    <row r="100" spans="2:62" ht="17" customHeight="1" x14ac:dyDescent="0.3">
      <c r="C100" s="187">
        <v>9.9129294047889888E-8</v>
      </c>
      <c r="D100" s="188">
        <v>4.0468121635729217E-7</v>
      </c>
      <c r="E100" s="188">
        <v>1.4142042315189819E-6</v>
      </c>
      <c r="F100" s="188">
        <v>4.095025459327894E-6</v>
      </c>
      <c r="G100" s="189">
        <v>1.1181741792726033E-5</v>
      </c>
      <c r="L100" s="187">
        <v>7.8770957017616539E-8</v>
      </c>
      <c r="M100" s="188">
        <v>5.0448285522047363E-7</v>
      </c>
      <c r="N100" s="188">
        <v>1.9860444080531986E-6</v>
      </c>
      <c r="O100" s="188">
        <v>5.9920509091269612E-6</v>
      </c>
      <c r="P100" s="189">
        <v>1.7436594930208112E-5</v>
      </c>
      <c r="V100" s="3"/>
    </row>
    <row r="101" spans="2:62" ht="17" customHeight="1" x14ac:dyDescent="0.3">
      <c r="D101" s="11"/>
      <c r="E101" s="11"/>
      <c r="F101" s="11"/>
      <c r="G101" s="11"/>
      <c r="V101" s="3"/>
    </row>
    <row r="102" spans="2:62" ht="17" customHeight="1" x14ac:dyDescent="0.3">
      <c r="D102" s="11"/>
      <c r="E102" s="11"/>
      <c r="F102" s="11"/>
      <c r="G102" s="11"/>
      <c r="V102" s="3"/>
    </row>
    <row r="103" spans="2:62" ht="17" customHeight="1" x14ac:dyDescent="0.45">
      <c r="B103" s="4" t="s">
        <v>60</v>
      </c>
      <c r="C103" s="166" cm="1">
        <f t="array" ref="C103">+MMULT(TRANSPOSE(_xlfn.ANCHORARRAY(C87)),MMULT(_xlfn.ANCHORARRAY(C96),_xlfn.ANCHORARRAY(C87)))</f>
        <v>452.04778993389692</v>
      </c>
      <c r="D103" s="11"/>
      <c r="E103" s="11"/>
      <c r="F103" s="11"/>
      <c r="G103" s="11"/>
      <c r="K103" s="4" t="s">
        <v>60</v>
      </c>
      <c r="L103" s="166" cm="1">
        <f t="array" ref="L103">+MMULT(TRANSPOSE(_xlfn.ANCHORARRAY(C87)),MMULT(_xlfn.ANCHORARRAY(L96),_xlfn.ANCHORARRAY(C87)))</f>
        <v>574.43864308371928</v>
      </c>
      <c r="V103" s="3"/>
    </row>
    <row r="104" spans="2:62" ht="17" customHeight="1" x14ac:dyDescent="0.3">
      <c r="B104" s="4"/>
      <c r="C104" s="17"/>
      <c r="D104" s="11"/>
      <c r="E104" s="11"/>
      <c r="F104" s="11"/>
      <c r="G104" s="11"/>
      <c r="V104" s="3"/>
    </row>
    <row r="105" spans="2:62" ht="17" customHeight="1" x14ac:dyDescent="0.35">
      <c r="B105" s="4" t="s">
        <v>5</v>
      </c>
      <c r="C105" s="59">
        <v>0.95</v>
      </c>
      <c r="D105" s="60">
        <v>0.99</v>
      </c>
      <c r="E105" s="11"/>
      <c r="F105" s="11"/>
      <c r="G105" s="11"/>
      <c r="K105" s="4" t="s">
        <v>5</v>
      </c>
      <c r="L105" s="59">
        <v>0.95</v>
      </c>
      <c r="M105" s="60">
        <v>0.99</v>
      </c>
      <c r="V105" s="3"/>
    </row>
    <row r="106" spans="2:62" ht="17" customHeight="1" x14ac:dyDescent="0.4">
      <c r="B106" s="4" t="s">
        <v>61</v>
      </c>
      <c r="C106" s="61">
        <f>+SQRT($C$103)*(-1)*_xlfn.NORM.S.INV(1-C105)</f>
        <v>34.971916432960207</v>
      </c>
      <c r="D106" s="62">
        <f>+SQRT($C$103)*(-1)*_xlfn.NORM.S.INV(1-D105)</f>
        <v>49.46144879513416</v>
      </c>
      <c r="E106" s="11"/>
      <c r="F106" s="11"/>
      <c r="G106" s="11"/>
      <c r="K106" s="4" t="s">
        <v>61</v>
      </c>
      <c r="L106" s="61">
        <f>+SQRT($L$103)*(-1)*_xlfn.NORM.S.INV(1-L105)</f>
        <v>39.422946497878705</v>
      </c>
      <c r="M106" s="62">
        <f>+SQRT($L$103)*(-1)*_xlfn.NORM.S.INV(1-M105)</f>
        <v>55.756625556853706</v>
      </c>
      <c r="V106" s="3"/>
    </row>
    <row r="107" spans="2:62" s="167" customFormat="1" ht="17" customHeight="1" x14ac:dyDescent="0.35">
      <c r="B107" s="209"/>
    </row>
    <row r="108" spans="2:62" ht="13.25" customHeight="1" x14ac:dyDescent="0.5">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row>
    <row r="109" spans="2:62" ht="16.25" customHeight="1" x14ac:dyDescent="0.35">
      <c r="B109" s="18"/>
      <c r="V109" s="3"/>
    </row>
    <row r="110" spans="2:62" ht="23" customHeight="1" x14ac:dyDescent="0.5">
      <c r="B110" s="50" t="s">
        <v>62</v>
      </c>
      <c r="C110" s="49"/>
      <c r="D110" s="49"/>
      <c r="V110" s="3"/>
    </row>
    <row r="111" spans="2:62" ht="17" customHeight="1" x14ac:dyDescent="0.35">
      <c r="B111"/>
      <c r="C111"/>
      <c r="D111"/>
      <c r="E111"/>
      <c r="F111"/>
      <c r="G111"/>
      <c r="H111"/>
      <c r="V111" s="3"/>
    </row>
    <row r="112" spans="2:62" ht="17" customHeight="1" x14ac:dyDescent="0.35">
      <c r="B112" s="32"/>
      <c r="C112" s="6">
        <f t="shared" ref="C112:G114" si="9">+C72</f>
        <v>45657</v>
      </c>
      <c r="D112" s="6">
        <f t="shared" si="9"/>
        <v>45747</v>
      </c>
      <c r="E112" s="6">
        <f t="shared" si="9"/>
        <v>45930</v>
      </c>
      <c r="F112" s="6">
        <f t="shared" si="9"/>
        <v>46295</v>
      </c>
      <c r="G112" s="6">
        <f t="shared" si="9"/>
        <v>47391</v>
      </c>
      <c r="H112"/>
      <c r="V112" s="3"/>
    </row>
    <row r="113" spans="2:62" ht="17" customHeight="1" x14ac:dyDescent="0.35">
      <c r="B113" s="11" t="str">
        <f>+B73</f>
        <v>Cashflows</v>
      </c>
      <c r="C113" s="13">
        <f>+C73</f>
        <v>200</v>
      </c>
      <c r="D113" s="13">
        <f>+D73</f>
        <v>325.76037848439006</v>
      </c>
      <c r="E113" s="13">
        <f t="shared" si="9"/>
        <v>1767.0913137816462</v>
      </c>
      <c r="F113" s="13">
        <f t="shared" si="9"/>
        <v>13390.971297103843</v>
      </c>
      <c r="G113" s="13">
        <f t="shared" si="9"/>
        <v>918.2244967323212</v>
      </c>
      <c r="H113"/>
      <c r="V113" s="3"/>
    </row>
    <row r="114" spans="2:62" ht="17" customHeight="1" x14ac:dyDescent="0.35">
      <c r="B114" s="11" t="s">
        <v>63</v>
      </c>
      <c r="C114" s="13">
        <f t="shared" si="9"/>
        <v>0.99196890991489062</v>
      </c>
      <c r="D114" s="13">
        <f t="shared" si="9"/>
        <v>0.98542168679597841</v>
      </c>
      <c r="E114" s="13">
        <f t="shared" si="9"/>
        <v>0.97491276283764494</v>
      </c>
      <c r="F114" s="13">
        <f t="shared" si="9"/>
        <v>0.95695925135698234</v>
      </c>
      <c r="G114" s="13">
        <f t="shared" si="9"/>
        <v>0.88916607490362942</v>
      </c>
      <c r="H114"/>
      <c r="V114" s="3"/>
    </row>
    <row r="115" spans="2:62" ht="17" customHeight="1" x14ac:dyDescent="0.35">
      <c r="B115" s="11"/>
      <c r="C115" s="11"/>
      <c r="D115" s="11"/>
      <c r="E115" s="11"/>
      <c r="F115" s="11"/>
      <c r="G115" s="11"/>
      <c r="H115"/>
      <c r="V115" s="3"/>
    </row>
    <row r="116" spans="2:62" ht="17" customHeight="1" x14ac:dyDescent="0.35">
      <c r="B116" s="11" t="s">
        <v>64</v>
      </c>
      <c r="C116" s="13">
        <f>+C114*C113</f>
        <v>198.39378198297811</v>
      </c>
      <c r="D116" s="13">
        <f>+D114*D113</f>
        <v>321.01134165738398</v>
      </c>
      <c r="E116" s="13">
        <f>+E114*E113</f>
        <v>1722.7598749052686</v>
      </c>
      <c r="F116" s="13">
        <f>+F114*F113</f>
        <v>12814.613867419332</v>
      </c>
      <c r="G116" s="13">
        <f>+G114*G113</f>
        <v>816.4540716398385</v>
      </c>
      <c r="H116"/>
      <c r="V116" s="3"/>
    </row>
    <row r="117" spans="2:62" ht="17" customHeight="1" x14ac:dyDescent="0.35">
      <c r="B117" s="11"/>
      <c r="C117" s="13"/>
      <c r="D117" s="13"/>
      <c r="E117" s="13"/>
      <c r="F117" s="13"/>
      <c r="G117" s="13">
        <f>+SUM(C116:G116)</f>
        <v>15873.232937604802</v>
      </c>
      <c r="H117"/>
      <c r="I117" s="13"/>
      <c r="V117" s="3"/>
    </row>
    <row r="118" spans="2:62" ht="20" customHeight="1" x14ac:dyDescent="0.35">
      <c r="B118"/>
      <c r="H118"/>
      <c r="I118"/>
      <c r="J118"/>
      <c r="K118"/>
      <c r="L118"/>
      <c r="M118"/>
      <c r="N118"/>
      <c r="P118"/>
      <c r="Q118"/>
      <c r="R118"/>
      <c r="S118"/>
      <c r="T118"/>
      <c r="U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row>
    <row r="119" spans="2:62" ht="18" customHeight="1" x14ac:dyDescent="0.35">
      <c r="B119" s="4" t="s">
        <v>5</v>
      </c>
      <c r="C119" s="59">
        <v>0.95</v>
      </c>
      <c r="D119" s="60">
        <v>0.99</v>
      </c>
      <c r="E119"/>
      <c r="F119"/>
      <c r="G119"/>
      <c r="H119"/>
      <c r="I119"/>
      <c r="J119"/>
      <c r="K119"/>
      <c r="L119"/>
      <c r="M119"/>
      <c r="N119" s="71" t="s">
        <v>50</v>
      </c>
      <c r="O119" s="71"/>
      <c r="P119" s="71"/>
      <c r="Q119" s="74">
        <f>+SUM(Q129:Q389)-1</f>
        <v>0</v>
      </c>
      <c r="R119" s="74"/>
      <c r="S119" s="74"/>
      <c r="T119" s="74"/>
      <c r="U119" s="74"/>
      <c r="V119" s="74"/>
      <c r="W119" s="74">
        <f>+SUM(W129:W389)-1</f>
        <v>0</v>
      </c>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row>
    <row r="120" spans="2:62" ht="18" customHeight="1" x14ac:dyDescent="0.4">
      <c r="B120" s="4" t="s">
        <v>113</v>
      </c>
      <c r="C120" s="142" cm="1">
        <f t="array" ref="C120">-(INDEX(_xlfn.ANCHORARRAY(V129),MATCH(TRUE,X129:X349&gt;=1-C119,0))-$C$123)</f>
        <v>29.429619720260199</v>
      </c>
      <c r="D120" s="143" cm="1">
        <f t="array" ref="D120">-(INDEX(_xlfn.ANCHORARRAY(V129),MATCH(TRUE,X129:X349&gt;=1-D119,0))-$C$123)</f>
        <v>48.799783477639686</v>
      </c>
      <c r="E120"/>
      <c r="G120"/>
      <c r="H120"/>
      <c r="I120"/>
      <c r="J120"/>
      <c r="K120"/>
      <c r="L120"/>
      <c r="M120"/>
      <c r="N120"/>
      <c r="P120"/>
      <c r="Q120"/>
      <c r="R120"/>
      <c r="S120"/>
      <c r="T120"/>
      <c r="U120"/>
      <c r="W120" s="72"/>
      <c r="X120" s="72"/>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row>
    <row r="121" spans="2:62" s="49" customFormat="1" ht="18" customHeight="1" x14ac:dyDescent="0.5">
      <c r="B121" s="4" t="s">
        <v>66</v>
      </c>
      <c r="C121" s="61">
        <f>+_xlfn.LET(_xlpm.x_1,V134,_xlpm.x_2,V135,_xlpm.alfa_1,X134,_xlpm.alfa_2,X135,_xlpm.p,(1-C119),_xlpm.mu,C123,(-1)*(_xlpm.x_1*(_xlpm.alfa_2-_xlpm.p)/(_xlpm.alfa_2-_xlpm.alfa_1)+_xlpm.x_2*(_xlpm.p-_xlpm.alfa_1)/(_xlpm.alfa_2-_xlpm.alfa_1)-_xlpm.mu))</f>
        <v>30.921568304331885</v>
      </c>
      <c r="D121" s="62">
        <f>+_xlfn.LET(_xlpm.x_1,V129,_xlpm.x_2,V130,_xlpm.alfa_1,X129,_xlpm.alfa_2,X130,_xlpm.p,(1-D119),_xlpm.mu,C123,(-1)*(_xlpm.x_1*(_xlpm.alfa_2-_xlpm.p)/(_xlpm.alfa_2-_xlpm.alfa_1)+_xlpm.x_2*(_xlpm.p-_xlpm.alfa_1)/(_xlpm.alfa_2-_xlpm.alfa_1)-_xlpm.mu))</f>
        <v>54.831298607234885</v>
      </c>
      <c r="E121" s="11"/>
      <c r="F121"/>
      <c r="G121"/>
      <c r="H121" s="20"/>
      <c r="I121" s="14"/>
      <c r="J121" s="14"/>
      <c r="K121" s="14"/>
      <c r="L121" s="14"/>
      <c r="M121" s="14"/>
      <c r="N121"/>
      <c r="O121" s="14"/>
      <c r="P121"/>
      <c r="Q121"/>
      <c r="R121"/>
      <c r="S121"/>
      <c r="T121"/>
      <c r="U121"/>
      <c r="V121"/>
      <c r="W121"/>
      <c r="X121"/>
      <c r="Y121" s="14"/>
      <c r="Z121"/>
      <c r="AA121"/>
      <c r="AB121"/>
      <c r="AC121"/>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row>
    <row r="122" spans="2:62" s="49" customFormat="1" ht="18" customHeight="1" x14ac:dyDescent="0.5">
      <c r="B122" s="4"/>
      <c r="C122" s="145"/>
      <c r="D122" s="145"/>
      <c r="E122" s="11"/>
      <c r="F122"/>
      <c r="G122"/>
      <c r="H122" s="20"/>
      <c r="I122" s="14"/>
      <c r="J122" s="14"/>
      <c r="K122" s="14"/>
      <c r="L122" s="14"/>
      <c r="M122" s="14"/>
      <c r="N122"/>
      <c r="O122" s="14"/>
      <c r="P122"/>
      <c r="Q122"/>
      <c r="R122"/>
      <c r="S122"/>
      <c r="T122"/>
      <c r="U122"/>
      <c r="V122"/>
      <c r="W122"/>
      <c r="X122"/>
      <c r="Y122" s="14"/>
      <c r="Z122"/>
      <c r="AA122"/>
      <c r="AB122"/>
      <c r="AC122"/>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row>
    <row r="123" spans="2:62" s="49" customFormat="1" ht="18" customHeight="1" x14ac:dyDescent="0.5">
      <c r="B123" s="4" t="s">
        <v>67</v>
      </c>
      <c r="C123" s="159">
        <f>+SUMPRODUCT(O129:O180,Q129:Q180)</f>
        <v>11.59931550543657</v>
      </c>
      <c r="D123" s="145"/>
      <c r="E123" s="11"/>
      <c r="F123"/>
      <c r="G123"/>
      <c r="H123" s="20"/>
      <c r="I123" s="14"/>
      <c r="J123" s="14"/>
      <c r="K123" s="14"/>
      <c r="L123" s="14"/>
      <c r="M123" s="14"/>
      <c r="N123"/>
      <c r="O123" s="14"/>
      <c r="P123"/>
      <c r="Q123"/>
      <c r="R123"/>
      <c r="S123"/>
      <c r="T123"/>
      <c r="U123"/>
      <c r="V123"/>
      <c r="W123"/>
      <c r="X123"/>
      <c r="Y123" s="14"/>
      <c r="Z123"/>
      <c r="AA123"/>
      <c r="AB123"/>
      <c r="AC123"/>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row>
    <row r="124" spans="2:62" s="49" customFormat="1" ht="18" customHeight="1" x14ac:dyDescent="0.5">
      <c r="B124" s="4" t="s">
        <v>68</v>
      </c>
      <c r="C124" s="199">
        <f>+SUMPRODUCT(Q129:Q180,R129:R180)</f>
        <v>435.18867959030899</v>
      </c>
      <c r="D124" s="145"/>
      <c r="E124" s="11"/>
      <c r="F124"/>
      <c r="G124"/>
      <c r="H124" s="20"/>
      <c r="I124" s="14"/>
      <c r="J124" s="14"/>
      <c r="K124" s="14"/>
      <c r="L124" s="14"/>
      <c r="M124" s="14"/>
      <c r="N124"/>
      <c r="O124" s="14"/>
      <c r="P124"/>
      <c r="Q124"/>
      <c r="R124"/>
      <c r="S124"/>
      <c r="T124"/>
      <c r="U124"/>
      <c r="V124"/>
      <c r="W124"/>
      <c r="X124"/>
      <c r="Y124" s="14"/>
      <c r="Z124"/>
      <c r="AA124"/>
      <c r="AB124"/>
      <c r="AC12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row>
    <row r="125" spans="2:62" s="49" customFormat="1" ht="18" customHeight="1" x14ac:dyDescent="0.5">
      <c r="B125" s="4" t="s">
        <v>69</v>
      </c>
      <c r="C125" s="160">
        <f>+(SUMPRODUCT(Q129:Q180,S129:S180)/(C124^(3/2))-3)</f>
        <v>-2.8329517526018217</v>
      </c>
      <c r="D125" s="145"/>
      <c r="E125" s="11"/>
      <c r="F125"/>
      <c r="G125"/>
      <c r="H125" s="20"/>
      <c r="I125" s="14"/>
      <c r="J125" s="14"/>
      <c r="K125" s="14"/>
      <c r="L125" s="14"/>
      <c r="M125" s="14"/>
      <c r="N125"/>
      <c r="O125" s="14"/>
      <c r="P125"/>
      <c r="Q125"/>
      <c r="R125"/>
      <c r="S125"/>
      <c r="T125"/>
      <c r="U125"/>
      <c r="V125"/>
      <c r="W125"/>
      <c r="X125"/>
      <c r="Y125" s="14"/>
      <c r="Z125"/>
      <c r="AA125"/>
      <c r="AB125"/>
      <c r="AC125"/>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row>
    <row r="126" spans="2:62" ht="17" customHeight="1" x14ac:dyDescent="0.35">
      <c r="B126" s="4" t="s">
        <v>70</v>
      </c>
      <c r="C126" s="161">
        <f>+(SUMPRODUCT(Q129:Q180,T129:T180)/(C124^2))-3</f>
        <v>-0.43616851981700622</v>
      </c>
      <c r="D126" s="11"/>
      <c r="E126" s="11"/>
      <c r="F126" s="11"/>
      <c r="G126" s="11"/>
      <c r="H126" s="20"/>
      <c r="I126" s="14"/>
      <c r="J126" s="14"/>
      <c r="K126" s="14"/>
      <c r="L126" s="14"/>
      <c r="M126" s="14"/>
      <c r="N126"/>
      <c r="O126" s="14"/>
      <c r="P126"/>
      <c r="Q126"/>
      <c r="R126"/>
      <c r="S126"/>
      <c r="T126"/>
      <c r="U126"/>
      <c r="W126"/>
      <c r="X126"/>
      <c r="Y126" s="14"/>
      <c r="Z126"/>
      <c r="AA126"/>
      <c r="AB126"/>
      <c r="AC126"/>
      <c r="AD126" s="14"/>
      <c r="AE126" s="14"/>
      <c r="AF126" s="14"/>
      <c r="AG126" s="14"/>
      <c r="AH126" s="14"/>
      <c r="AI126" s="14"/>
      <c r="AJ126" s="14"/>
      <c r="AK126" s="14"/>
      <c r="AL126" s="14"/>
      <c r="AM126" s="14"/>
      <c r="AN126" s="14"/>
      <c r="AO126" s="14"/>
      <c r="AP126" s="14"/>
      <c r="AQ126" s="14"/>
      <c r="AR126" s="14"/>
      <c r="AS126" s="14"/>
      <c r="AT126" s="14"/>
      <c r="AU126" s="169" t="s">
        <v>72</v>
      </c>
      <c r="AV126" s="170"/>
      <c r="AW126" s="170"/>
      <c r="AX126" s="170"/>
      <c r="AY126" s="14"/>
      <c r="AZ126" s="14"/>
      <c r="BA126" s="14"/>
      <c r="BB126" s="14"/>
      <c r="BC126" s="14"/>
      <c r="BD126" s="14"/>
      <c r="BE126" s="14"/>
      <c r="BF126" s="14"/>
      <c r="BG126" s="14"/>
      <c r="BH126" s="14"/>
      <c r="BI126" s="14"/>
      <c r="BJ126" s="14"/>
    </row>
    <row r="127" spans="2:62" ht="17" customHeight="1" x14ac:dyDescent="0.35">
      <c r="B127" s="14"/>
      <c r="C127" s="11"/>
      <c r="D127" s="11"/>
      <c r="E127" s="11"/>
      <c r="F127" s="11"/>
      <c r="G127" s="11"/>
      <c r="H127" s="20"/>
      <c r="I127" s="14"/>
      <c r="J127" s="14"/>
      <c r="K127" s="14"/>
      <c r="L127" s="14"/>
      <c r="M127" s="14"/>
      <c r="N127"/>
      <c r="O127"/>
      <c r="P127"/>
      <c r="Q127"/>
      <c r="R127"/>
      <c r="S127"/>
      <c r="T127"/>
      <c r="U127"/>
      <c r="W127"/>
      <c r="X127" s="14"/>
      <c r="Y127" s="8"/>
      <c r="Z127" s="107" t="s">
        <v>71</v>
      </c>
      <c r="AA127" s="107"/>
      <c r="AB127" s="107"/>
      <c r="AC127"/>
      <c r="AD127" s="14"/>
      <c r="AE127" s="14"/>
      <c r="AF127" s="14"/>
      <c r="AG127" s="14"/>
      <c r="AH127" s="14"/>
      <c r="AI127" s="14"/>
      <c r="AJ127" s="14"/>
      <c r="AK127" s="14"/>
      <c r="AL127" s="14"/>
      <c r="AM127" s="14"/>
      <c r="AN127" s="14"/>
      <c r="AO127" s="14"/>
      <c r="AP127" s="14"/>
      <c r="AQ127" s="14"/>
      <c r="AR127" s="14"/>
      <c r="AS127" s="14"/>
      <c r="AT127" s="14"/>
      <c r="AU127" s="107" t="s">
        <v>102</v>
      </c>
      <c r="AV127" s="107"/>
      <c r="AW127" s="107" t="s">
        <v>108</v>
      </c>
      <c r="AX127" s="107"/>
      <c r="AY127" s="14"/>
      <c r="AZ127" s="14"/>
      <c r="BA127" s="14"/>
      <c r="BB127" s="14"/>
      <c r="BC127" s="14"/>
      <c r="BD127" s="14"/>
      <c r="BE127" s="14"/>
      <c r="BF127" s="14"/>
      <c r="BG127" s="14"/>
      <c r="BH127" s="14"/>
      <c r="BI127" s="14"/>
      <c r="BJ127" s="14"/>
    </row>
    <row r="128" spans="2:62" ht="17" customHeight="1" x14ac:dyDescent="0.35">
      <c r="B128" s="66" t="s">
        <v>73</v>
      </c>
      <c r="C128" s="63">
        <f>+SUMPRODUCT(Q129:Q323,R129:R323)</f>
        <v>435.18867959030899</v>
      </c>
      <c r="D128" s="70" t="s">
        <v>74</v>
      </c>
      <c r="E128" s="70" t="s">
        <v>75</v>
      </c>
      <c r="F128" s="70" t="s">
        <v>76</v>
      </c>
      <c r="G128" s="70" t="s">
        <v>77</v>
      </c>
      <c r="H128" s="70" t="s">
        <v>78</v>
      </c>
      <c r="I128" s="64" t="s">
        <v>79</v>
      </c>
      <c r="J128" s="64" t="s">
        <v>80</v>
      </c>
      <c r="K128" s="64" t="s">
        <v>81</v>
      </c>
      <c r="L128" s="64" t="s">
        <v>82</v>
      </c>
      <c r="M128" s="64" t="s">
        <v>83</v>
      </c>
      <c r="N128" s="70" t="s">
        <v>84</v>
      </c>
      <c r="O128" s="70" t="s">
        <v>85</v>
      </c>
      <c r="P128" s="70" t="s">
        <v>86</v>
      </c>
      <c r="Q128" s="94" t="s">
        <v>98</v>
      </c>
      <c r="R128" s="94" t="s">
        <v>88</v>
      </c>
      <c r="S128" s="94" t="s">
        <v>89</v>
      </c>
      <c r="T128" s="94" t="s">
        <v>90</v>
      </c>
      <c r="V128" s="94" t="s">
        <v>91</v>
      </c>
      <c r="W128" s="94" t="s">
        <v>87</v>
      </c>
      <c r="X128" s="94" t="s">
        <v>99</v>
      </c>
      <c r="Z128" s="94" t="s">
        <v>93</v>
      </c>
      <c r="AA128" s="94" t="s">
        <v>94</v>
      </c>
      <c r="AB128" s="94" t="s">
        <v>87</v>
      </c>
      <c r="AC128"/>
      <c r="AE128" s="164" t="s">
        <v>95</v>
      </c>
      <c r="AF128" s="164"/>
      <c r="AG128" s="164"/>
      <c r="AH128" s="164"/>
      <c r="AI128" s="164"/>
      <c r="AJ128" s="164"/>
      <c r="AK128" s="164"/>
      <c r="AL128" s="164"/>
      <c r="AM128" s="164"/>
      <c r="AN128" s="164"/>
      <c r="AO128" s="164"/>
      <c r="AP128" s="164"/>
      <c r="AQ128" s="164"/>
      <c r="AR128" s="164"/>
      <c r="AU128" s="94" t="s">
        <v>96</v>
      </c>
      <c r="AV128" s="94" t="s">
        <v>97</v>
      </c>
      <c r="AW128" s="168" t="s">
        <v>96</v>
      </c>
      <c r="AX128" s="168" t="s">
        <v>97</v>
      </c>
    </row>
    <row r="129" spans="2:62" ht="20" customHeight="1" x14ac:dyDescent="0.35">
      <c r="B129" s="146">
        <f t="shared" ref="B129:B137" si="10">+B130+1</f>
        <v>51</v>
      </c>
      <c r="C129" s="147">
        <f>+'ZCB rates'!B201</f>
        <v>45208</v>
      </c>
      <c r="D129" s="148">
        <f>+'ZCB rates'!M201</f>
        <v>-6.3799999999971735E-5</v>
      </c>
      <c r="E129" s="149">
        <f>+'ZCB rates'!N201</f>
        <v>9.8378999999923375E-5</v>
      </c>
      <c r="F129" s="149">
        <f>+'ZCB rates'!O201</f>
        <v>4.7493800000001024E-4</v>
      </c>
      <c r="G129" s="149">
        <f>+'ZCB rates'!P201</f>
        <v>1.024112000000077E-3</v>
      </c>
      <c r="H129" s="150">
        <f>+'ZCB rates'!Q201</f>
        <v>4.399319999999934E-3</v>
      </c>
      <c r="I129" s="151">
        <f t="shared" ref="I129:I160" si="11">+C$114*EXP(D129)</f>
        <v>0.99190562431727014</v>
      </c>
      <c r="J129" s="151">
        <f t="shared" ref="J129:J160" si="12">+D$114*EXP(E129)</f>
        <v>0.98551863636492631</v>
      </c>
      <c r="K129" s="151">
        <f t="shared" ref="K129:K160" si="13">+E$114*EXP(F129)</f>
        <v>0.97537589592644736</v>
      </c>
      <c r="L129" s="151">
        <f t="shared" ref="L129:L160" si="14">+F$114*EXP(G129)</f>
        <v>0.95793978681317249</v>
      </c>
      <c r="M129" s="151">
        <f t="shared" ref="M129:M160" si="15">+G$114*EXP(H129)</f>
        <v>0.89308641809952516</v>
      </c>
      <c r="N129" s="152">
        <f t="shared" ref="N129:N153" si="16">+SUMPRODUCT(I129:M129,$C$113:$G$113)</f>
        <v>15890.800338579602</v>
      </c>
      <c r="O129" s="153">
        <f t="shared" ref="O129:O153" si="17">+N129-$G$117</f>
        <v>17.567400974799966</v>
      </c>
      <c r="P129" s="154">
        <f t="shared" ref="P129:P159" si="18">+Lambda^B129</f>
        <v>4.2610882967085394E-2</v>
      </c>
      <c r="Q129" s="155">
        <f t="shared" ref="Q129:Q159" si="19">+P129/$P$378</f>
        <v>2.6633306358503864E-3</v>
      </c>
      <c r="R129" s="158">
        <f>+($O129-$C$123)^2</f>
        <v>35.618044169626515</v>
      </c>
      <c r="S129" s="158">
        <f t="shared" ref="S129:S160" si="20">+($O129-$C$123)^3</f>
        <v>212.57153185589164</v>
      </c>
      <c r="T129" s="158">
        <f t="shared" ref="T129:T160" si="21">+($O129-$C$123)^4</f>
        <v>1268.6450704694653</v>
      </c>
      <c r="U129" s="165"/>
      <c r="V129" s="77" cm="1">
        <f t="array" ref="V129:V180">+_xlfn._xlws.SORT(O129:O180)</f>
        <v>-47.67840928507394</v>
      </c>
      <c r="W129" s="19">
        <f t="shared" ref="W129:W160" si="22">+_xlfn.XLOOKUP(V129,$O$129:$O$180,$Q$129:$Q$180)</f>
        <v>7.6252058701651131E-3</v>
      </c>
      <c r="X129" s="22">
        <f>+SUM($W$129:W129)</f>
        <v>7.6252058701651131E-3</v>
      </c>
      <c r="Z129" s="8">
        <f t="shared" ref="Z129:Z140" si="23">+Z130-$Z$141/2.5</f>
        <v>-80.793378977769407</v>
      </c>
      <c r="AA129" s="8"/>
      <c r="AB129" s="46"/>
      <c r="AC129"/>
      <c r="AU129" s="106">
        <f t="shared" ref="AU129:AU148" si="24">+NORMDIST($Z129,0,SQRT($C$103),TRUE)</f>
        <v>7.2348043925119787E-5</v>
      </c>
      <c r="AW129" s="106">
        <f t="shared" ref="AW129:AW148" si="25">+NORMDIST($Z129,0,SQRT($L$103),TRUE)</f>
        <v>3.7452998589504233E-4</v>
      </c>
    </row>
    <row r="130" spans="2:62" ht="20" customHeight="1" x14ac:dyDescent="0.35">
      <c r="B130" s="146">
        <f t="shared" si="10"/>
        <v>50</v>
      </c>
      <c r="C130" s="147">
        <f>+'ZCB rates'!B202</f>
        <v>45215</v>
      </c>
      <c r="D130" s="148">
        <f>+'ZCB rates'!M202</f>
        <v>4.0046000000005837E-5</v>
      </c>
      <c r="E130" s="149">
        <f>+'ZCB rates'!N202</f>
        <v>-4.6793999999980193E-5</v>
      </c>
      <c r="F130" s="149">
        <f>+'ZCB rates'!O202</f>
        <v>-4.4230199999993435E-4</v>
      </c>
      <c r="G130" s="149">
        <f>+'ZCB rates'!P202</f>
        <v>-1.4589279999999772E-3</v>
      </c>
      <c r="H130" s="150">
        <f>+'ZCB rates'!Q202</f>
        <v>-4.3072700000000574E-3</v>
      </c>
      <c r="I130" s="151">
        <f t="shared" si="11"/>
        <v>0.99200863509726911</v>
      </c>
      <c r="J130" s="151">
        <f t="shared" si="12"/>
        <v>0.98537557605242798</v>
      </c>
      <c r="K130" s="151">
        <f t="shared" si="13"/>
        <v>0.97448165232036665</v>
      </c>
      <c r="L130" s="151">
        <f t="shared" si="14"/>
        <v>0.95556413464519108</v>
      </c>
      <c r="M130" s="151">
        <f t="shared" si="15"/>
        <v>0.88534443287465014</v>
      </c>
      <c r="N130" s="152">
        <f t="shared" si="16"/>
        <v>15850.272956765188</v>
      </c>
      <c r="O130" s="153">
        <f t="shared" si="17"/>
        <v>-22.959980839614218</v>
      </c>
      <c r="P130" s="154">
        <f t="shared" si="18"/>
        <v>4.5330726560729152E-2</v>
      </c>
      <c r="Q130" s="155">
        <f t="shared" si="19"/>
        <v>2.8333304636706243E-3</v>
      </c>
      <c r="R130" s="158">
        <f t="shared" ref="R130:R160" si="26">+($O130-$C$123)^2</f>
        <v>1194.3449638650409</v>
      </c>
      <c r="S130" s="158">
        <f t="shared" si="20"/>
        <v>-41275.721544430926</v>
      </c>
      <c r="T130" s="158">
        <f t="shared" si="21"/>
        <v>1426459.8927097858</v>
      </c>
      <c r="U130" s="165"/>
      <c r="V130" s="77">
        <v>-37.200467972203114</v>
      </c>
      <c r="W130" s="19">
        <f t="shared" si="22"/>
        <v>5.5961692597422674E-3</v>
      </c>
      <c r="X130" s="22">
        <f>+SUM($W$129:W130)</f>
        <v>1.322137512990738E-2</v>
      </c>
      <c r="Z130" s="8">
        <f t="shared" si="23"/>
        <v>-72.28881276958316</v>
      </c>
      <c r="AA130" s="8">
        <f t="shared" ref="AA130:AA148" si="27">+AVERAGE(Z129:Z130)</f>
        <v>-76.541095873676284</v>
      </c>
      <c r="AB130" s="46">
        <f t="shared" ref="AB130:AB148" si="28">SUMIFS($W$129:$W$376,$V$129:$V$376,"&gt;="&amp;Z129,$V$129:$V$376,"&lt;"&amp;Z130)</f>
        <v>0</v>
      </c>
      <c r="AC130"/>
      <c r="AU130" s="106">
        <f t="shared" si="24"/>
        <v>3.3692926567687983E-4</v>
      </c>
      <c r="AV130" s="105">
        <f t="shared" ref="AV130:AV148" si="29">+AU130-AU129</f>
        <v>2.6458122175176003E-4</v>
      </c>
      <c r="AW130" s="106">
        <f t="shared" si="25"/>
        <v>1.2801404443329694E-3</v>
      </c>
      <c r="AX130" s="105">
        <f t="shared" ref="AX130:AX148" si="30">+AW130-AW129</f>
        <v>9.056104584379271E-4</v>
      </c>
    </row>
    <row r="131" spans="2:62" ht="20" customHeight="1" x14ac:dyDescent="0.35">
      <c r="B131" s="146">
        <f t="shared" si="10"/>
        <v>49</v>
      </c>
      <c r="C131" s="147">
        <f>+'ZCB rates'!B203</f>
        <v>45222</v>
      </c>
      <c r="D131" s="148">
        <f>+'ZCB rates'!M203</f>
        <v>-8.8548500000026849E-5</v>
      </c>
      <c r="E131" s="149">
        <f>+'ZCB rates'!N203</f>
        <v>7.3673000000027211E-5</v>
      </c>
      <c r="F131" s="149">
        <f>+'ZCB rates'!O203</f>
        <v>6.3129600000011974E-4</v>
      </c>
      <c r="G131" s="149">
        <f>+'ZCB rates'!P203</f>
        <v>1.4366200000000811E-3</v>
      </c>
      <c r="H131" s="150">
        <f>+'ZCB rates'!Q203</f>
        <v>1.5716399999999918E-3</v>
      </c>
      <c r="I131" s="151">
        <f t="shared" si="11"/>
        <v>0.99188107644468937</v>
      </c>
      <c r="J131" s="151">
        <f t="shared" si="12"/>
        <v>0.9854942884422675</v>
      </c>
      <c r="K131" s="151">
        <f t="shared" si="13"/>
        <v>0.97552841567431337</v>
      </c>
      <c r="L131" s="151">
        <f t="shared" si="14"/>
        <v>0.95833502615284138</v>
      </c>
      <c r="M131" s="151">
        <f t="shared" si="15"/>
        <v>0.89056462259246194</v>
      </c>
      <c r="N131" s="152">
        <f t="shared" si="16"/>
        <v>15894.034077980878</v>
      </c>
      <c r="O131" s="153">
        <f t="shared" si="17"/>
        <v>20.801140376075637</v>
      </c>
      <c r="P131" s="154">
        <f t="shared" si="18"/>
        <v>4.8224177192265058E-2</v>
      </c>
      <c r="Q131" s="155">
        <f t="shared" si="19"/>
        <v>3.0141813443304516E-3</v>
      </c>
      <c r="R131" s="158">
        <f t="shared" si="26"/>
        <v>84.673580949911681</v>
      </c>
      <c r="S131" s="158">
        <f t="shared" si="20"/>
        <v>779.15146307096757</v>
      </c>
      <c r="T131" s="158">
        <f t="shared" si="21"/>
        <v>7169.6153108812459</v>
      </c>
      <c r="U131" s="165"/>
      <c r="V131" s="77">
        <v>-25.975963413102363</v>
      </c>
      <c r="W131" s="19">
        <f t="shared" si="22"/>
        <v>8.1119211384735254E-3</v>
      </c>
      <c r="X131" s="22">
        <f>+SUM($W$129:W131)</f>
        <v>2.1333296268380906E-2</v>
      </c>
      <c r="Z131" s="8">
        <f t="shared" si="23"/>
        <v>-63.784246561396905</v>
      </c>
      <c r="AA131" s="8">
        <f t="shared" si="27"/>
        <v>-68.036529665490036</v>
      </c>
      <c r="AB131" s="46">
        <f t="shared" si="28"/>
        <v>0</v>
      </c>
      <c r="AC131"/>
      <c r="AU131" s="106">
        <f t="shared" si="24"/>
        <v>1.3498980316300933E-3</v>
      </c>
      <c r="AV131" s="105">
        <f t="shared" si="29"/>
        <v>1.0129687659532136E-3</v>
      </c>
      <c r="AW131" s="106">
        <f t="shared" si="25"/>
        <v>3.892136272198486E-3</v>
      </c>
      <c r="AX131" s="105">
        <f t="shared" si="30"/>
        <v>2.6119958278655164E-3</v>
      </c>
    </row>
    <row r="132" spans="2:62" ht="20" customHeight="1" x14ac:dyDescent="0.35">
      <c r="B132" s="146">
        <f t="shared" si="10"/>
        <v>48</v>
      </c>
      <c r="C132" s="147">
        <f>+'ZCB rates'!B204</f>
        <v>45229</v>
      </c>
      <c r="D132" s="148">
        <f>+'ZCB rates'!M204</f>
        <v>-9.9949999998978817E-6</v>
      </c>
      <c r="E132" s="149">
        <f>+'ZCB rates'!N204</f>
        <v>2.1358849999980449E-4</v>
      </c>
      <c r="F132" s="149">
        <f>+'ZCB rates'!O204</f>
        <v>9.5639499999984005E-4</v>
      </c>
      <c r="G132" s="149">
        <f>+'ZCB rates'!P204</f>
        <v>2.547300999999955E-3</v>
      </c>
      <c r="H132" s="150">
        <f>+'ZCB rates'!Q204</f>
        <v>6.5319975000000087E-3</v>
      </c>
      <c r="I132" s="151">
        <f t="shared" si="11"/>
        <v>0.99195899523518483</v>
      </c>
      <c r="J132" s="151">
        <f t="shared" si="12"/>
        <v>0.98563218401502084</v>
      </c>
      <c r="K132" s="151">
        <f t="shared" si="13"/>
        <v>0.97584561054379426</v>
      </c>
      <c r="L132" s="151">
        <f t="shared" si="14"/>
        <v>0.95940002198385832</v>
      </c>
      <c r="M132" s="151">
        <f t="shared" si="15"/>
        <v>0.89499311587199282</v>
      </c>
      <c r="N132" s="152">
        <f t="shared" si="16"/>
        <v>15912.982774569147</v>
      </c>
      <c r="O132" s="153">
        <f t="shared" si="17"/>
        <v>39.749836964345377</v>
      </c>
      <c r="P132" s="154">
        <f t="shared" si="18"/>
        <v>5.13023161619841E-2</v>
      </c>
      <c r="Q132" s="155">
        <f t="shared" si="19"/>
        <v>3.2065758982238843E-3</v>
      </c>
      <c r="R132" s="158">
        <f t="shared" si="26"/>
        <v>792.45185840848512</v>
      </c>
      <c r="S132" s="158">
        <f t="shared" si="20"/>
        <v>22307.933045280224</v>
      </c>
      <c r="T132" s="158">
        <f t="shared" si="21"/>
        <v>627979.94789506181</v>
      </c>
      <c r="U132" s="165"/>
      <c r="V132" s="77">
        <v>-22.959980839614218</v>
      </c>
      <c r="W132" s="19">
        <f t="shared" si="22"/>
        <v>2.8333304636706243E-3</v>
      </c>
      <c r="X132" s="22">
        <f>+SUM($W$129:W132)</f>
        <v>2.4166626732051531E-2</v>
      </c>
      <c r="Z132" s="8">
        <f t="shared" si="23"/>
        <v>-55.279680353210651</v>
      </c>
      <c r="AA132" s="8">
        <f t="shared" si="27"/>
        <v>-59.531963457303775</v>
      </c>
      <c r="AB132" s="46">
        <f t="shared" si="28"/>
        <v>0</v>
      </c>
      <c r="AC132"/>
      <c r="AU132" s="106">
        <f t="shared" si="24"/>
        <v>4.6611880237187476E-3</v>
      </c>
      <c r="AV132" s="105">
        <f t="shared" si="29"/>
        <v>3.3112899920886545E-3</v>
      </c>
      <c r="AW132" s="106">
        <f t="shared" si="25"/>
        <v>1.0542801582150898E-2</v>
      </c>
      <c r="AX132" s="105">
        <f t="shared" si="30"/>
        <v>6.6506653099524119E-3</v>
      </c>
    </row>
    <row r="133" spans="2:62" ht="20" customHeight="1" x14ac:dyDescent="0.35">
      <c r="B133" s="146">
        <f t="shared" si="10"/>
        <v>47</v>
      </c>
      <c r="C133" s="147">
        <f>+'ZCB rates'!B205</f>
        <v>45236</v>
      </c>
      <c r="D133" s="148">
        <f>+'ZCB rates'!M205</f>
        <v>2.5463999999955936E-5</v>
      </c>
      <c r="E133" s="149">
        <f>+'ZCB rates'!N205</f>
        <v>-1.1304999999166996E-6</v>
      </c>
      <c r="F133" s="149">
        <f>+'ZCB rates'!O205</f>
        <v>-8.7766999999960618E-5</v>
      </c>
      <c r="G133" s="149">
        <f>+'ZCB rates'!P205</f>
        <v>8.7709999999720661E-6</v>
      </c>
      <c r="H133" s="150">
        <f>+'ZCB rates'!Q205</f>
        <v>2.7716724999999687E-3</v>
      </c>
      <c r="I133" s="151">
        <f t="shared" si="11"/>
        <v>0.99199416973281929</v>
      </c>
      <c r="J133" s="151">
        <f t="shared" si="12"/>
        <v>0.98542057277739126</v>
      </c>
      <c r="K133" s="151">
        <f t="shared" si="13"/>
        <v>0.97482720142397827</v>
      </c>
      <c r="L133" s="151">
        <f t="shared" si="14"/>
        <v>0.9569676448833857</v>
      </c>
      <c r="M133" s="151">
        <f t="shared" si="15"/>
        <v>0.89163397058076432</v>
      </c>
      <c r="N133" s="152">
        <f t="shared" si="16"/>
        <v>15875.46491157166</v>
      </c>
      <c r="O133" s="153">
        <f t="shared" si="17"/>
        <v>2.231973966858277</v>
      </c>
      <c r="P133" s="154">
        <f t="shared" si="18"/>
        <v>5.4576932087217124E-2</v>
      </c>
      <c r="Q133" s="155">
        <f t="shared" si="19"/>
        <v>3.4112509555573236E-3</v>
      </c>
      <c r="R133" s="158">
        <f t="shared" si="26"/>
        <v>87.747087500374334</v>
      </c>
      <c r="S133" s="158">
        <f t="shared" si="20"/>
        <v>-821.95693763152065</v>
      </c>
      <c r="T133" s="158">
        <f t="shared" si="21"/>
        <v>7699.5513647983498</v>
      </c>
      <c r="U133" s="165"/>
      <c r="V133" s="77">
        <v>-22.753387404178284</v>
      </c>
      <c r="W133" s="19">
        <f t="shared" si="22"/>
        <v>5.9533715529173064E-3</v>
      </c>
      <c r="X133" s="22">
        <f>+SUM($W$129:W133)</f>
        <v>3.0119998284968835E-2</v>
      </c>
      <c r="Z133" s="8">
        <f t="shared" si="23"/>
        <v>-46.775114145024396</v>
      </c>
      <c r="AA133" s="8">
        <f t="shared" si="27"/>
        <v>-51.027397249117527</v>
      </c>
      <c r="AB133" s="46">
        <f t="shared" si="28"/>
        <v>7.6252058701651131E-3</v>
      </c>
      <c r="AC133"/>
      <c r="AU133" s="106">
        <f t="shared" si="24"/>
        <v>1.3903447513498597E-2</v>
      </c>
      <c r="AV133" s="105">
        <f t="shared" si="29"/>
        <v>9.2422594897798496E-3</v>
      </c>
      <c r="AW133" s="106">
        <f t="shared" si="25"/>
        <v>2.549226323880387E-2</v>
      </c>
      <c r="AX133" s="105">
        <f t="shared" si="30"/>
        <v>1.4949461656652972E-2</v>
      </c>
    </row>
    <row r="134" spans="2:62" ht="20" customHeight="1" x14ac:dyDescent="0.35">
      <c r="B134" s="146">
        <f t="shared" si="10"/>
        <v>46</v>
      </c>
      <c r="C134" s="147">
        <f>+'ZCB rates'!B206</f>
        <v>45243</v>
      </c>
      <c r="D134" s="148">
        <f>+'ZCB rates'!M206</f>
        <v>-5.2641000000000061E-5</v>
      </c>
      <c r="E134" s="149">
        <f>+'ZCB rates'!N206</f>
        <v>7.709200000004204E-5</v>
      </c>
      <c r="F134" s="149">
        <f>+'ZCB rates'!O206</f>
        <v>3.5280000000007211E-4</v>
      </c>
      <c r="G134" s="149">
        <f>+'ZCB rates'!P206</f>
        <v>6.7929200000010567E-4</v>
      </c>
      <c r="H134" s="150">
        <f>+'ZCB rates'!Q206</f>
        <v>3.5069200000000188E-3</v>
      </c>
      <c r="I134" s="151">
        <f t="shared" si="11"/>
        <v>0.99191669305388974</v>
      </c>
      <c r="J134" s="151">
        <f t="shared" si="12"/>
        <v>0.9854976578529997</v>
      </c>
      <c r="K134" s="151">
        <f t="shared" si="13"/>
        <v>0.97525677274015277</v>
      </c>
      <c r="L134" s="151">
        <f t="shared" si="14"/>
        <v>0.95760952695925727</v>
      </c>
      <c r="M134" s="151">
        <f t="shared" si="15"/>
        <v>0.89228978329133313</v>
      </c>
      <c r="N134" s="152">
        <f t="shared" si="16"/>
        <v>15885.431226990975</v>
      </c>
      <c r="O134" s="153">
        <f t="shared" si="17"/>
        <v>12.198289386173201</v>
      </c>
      <c r="P134" s="154">
        <f t="shared" si="18"/>
        <v>5.8060566050230994E-2</v>
      </c>
      <c r="Q134" s="155">
        <f t="shared" si="19"/>
        <v>3.6289903782524727E-3</v>
      </c>
      <c r="R134" s="158">
        <f t="shared" si="26"/>
        <v>0.35876970980470002</v>
      </c>
      <c r="S134" s="158">
        <f t="shared" si="20"/>
        <v>0.21489368537247616</v>
      </c>
      <c r="T134" s="158">
        <f t="shared" si="21"/>
        <v>0.12871570467334867</v>
      </c>
      <c r="U134" s="165"/>
      <c r="V134" s="77">
        <v>-21.180452384543969</v>
      </c>
      <c r="W134" s="19">
        <f t="shared" si="22"/>
        <v>9.1805354668102364E-3</v>
      </c>
      <c r="X134" s="22">
        <f>+SUM($W$129:W134)</f>
        <v>3.9300533751779068E-2</v>
      </c>
      <c r="Z134" s="8">
        <f t="shared" si="23"/>
        <v>-38.270547936838142</v>
      </c>
      <c r="AA134" s="8">
        <f t="shared" si="27"/>
        <v>-42.522831040931266</v>
      </c>
      <c r="AB134" s="46">
        <f t="shared" si="28"/>
        <v>0</v>
      </c>
      <c r="AC134"/>
      <c r="AU134" s="106">
        <f t="shared" si="24"/>
        <v>3.5930319112925789E-2</v>
      </c>
      <c r="AV134" s="105">
        <f t="shared" si="29"/>
        <v>2.2026871599427192E-2</v>
      </c>
      <c r="AW134" s="106">
        <f t="shared" si="25"/>
        <v>5.5158291099531256E-2</v>
      </c>
      <c r="AX134" s="105">
        <f t="shared" si="30"/>
        <v>2.9666027860727386E-2</v>
      </c>
    </row>
    <row r="135" spans="2:62" customFormat="1" ht="20" customHeight="1" x14ac:dyDescent="0.35">
      <c r="B135" s="146">
        <f t="shared" si="10"/>
        <v>45</v>
      </c>
      <c r="C135" s="147">
        <f>+'ZCB rates'!B207</f>
        <v>45250</v>
      </c>
      <c r="D135" s="148">
        <f>+'ZCB rates'!M207</f>
        <v>1.2330499999974901E-5</v>
      </c>
      <c r="E135" s="149">
        <f>+'ZCB rates'!N207</f>
        <v>5.9284999999967575E-5</v>
      </c>
      <c r="F135" s="149">
        <f>+'ZCB rates'!O207</f>
        <v>1.6340799999997686E-4</v>
      </c>
      <c r="G135" s="149">
        <f>+'ZCB rates'!P207</f>
        <v>3.5425599999994211E-4</v>
      </c>
      <c r="H135" s="150">
        <f>+'ZCB rates'!Q207</f>
        <v>1.921400000000024E-3</v>
      </c>
      <c r="I135" s="151">
        <f t="shared" si="11"/>
        <v>0.99198114146294469</v>
      </c>
      <c r="J135" s="151">
        <f t="shared" si="12"/>
        <v>0.98548010925245066</v>
      </c>
      <c r="K135" s="151">
        <f t="shared" si="13"/>
        <v>0.97507208439924908</v>
      </c>
      <c r="L135" s="151">
        <f t="shared" si="14"/>
        <v>0.95729831996852999</v>
      </c>
      <c r="M135" s="151">
        <f t="shared" si="15"/>
        <v>0.89087616095351263</v>
      </c>
      <c r="N135" s="152">
        <f t="shared" si="16"/>
        <v>15879.646652331057</v>
      </c>
      <c r="O135" s="153">
        <f t="shared" si="17"/>
        <v>6.4137147262554208</v>
      </c>
      <c r="P135" s="154">
        <f t="shared" si="18"/>
        <v>6.1766559627905303E-2</v>
      </c>
      <c r="Q135" s="155">
        <f t="shared" si="19"/>
        <v>3.8606280619707151E-3</v>
      </c>
      <c r="R135" s="158">
        <f t="shared" si="26"/>
        <v>26.890455441044139</v>
      </c>
      <c r="S135" s="158">
        <f t="shared" si="20"/>
        <v>-139.44316668761445</v>
      </c>
      <c r="T135" s="158">
        <f t="shared" si="21"/>
        <v>723.09659382678035</v>
      </c>
      <c r="U135" s="165"/>
      <c r="V135" s="77">
        <v>-17.830304214823627</v>
      </c>
      <c r="W135" s="19">
        <f t="shared" si="22"/>
        <v>1.9290068486345874E-2</v>
      </c>
      <c r="X135" s="22">
        <f>+SUM($W$129:W135)</f>
        <v>5.8590602238124942E-2</v>
      </c>
      <c r="Y135" s="3"/>
      <c r="Z135" s="8">
        <f t="shared" si="23"/>
        <v>-29.765981728651887</v>
      </c>
      <c r="AA135" s="8">
        <f t="shared" si="27"/>
        <v>-34.018264832745018</v>
      </c>
      <c r="AB135" s="46">
        <f t="shared" si="28"/>
        <v>5.5961692597422674E-3</v>
      </c>
      <c r="AD135" s="3"/>
      <c r="AE135" s="3"/>
      <c r="AF135" s="3"/>
      <c r="AG135" s="3"/>
      <c r="AH135" s="3"/>
      <c r="AI135" s="3"/>
      <c r="AJ135" s="3"/>
      <c r="AK135" s="3"/>
      <c r="AL135" s="3"/>
      <c r="AM135" s="3"/>
      <c r="AN135" s="3"/>
      <c r="AO135" s="3"/>
      <c r="AP135" s="3"/>
      <c r="AQ135" s="3"/>
      <c r="AR135" s="3"/>
      <c r="AS135" s="3"/>
      <c r="AT135" s="3"/>
      <c r="AU135" s="106">
        <f t="shared" si="24"/>
        <v>8.0756659233771025E-2</v>
      </c>
      <c r="AV135" s="105">
        <f t="shared" si="29"/>
        <v>4.4826340120845236E-2</v>
      </c>
      <c r="AW135" s="106">
        <f t="shared" si="25"/>
        <v>0.10713052559176785</v>
      </c>
      <c r="AX135" s="105">
        <f t="shared" si="30"/>
        <v>5.1972234492236591E-2</v>
      </c>
      <c r="AY135" s="3"/>
      <c r="AZ135" s="3"/>
      <c r="BA135" s="3"/>
      <c r="BB135" s="3"/>
      <c r="BC135" s="3"/>
      <c r="BD135" s="3"/>
      <c r="BE135" s="3"/>
      <c r="BF135" s="3"/>
      <c r="BG135" s="3"/>
      <c r="BH135" s="3"/>
      <c r="BI135" s="3"/>
      <c r="BJ135" s="3"/>
    </row>
    <row r="136" spans="2:62" customFormat="1" ht="20" customHeight="1" x14ac:dyDescent="0.35">
      <c r="B136" s="146">
        <f t="shared" si="10"/>
        <v>44</v>
      </c>
      <c r="C136" s="147">
        <f>+'ZCB rates'!B208</f>
        <v>45257</v>
      </c>
      <c r="D136" s="148">
        <f>+'ZCB rates'!M208</f>
        <v>2.738549999995732E-5</v>
      </c>
      <c r="E136" s="149">
        <f>+'ZCB rates'!N208</f>
        <v>2.0388500000006492E-4</v>
      </c>
      <c r="F136" s="149">
        <f>+'ZCB rates'!O208</f>
        <v>8.6153199999987828E-4</v>
      </c>
      <c r="G136" s="149">
        <f>+'ZCB rates'!P208</f>
        <v>2.7276199999999849E-3</v>
      </c>
      <c r="H136" s="150">
        <f>+'ZCB rates'!Q208</f>
        <v>7.4220499999999162E-3</v>
      </c>
      <c r="I136" s="151">
        <f t="shared" si="11"/>
        <v>0.99199607585144778</v>
      </c>
      <c r="J136" s="151">
        <f t="shared" si="12"/>
        <v>0.98562261997952594</v>
      </c>
      <c r="K136" s="151">
        <f t="shared" si="13"/>
        <v>0.97575304329231427</v>
      </c>
      <c r="L136" s="151">
        <f t="shared" si="14"/>
        <v>0.95957303563477792</v>
      </c>
      <c r="M136" s="151">
        <f t="shared" si="15"/>
        <v>0.89579006134129979</v>
      </c>
      <c r="N136" s="152">
        <f t="shared" si="16"/>
        <v>15915.872096008496</v>
      </c>
      <c r="O136" s="153">
        <f t="shared" si="17"/>
        <v>42.639158403693727</v>
      </c>
      <c r="P136" s="154">
        <f t="shared" si="18"/>
        <v>6.5709105987133309E-2</v>
      </c>
      <c r="Q136" s="155">
        <f t="shared" si="19"/>
        <v>4.1070511297560805E-3</v>
      </c>
      <c r="R136" s="158">
        <f t="shared" si="26"/>
        <v>963.47184714848515</v>
      </c>
      <c r="S136" s="158">
        <f t="shared" si="20"/>
        <v>29906.014772382612</v>
      </c>
      <c r="T136" s="158">
        <f t="shared" si="21"/>
        <v>928278.00024771399</v>
      </c>
      <c r="U136" s="165"/>
      <c r="V136" s="77">
        <v>-14.327434381277271</v>
      </c>
      <c r="W136" s="19">
        <f t="shared" si="22"/>
        <v>2.7961898050988858E-2</v>
      </c>
      <c r="X136" s="22">
        <f>+SUM($W$129:W136)</f>
        <v>8.6552500289113793E-2</v>
      </c>
      <c r="Y136" s="3"/>
      <c r="Z136" s="8">
        <f t="shared" si="23"/>
        <v>-21.261415520465633</v>
      </c>
      <c r="AA136" s="8">
        <f t="shared" si="27"/>
        <v>-25.51369862455876</v>
      </c>
      <c r="AB136" s="46">
        <f t="shared" si="28"/>
        <v>1.6898623155061458E-2</v>
      </c>
      <c r="AD136" s="3"/>
      <c r="AE136" s="3"/>
      <c r="AF136" s="3"/>
      <c r="AG136" s="3"/>
      <c r="AH136" s="3"/>
      <c r="AI136" s="3"/>
      <c r="AJ136" s="3"/>
      <c r="AK136" s="3"/>
      <c r="AL136" s="3"/>
      <c r="AM136" s="3"/>
      <c r="AN136" s="3"/>
      <c r="AO136" s="3"/>
      <c r="AP136" s="3"/>
      <c r="AQ136" s="3"/>
      <c r="AR136" s="3"/>
      <c r="AS136" s="3"/>
      <c r="AT136" s="3"/>
      <c r="AU136" s="106">
        <f t="shared" si="24"/>
        <v>0.15865525393145699</v>
      </c>
      <c r="AV136" s="105">
        <f t="shared" si="29"/>
        <v>7.7898594697685966E-2</v>
      </c>
      <c r="AW136" s="106">
        <f t="shared" si="25"/>
        <v>0.18751375697463454</v>
      </c>
      <c r="AX136" s="105">
        <f t="shared" si="30"/>
        <v>8.0383231382866696E-2</v>
      </c>
      <c r="AY136" s="3"/>
      <c r="AZ136" s="3"/>
      <c r="BA136" s="3"/>
      <c r="BB136" s="3"/>
      <c r="BC136" s="3"/>
      <c r="BD136" s="3"/>
      <c r="BE136" s="3"/>
      <c r="BF136" s="3"/>
      <c r="BG136" s="3"/>
      <c r="BH136" s="3"/>
      <c r="BI136" s="3"/>
      <c r="BJ136" s="3"/>
    </row>
    <row r="137" spans="2:62" customFormat="1" ht="20" customHeight="1" x14ac:dyDescent="0.35">
      <c r="B137" s="146">
        <f t="shared" si="10"/>
        <v>43</v>
      </c>
      <c r="C137" s="147">
        <f>+'ZCB rates'!B209</f>
        <v>45264</v>
      </c>
      <c r="D137" s="148">
        <f>+'ZCB rates'!M209</f>
        <v>1.5913199999990948E-4</v>
      </c>
      <c r="E137" s="149">
        <f>+'ZCB rates'!N209</f>
        <v>4.6810700000007459E-4</v>
      </c>
      <c r="F137" s="149">
        <f>+'ZCB rates'!O209</f>
        <v>1.4070080000001613E-3</v>
      </c>
      <c r="G137" s="149">
        <f>+'ZCB rates'!P209</f>
        <v>3.9532959999999968E-3</v>
      </c>
      <c r="H137" s="150">
        <f>+'ZCB rates'!Q209</f>
        <v>1.1784100000000092E-2</v>
      </c>
      <c r="I137" s="151">
        <f t="shared" si="11"/>
        <v>0.99212677647194047</v>
      </c>
      <c r="J137" s="151">
        <f t="shared" si="12"/>
        <v>0.98588307756721927</v>
      </c>
      <c r="K137" s="151">
        <f t="shared" si="13"/>
        <v>0.97628543835051995</v>
      </c>
      <c r="L137" s="151">
        <f t="shared" si="14"/>
        <v>0.9607498823438565</v>
      </c>
      <c r="M137" s="151">
        <f t="shared" si="15"/>
        <v>0.89970607709731398</v>
      </c>
      <c r="N137" s="152">
        <f t="shared" si="16"/>
        <v>15936.278775676919</v>
      </c>
      <c r="O137" s="153">
        <f t="shared" si="17"/>
        <v>63.045838072117476</v>
      </c>
      <c r="P137" s="154">
        <f t="shared" si="18"/>
        <v>6.9903304241631187E-2</v>
      </c>
      <c r="Q137" s="155">
        <f t="shared" si="19"/>
        <v>4.3692033295277457E-3</v>
      </c>
      <c r="R137" s="158">
        <f t="shared" si="26"/>
        <v>2646.7446842040076</v>
      </c>
      <c r="S137" s="158">
        <f t="shared" si="20"/>
        <v>136165.81012414419</v>
      </c>
      <c r="T137" s="158">
        <f t="shared" si="21"/>
        <v>7005257.4233621722</v>
      </c>
      <c r="U137" s="165"/>
      <c r="V137" s="77">
        <v>-14.172126145802395</v>
      </c>
      <c r="W137" s="19">
        <f t="shared" si="22"/>
        <v>1.5060700909043316E-2</v>
      </c>
      <c r="X137" s="22">
        <f>+SUM($W$129:W137)</f>
        <v>0.10161320119815712</v>
      </c>
      <c r="Y137" s="3"/>
      <c r="Z137" s="8">
        <f t="shared" si="23"/>
        <v>-12.756849312279378</v>
      </c>
      <c r="AA137" s="8">
        <f t="shared" si="27"/>
        <v>-17.009132416372506</v>
      </c>
      <c r="AB137" s="46">
        <f t="shared" si="28"/>
        <v>8.5650261767689001E-2</v>
      </c>
      <c r="AD137" s="3"/>
      <c r="AE137" s="3"/>
      <c r="AF137" s="3"/>
      <c r="AG137" s="3"/>
      <c r="AH137" s="3"/>
      <c r="AI137" s="3"/>
      <c r="AJ137" s="3"/>
      <c r="AK137" s="3"/>
      <c r="AL137" s="3"/>
      <c r="AM137" s="3"/>
      <c r="AN137" s="3"/>
      <c r="AO137" s="3"/>
      <c r="AP137" s="3"/>
      <c r="AQ137" s="3"/>
      <c r="AR137" s="3"/>
      <c r="AS137" s="3"/>
      <c r="AT137" s="3"/>
      <c r="AU137" s="106">
        <f t="shared" si="24"/>
        <v>0.27425311775007355</v>
      </c>
      <c r="AV137" s="105">
        <f t="shared" si="29"/>
        <v>0.11559786381861656</v>
      </c>
      <c r="AW137" s="106">
        <f t="shared" si="25"/>
        <v>0.29727391147439963</v>
      </c>
      <c r="AX137" s="105">
        <f t="shared" si="30"/>
        <v>0.10976015449976509</v>
      </c>
      <c r="AY137" s="3"/>
      <c r="AZ137" s="3"/>
      <c r="BA137" s="3"/>
      <c r="BB137" s="3"/>
      <c r="BC137" s="3"/>
      <c r="BD137" s="3"/>
      <c r="BE137" s="3"/>
      <c r="BF137" s="3"/>
      <c r="BG137" s="3"/>
      <c r="BH137" s="3"/>
      <c r="BI137" s="3"/>
      <c r="BJ137" s="3"/>
    </row>
    <row r="138" spans="2:62" s="14" customFormat="1" ht="20" customHeight="1" x14ac:dyDescent="0.35">
      <c r="B138" s="146">
        <f t="shared" ref="B138:B164" si="31">+B139+1</f>
        <v>42</v>
      </c>
      <c r="C138" s="147">
        <f>+'ZCB rates'!B210</f>
        <v>45271</v>
      </c>
      <c r="D138" s="148">
        <f>+'ZCB rates'!M210</f>
        <v>-5.3787999999987681E-5</v>
      </c>
      <c r="E138" s="149">
        <f>+'ZCB rates'!N210</f>
        <v>-6.7275999999985185E-5</v>
      </c>
      <c r="F138" s="149">
        <f>+'ZCB rates'!O210</f>
        <v>6.5000000000762749E-6</v>
      </c>
      <c r="G138" s="149">
        <f>+'ZCB rates'!P210</f>
        <v>4.5135200000003412E-4</v>
      </c>
      <c r="H138" s="150">
        <f>+'ZCB rates'!Q210</f>
        <v>3.0416799999999386E-3</v>
      </c>
      <c r="I138" s="151">
        <f t="shared" si="11"/>
        <v>0.99191555532609532</v>
      </c>
      <c r="J138" s="151">
        <f t="shared" si="12"/>
        <v>0.98535539379656645</v>
      </c>
      <c r="K138" s="151">
        <f t="shared" si="13"/>
        <v>0.97491909979119851</v>
      </c>
      <c r="L138" s="151">
        <f t="shared" si="14"/>
        <v>0.95739127431888049</v>
      </c>
      <c r="M138" s="151">
        <f t="shared" si="15"/>
        <v>0.89187475094486512</v>
      </c>
      <c r="N138" s="152">
        <f t="shared" si="16"/>
        <v>15881.484248807286</v>
      </c>
      <c r="O138" s="153">
        <f t="shared" si="17"/>
        <v>8.2513112024844304</v>
      </c>
      <c r="P138" s="154">
        <f t="shared" si="18"/>
        <v>7.436521727833105E-2</v>
      </c>
      <c r="Q138" s="155">
        <f t="shared" si="19"/>
        <v>4.6480886484337718E-3</v>
      </c>
      <c r="R138" s="158">
        <f t="shared" si="26"/>
        <v>11.20913281258604</v>
      </c>
      <c r="S138" s="158">
        <f t="shared" si="20"/>
        <v>-37.528224888900077</v>
      </c>
      <c r="T138" s="158">
        <f t="shared" si="21"/>
        <v>125.64465841019302</v>
      </c>
      <c r="U138" s="165"/>
      <c r="V138" s="77">
        <v>-13.782466794735228</v>
      </c>
      <c r="W138" s="19">
        <f t="shared" si="22"/>
        <v>1.4157058854500717E-2</v>
      </c>
      <c r="X138" s="22">
        <f>+SUM($W$129:W138)</f>
        <v>0.11577026005265784</v>
      </c>
      <c r="Y138" s="3"/>
      <c r="Z138" s="8">
        <f t="shared" si="23"/>
        <v>-4.2522831040931255</v>
      </c>
      <c r="AA138" s="8">
        <f t="shared" si="27"/>
        <v>-8.504566208186251</v>
      </c>
      <c r="AB138" s="46">
        <f t="shared" si="28"/>
        <v>7.2354348289204021E-2</v>
      </c>
      <c r="AC138"/>
      <c r="AD138" s="3"/>
      <c r="AE138" s="3"/>
      <c r="AF138" s="3"/>
      <c r="AG138" s="3"/>
      <c r="AH138" s="3"/>
      <c r="AI138" s="3"/>
      <c r="AJ138" s="3"/>
      <c r="AK138" s="3"/>
      <c r="AL138" s="3"/>
      <c r="AM138" s="3"/>
      <c r="AN138" s="3"/>
      <c r="AO138" s="3"/>
      <c r="AP138" s="3"/>
      <c r="AQ138" s="3"/>
      <c r="AR138" s="3"/>
      <c r="AS138" s="3"/>
      <c r="AT138" s="3"/>
      <c r="AU138" s="106">
        <f t="shared" si="24"/>
        <v>0.42074029056089696</v>
      </c>
      <c r="AV138" s="105">
        <f t="shared" si="29"/>
        <v>0.14648717281082341</v>
      </c>
      <c r="AW138" s="106">
        <f t="shared" si="25"/>
        <v>0.42958960682421093</v>
      </c>
      <c r="AX138" s="105">
        <f t="shared" si="30"/>
        <v>0.1323156953498113</v>
      </c>
      <c r="AY138" s="3"/>
      <c r="AZ138" s="3"/>
      <c r="BA138" s="3"/>
      <c r="BB138" s="3"/>
      <c r="BC138" s="3"/>
      <c r="BD138" s="3"/>
      <c r="BE138" s="3"/>
      <c r="BF138" s="3"/>
      <c r="BG138" s="3"/>
      <c r="BH138" s="3"/>
      <c r="BI138" s="3"/>
      <c r="BJ138" s="3"/>
    </row>
    <row r="139" spans="2:62" s="14" customFormat="1" ht="20" customHeight="1" x14ac:dyDescent="0.35">
      <c r="B139" s="146">
        <f t="shared" si="31"/>
        <v>41</v>
      </c>
      <c r="C139" s="147">
        <f>+'ZCB rates'!B211</f>
        <v>45278</v>
      </c>
      <c r="D139" s="148">
        <f>+'ZCB rates'!M211</f>
        <v>-5.7866000000038392E-5</v>
      </c>
      <c r="E139" s="149">
        <f>+'ZCB rates'!N211</f>
        <v>1.4634000000008138E-4</v>
      </c>
      <c r="F139" s="149">
        <f>+'ZCB rates'!O211</f>
        <v>1.0525419999999023E-3</v>
      </c>
      <c r="G139" s="149">
        <f>+'ZCB rates'!P211</f>
        <v>3.6439879999998676E-3</v>
      </c>
      <c r="H139" s="150">
        <f>+'ZCB rates'!Q211</f>
        <v>1.0464220000000069E-2</v>
      </c>
      <c r="I139" s="151">
        <f t="shared" si="11"/>
        <v>0.99191151030270841</v>
      </c>
      <c r="J139" s="151">
        <f t="shared" si="12"/>
        <v>0.98556590395773658</v>
      </c>
      <c r="K139" s="151">
        <f t="shared" si="13"/>
        <v>0.97593943968233399</v>
      </c>
      <c r="L139" s="151">
        <f t="shared" si="14"/>
        <v>0.96045276067267216</v>
      </c>
      <c r="M139" s="151">
        <f t="shared" si="15"/>
        <v>0.8985193563770274</v>
      </c>
      <c r="N139" s="152">
        <f t="shared" si="16"/>
        <v>15930.452564800147</v>
      </c>
      <c r="O139" s="153">
        <f t="shared" si="17"/>
        <v>57.219627195345311</v>
      </c>
      <c r="P139" s="154">
        <f t="shared" si="18"/>
        <v>7.9111933274820259E-2</v>
      </c>
      <c r="Q139" s="155">
        <f t="shared" si="19"/>
        <v>4.9447751579082674E-3</v>
      </c>
      <c r="R139" s="158">
        <f t="shared" si="26"/>
        <v>2081.2128386844238</v>
      </c>
      <c r="S139" s="158">
        <f t="shared" si="20"/>
        <v>94945.578393823176</v>
      </c>
      <c r="T139" s="158">
        <f t="shared" si="21"/>
        <v>4331446.8799048774</v>
      </c>
      <c r="U139" s="165"/>
      <c r="V139" s="77">
        <v>-11.713131539569076</v>
      </c>
      <c r="W139" s="19">
        <f t="shared" si="22"/>
        <v>6.3333739924652192E-3</v>
      </c>
      <c r="X139" s="22">
        <f>+SUM($W$129:W139)</f>
        <v>0.12210363404512306</v>
      </c>
      <c r="Y139" s="3"/>
      <c r="Z139" s="8">
        <f t="shared" si="23"/>
        <v>4.2522831040931273</v>
      </c>
      <c r="AA139" s="8">
        <f t="shared" si="27"/>
        <v>0</v>
      </c>
      <c r="AB139" s="46">
        <f t="shared" si="28"/>
        <v>0.24308193742036779</v>
      </c>
      <c r="AC139"/>
      <c r="AD139" s="3"/>
      <c r="AE139" s="3"/>
      <c r="AF139" s="3"/>
      <c r="AG139" s="3"/>
      <c r="AH139" s="3"/>
      <c r="AI139" s="3"/>
      <c r="AJ139" s="3"/>
      <c r="AK139" s="3"/>
      <c r="AL139" s="3"/>
      <c r="AM139" s="3"/>
      <c r="AN139" s="3"/>
      <c r="AO139" s="3"/>
      <c r="AP139" s="3"/>
      <c r="AQ139" s="3"/>
      <c r="AR139" s="3"/>
      <c r="AS139" s="3"/>
      <c r="AT139" s="3"/>
      <c r="AU139" s="106">
        <f t="shared" si="24"/>
        <v>0.57925970943910299</v>
      </c>
      <c r="AV139" s="105">
        <f t="shared" si="29"/>
        <v>0.15851941887820603</v>
      </c>
      <c r="AW139" s="106">
        <f t="shared" si="25"/>
        <v>0.57041039317578912</v>
      </c>
      <c r="AX139" s="105">
        <f t="shared" si="30"/>
        <v>0.14082078635157819</v>
      </c>
      <c r="AY139" s="3"/>
      <c r="AZ139" s="3"/>
      <c r="BA139" s="3"/>
      <c r="BB139" s="3"/>
      <c r="BC139" s="3"/>
      <c r="BD139" s="3"/>
      <c r="BE139" s="3"/>
      <c r="BF139" s="3"/>
      <c r="BG139" s="3"/>
      <c r="BH139" s="3"/>
      <c r="BI139" s="3"/>
      <c r="BJ139" s="3"/>
    </row>
    <row r="140" spans="2:62" s="14" customFormat="1" ht="20" customHeight="1" x14ac:dyDescent="0.35">
      <c r="B140" s="146">
        <f t="shared" si="31"/>
        <v>40</v>
      </c>
      <c r="C140" s="147">
        <f>+'ZCB rates'!B212</f>
        <v>45285</v>
      </c>
      <c r="D140" s="148">
        <f>+'ZCB rates'!M212</f>
        <v>-7.2848666666643335E-5</v>
      </c>
      <c r="E140" s="149">
        <f>+'ZCB rates'!N212</f>
        <v>5.9396666666657234E-5</v>
      </c>
      <c r="F140" s="149">
        <f>+'ZCB rates'!O212</f>
        <v>6.5366533333331429E-4</v>
      </c>
      <c r="G140" s="149">
        <f>+'ZCB rates'!P212</f>
        <v>2.0550400000001251E-3</v>
      </c>
      <c r="H140" s="150">
        <f>+'ZCB rates'!Q212</f>
        <v>3.0750700000001753E-3</v>
      </c>
      <c r="I140" s="151">
        <f t="shared" si="11"/>
        <v>0.99189664893451857</v>
      </c>
      <c r="J140" s="151">
        <f t="shared" si="12"/>
        <v>0.98548021929773566</v>
      </c>
      <c r="K140" s="151">
        <f t="shared" si="13"/>
        <v>0.97555023783869232</v>
      </c>
      <c r="L140" s="151">
        <f t="shared" si="14"/>
        <v>0.95892786299189992</v>
      </c>
      <c r="M140" s="151">
        <f t="shared" si="15"/>
        <v>0.89190453113997703</v>
      </c>
      <c r="N140" s="152">
        <f t="shared" si="16"/>
        <v>15903.240169013527</v>
      </c>
      <c r="O140" s="153">
        <f t="shared" si="17"/>
        <v>30.007231408724692</v>
      </c>
      <c r="P140" s="154">
        <f t="shared" si="18"/>
        <v>8.4161631143425814E-2</v>
      </c>
      <c r="Q140" s="155">
        <f t="shared" si="19"/>
        <v>5.2603991041577317E-3</v>
      </c>
      <c r="R140" s="158">
        <f t="shared" si="26"/>
        <v>338.85136790252773</v>
      </c>
      <c r="S140" s="158">
        <f t="shared" si="20"/>
        <v>6237.5474840638744</v>
      </c>
      <c r="T140" s="158">
        <f t="shared" si="21"/>
        <v>114820.2495294142</v>
      </c>
      <c r="U140" s="165"/>
      <c r="V140" s="77">
        <v>-11.095141037276335</v>
      </c>
      <c r="W140" s="19">
        <f t="shared" si="22"/>
        <v>8.6297033388016212E-3</v>
      </c>
      <c r="X140" s="22">
        <f>+SUM($W$129:W140)</f>
        <v>0.13073333738392467</v>
      </c>
      <c r="Y140" s="3"/>
      <c r="Z140" s="8">
        <f t="shared" si="23"/>
        <v>12.75684931227938</v>
      </c>
      <c r="AA140" s="8">
        <f t="shared" si="27"/>
        <v>8.5045662081862545</v>
      </c>
      <c r="AB140" s="46">
        <f t="shared" si="28"/>
        <v>0.13055057346469856</v>
      </c>
      <c r="AC140"/>
      <c r="AD140" s="3"/>
      <c r="AE140" s="3"/>
      <c r="AF140" s="3"/>
      <c r="AG140" s="3"/>
      <c r="AH140" s="3"/>
      <c r="AI140" s="3"/>
      <c r="AJ140" s="3"/>
      <c r="AK140" s="3"/>
      <c r="AL140" s="3"/>
      <c r="AM140" s="3"/>
      <c r="AN140" s="3"/>
      <c r="AO140" s="3"/>
      <c r="AP140" s="3"/>
      <c r="AQ140" s="3"/>
      <c r="AR140" s="3"/>
      <c r="AS140" s="3"/>
      <c r="AT140" s="3"/>
      <c r="AU140" s="106">
        <f t="shared" si="24"/>
        <v>0.72574688224992645</v>
      </c>
      <c r="AV140" s="105">
        <f t="shared" si="29"/>
        <v>0.14648717281082346</v>
      </c>
      <c r="AW140" s="106">
        <f t="shared" si="25"/>
        <v>0.70272608852560037</v>
      </c>
      <c r="AX140" s="105">
        <f t="shared" si="30"/>
        <v>0.13231569534981125</v>
      </c>
      <c r="AY140" s="3"/>
      <c r="AZ140" s="3"/>
      <c r="BA140" s="3"/>
      <c r="BB140" s="3"/>
      <c r="BC140" s="3"/>
      <c r="BD140" s="3"/>
      <c r="BE140" s="3"/>
      <c r="BF140" s="3"/>
      <c r="BG140" s="3"/>
      <c r="BH140" s="3"/>
      <c r="BI140" s="3"/>
      <c r="BJ140" s="3"/>
    </row>
    <row r="141" spans="2:62" ht="20" customHeight="1" x14ac:dyDescent="0.35">
      <c r="B141" s="146">
        <f t="shared" si="31"/>
        <v>39</v>
      </c>
      <c r="C141" s="147">
        <f>+'ZCB rates'!B213</f>
        <v>45292</v>
      </c>
      <c r="D141" s="148">
        <f>+'ZCB rates'!M213</f>
        <v>-5.610833333345383E-6</v>
      </c>
      <c r="E141" s="149">
        <f>+'ZCB rates'!N213</f>
        <v>-1.3845541666657332E-4</v>
      </c>
      <c r="F141" s="149">
        <f>+'ZCB rates'!O213</f>
        <v>-6.7406083333329569E-4</v>
      </c>
      <c r="G141" s="149">
        <f>+'ZCB rates'!P213</f>
        <v>-2.3139500000000212E-3</v>
      </c>
      <c r="H141" s="150">
        <f>+'ZCB rates'!Q213</f>
        <v>-7.8399875000000774E-3</v>
      </c>
      <c r="I141" s="151">
        <f t="shared" si="11"/>
        <v>0.99196334415827947</v>
      </c>
      <c r="J141" s="151">
        <f t="shared" si="12"/>
        <v>0.98528525927052368</v>
      </c>
      <c r="K141" s="151">
        <f t="shared" si="13"/>
        <v>0.97425583375825409</v>
      </c>
      <c r="L141" s="151">
        <f t="shared" si="14"/>
        <v>0.95474745547674011</v>
      </c>
      <c r="M141" s="151">
        <f t="shared" si="15"/>
        <v>0.88222227919364282</v>
      </c>
      <c r="N141" s="152">
        <f t="shared" si="16"/>
        <v>15836.032469632599</v>
      </c>
      <c r="O141" s="153">
        <f t="shared" si="17"/>
        <v>-37.200467972203114</v>
      </c>
      <c r="P141" s="154">
        <f t="shared" si="18"/>
        <v>8.9533650152580649E-2</v>
      </c>
      <c r="Q141" s="155">
        <f t="shared" si="19"/>
        <v>5.5961692597422674E-3</v>
      </c>
      <c r="R141" s="158">
        <f t="shared" si="26"/>
        <v>2381.4188674645152</v>
      </c>
      <c r="S141" s="158">
        <f t="shared" si="20"/>
        <v>-116212.72510183426</v>
      </c>
      <c r="T141" s="158">
        <f t="shared" si="21"/>
        <v>5671155.8223159742</v>
      </c>
      <c r="U141" s="165"/>
      <c r="V141" s="77">
        <v>-10.670829938566385</v>
      </c>
      <c r="W141" s="19">
        <f t="shared" si="22"/>
        <v>2.0521349453559445E-2</v>
      </c>
      <c r="X141" s="22">
        <f>+SUM($W$129:W141)</f>
        <v>0.15125468683748411</v>
      </c>
      <c r="Z141" s="95">
        <f>+SQRT(C103)</f>
        <v>21.261415520465633</v>
      </c>
      <c r="AA141" s="8">
        <f t="shared" si="27"/>
        <v>17.009132416372506</v>
      </c>
      <c r="AB141" s="46">
        <f t="shared" si="28"/>
        <v>0.12873923601611864</v>
      </c>
      <c r="AC141"/>
      <c r="AU141" s="106">
        <f t="shared" si="24"/>
        <v>0.84134474606854304</v>
      </c>
      <c r="AV141" s="105">
        <f t="shared" si="29"/>
        <v>0.11559786381861659</v>
      </c>
      <c r="AW141" s="106">
        <f t="shared" si="25"/>
        <v>0.81248624302536543</v>
      </c>
      <c r="AX141" s="105">
        <f t="shared" si="30"/>
        <v>0.10976015449976506</v>
      </c>
    </row>
    <row r="142" spans="2:62" ht="20" customHeight="1" x14ac:dyDescent="0.35">
      <c r="B142" s="146">
        <f t="shared" si="31"/>
        <v>38</v>
      </c>
      <c r="C142" s="147">
        <f>+'ZCB rates'!B214</f>
        <v>45299</v>
      </c>
      <c r="D142" s="148">
        <f>+'ZCB rates'!M214</f>
        <v>-5.2282999999984361E-5</v>
      </c>
      <c r="E142" s="149">
        <f>+'ZCB rates'!N214</f>
        <v>-1.8955725000000841E-4</v>
      </c>
      <c r="F142" s="149">
        <f>+'ZCB rates'!O214</f>
        <v>-5.9937049999993263E-4</v>
      </c>
      <c r="G142" s="149">
        <f>+'ZCB rates'!P214</f>
        <v>-1.5026579999999959E-3</v>
      </c>
      <c r="H142" s="150">
        <f>+'ZCB rates'!Q214</f>
        <v>-2.9541724999999569E-3</v>
      </c>
      <c r="I142" s="151">
        <f t="shared" si="11"/>
        <v>0.99191704816012938</v>
      </c>
      <c r="J142" s="151">
        <f t="shared" si="12"/>
        <v>0.98523491067388225</v>
      </c>
      <c r="K142" s="151">
        <f t="shared" si="13"/>
        <v>0.97432860396881127</v>
      </c>
      <c r="L142" s="151">
        <f t="shared" si="14"/>
        <v>0.95552234873923858</v>
      </c>
      <c r="M142" s="151">
        <f t="shared" si="15"/>
        <v>0.88654320105562689</v>
      </c>
      <c r="N142" s="152">
        <f t="shared" si="16"/>
        <v>15850.479550200624</v>
      </c>
      <c r="O142" s="153">
        <f t="shared" si="17"/>
        <v>-22.753387404178284</v>
      </c>
      <c r="P142" s="154">
        <f t="shared" si="18"/>
        <v>9.5248563992107085E-2</v>
      </c>
      <c r="Q142" s="155">
        <f t="shared" si="19"/>
        <v>5.9533715529173064E-3</v>
      </c>
      <c r="R142" s="158">
        <f t="shared" si="26"/>
        <v>1180.108197196261</v>
      </c>
      <c r="S142" s="158">
        <f t="shared" si="20"/>
        <v>-40539.906299484341</v>
      </c>
      <c r="T142" s="158">
        <f t="shared" si="21"/>
        <v>1392655.3570898094</v>
      </c>
      <c r="U142" s="165"/>
      <c r="V142" s="77">
        <v>-9.3539586613660504</v>
      </c>
      <c r="W142" s="19">
        <f t="shared" si="22"/>
        <v>1.3307635323230673E-2</v>
      </c>
      <c r="X142" s="22">
        <f>+SUM($W$129:W142)</f>
        <v>0.16456232216071479</v>
      </c>
      <c r="Z142" s="8">
        <f t="shared" ref="Z142:Z148" si="32">+Z141+$Z$141/2.5</f>
        <v>29.765981728651887</v>
      </c>
      <c r="AA142" s="8">
        <f t="shared" si="27"/>
        <v>25.51369862455876</v>
      </c>
      <c r="AB142" s="46">
        <f t="shared" si="28"/>
        <v>9.5865785854069241E-2</v>
      </c>
      <c r="AC142"/>
      <c r="AU142" s="106">
        <f t="shared" si="24"/>
        <v>0.91924334076622893</v>
      </c>
      <c r="AV142" s="105">
        <f t="shared" si="29"/>
        <v>7.7898594697685897E-2</v>
      </c>
      <c r="AW142" s="106">
        <f t="shared" si="25"/>
        <v>0.89286947440823217</v>
      </c>
      <c r="AX142" s="105">
        <f t="shared" si="30"/>
        <v>8.0383231382866738E-2</v>
      </c>
    </row>
    <row r="143" spans="2:62" ht="20" customHeight="1" x14ac:dyDescent="0.35">
      <c r="B143" s="146">
        <f t="shared" si="31"/>
        <v>37</v>
      </c>
      <c r="C143" s="147">
        <f>+'ZCB rates'!B215</f>
        <v>45306</v>
      </c>
      <c r="D143" s="148">
        <f>+'ZCB rates'!M215</f>
        <v>-1.3517049999999664E-4</v>
      </c>
      <c r="E143" s="149">
        <f>+'ZCB rates'!N215</f>
        <v>-2.0138899999999556E-4</v>
      </c>
      <c r="F143" s="149">
        <f>+'ZCB rates'!O215</f>
        <v>-2.7260800000002453E-4</v>
      </c>
      <c r="G143" s="149">
        <f>+'ZCB rates'!P215</f>
        <v>-6.3509200000004399E-4</v>
      </c>
      <c r="H143" s="150">
        <f>+'ZCB rates'!Q215</f>
        <v>-3.7011400000001118E-3</v>
      </c>
      <c r="I143" s="151">
        <f t="shared" si="11"/>
        <v>0.99183483404310846</v>
      </c>
      <c r="J143" s="151">
        <f t="shared" si="12"/>
        <v>0.98522325368968933</v>
      </c>
      <c r="K143" s="151">
        <f t="shared" si="13"/>
        <v>0.97464703004128206</v>
      </c>
      <c r="L143" s="151">
        <f t="shared" si="14"/>
        <v>0.95635168714212704</v>
      </c>
      <c r="M143" s="151">
        <f t="shared" si="15"/>
        <v>0.88588122936354163</v>
      </c>
      <c r="N143" s="152">
        <f t="shared" si="16"/>
        <v>15861.519806065233</v>
      </c>
      <c r="O143" s="153">
        <f t="shared" si="17"/>
        <v>-11.713131539569076</v>
      </c>
      <c r="P143" s="154">
        <f t="shared" si="18"/>
        <v>0.10132825956607136</v>
      </c>
      <c r="Q143" s="155">
        <f t="shared" si="19"/>
        <v>6.3333739924652192E-3</v>
      </c>
      <c r="R143" s="158">
        <f t="shared" si="26"/>
        <v>543.47018722619259</v>
      </c>
      <c r="S143" s="158">
        <f t="shared" si="20"/>
        <v>-12669.61996024992</v>
      </c>
      <c r="T143" s="158">
        <f t="shared" si="21"/>
        <v>295359.84440367285</v>
      </c>
      <c r="U143" s="165"/>
      <c r="V143" s="77">
        <v>-9.3134970622759283</v>
      </c>
      <c r="W143" s="19">
        <f t="shared" si="22"/>
        <v>1.1053108977310227E-2</v>
      </c>
      <c r="X143" s="22">
        <f>+SUM($W$129:W143)</f>
        <v>0.17561543113802502</v>
      </c>
      <c r="Z143" s="8">
        <f t="shared" si="32"/>
        <v>38.270547936838142</v>
      </c>
      <c r="AA143" s="8">
        <f t="shared" si="27"/>
        <v>34.018264832745018</v>
      </c>
      <c r="AB143" s="46">
        <f t="shared" si="28"/>
        <v>7.1181411571950362E-2</v>
      </c>
      <c r="AC143"/>
      <c r="AU143" s="106">
        <f t="shared" si="24"/>
        <v>0.96406968088707423</v>
      </c>
      <c r="AV143" s="105">
        <f t="shared" si="29"/>
        <v>4.4826340120845298E-2</v>
      </c>
      <c r="AW143" s="106">
        <f t="shared" si="25"/>
        <v>0.9448417089004687</v>
      </c>
      <c r="AX143" s="105">
        <f t="shared" si="30"/>
        <v>5.1972234492236535E-2</v>
      </c>
    </row>
    <row r="144" spans="2:62" ht="20" customHeight="1" x14ac:dyDescent="0.35">
      <c r="B144" s="146">
        <f t="shared" si="31"/>
        <v>36</v>
      </c>
      <c r="C144" s="147">
        <f>+'ZCB rates'!B216</f>
        <v>45313</v>
      </c>
      <c r="D144" s="148">
        <f>+'ZCB rates'!M216</f>
        <v>-5.2529999999996243E-6</v>
      </c>
      <c r="E144" s="149">
        <f>+'ZCB rates'!N216</f>
        <v>-2.8039000000115993E-5</v>
      </c>
      <c r="F144" s="149">
        <f>+'ZCB rates'!O216</f>
        <v>-1.0082600000004951E-4</v>
      </c>
      <c r="G144" s="149">
        <f>+'ZCB rates'!P216</f>
        <v>-2.6579199999994611E-4</v>
      </c>
      <c r="H144" s="150">
        <f>+'ZCB rates'!Q216</f>
        <v>-6.5293000000003982E-4</v>
      </c>
      <c r="I144" s="151">
        <f t="shared" si="11"/>
        <v>0.99196369911589299</v>
      </c>
      <c r="J144" s="151">
        <f t="shared" si="12"/>
        <v>0.98539405694466076</v>
      </c>
      <c r="K144" s="151">
        <f t="shared" si="13"/>
        <v>0.97481447123867671</v>
      </c>
      <c r="L144" s="151">
        <f t="shared" si="14"/>
        <v>0.95670493304302962</v>
      </c>
      <c r="M144" s="151">
        <f t="shared" si="15"/>
        <v>0.88858570119066538</v>
      </c>
      <c r="N144" s="152">
        <f t="shared" si="16"/>
        <v>15869.110721900453</v>
      </c>
      <c r="O144" s="153">
        <f t="shared" si="17"/>
        <v>-4.1222157043484913</v>
      </c>
      <c r="P144" s="154">
        <f t="shared" si="18"/>
        <v>0.10779602081496954</v>
      </c>
      <c r="Q144" s="155">
        <f t="shared" si="19"/>
        <v>6.737631906877894E-3</v>
      </c>
      <c r="R144" s="158">
        <f t="shared" si="26"/>
        <v>247.16654358024573</v>
      </c>
      <c r="S144" s="158">
        <f t="shared" si="20"/>
        <v>-3885.8365289115327</v>
      </c>
      <c r="T144" s="158">
        <f t="shared" si="21"/>
        <v>61091.300265405509</v>
      </c>
      <c r="U144" s="165"/>
      <c r="V144" s="77">
        <v>-6.9662738188599178</v>
      </c>
      <c r="W144" s="19">
        <f t="shared" si="22"/>
        <v>1.2509177203836833E-2</v>
      </c>
      <c r="X144" s="22">
        <f>+SUM($W$129:W144)</f>
        <v>0.18812460834186184</v>
      </c>
      <c r="Z144" s="8">
        <f t="shared" si="32"/>
        <v>46.775114145024396</v>
      </c>
      <c r="AA144" s="8">
        <f t="shared" si="27"/>
        <v>42.522831040931266</v>
      </c>
      <c r="AB144" s="46">
        <f t="shared" si="28"/>
        <v>9.5042257920074313E-2</v>
      </c>
      <c r="AC144"/>
      <c r="AU144" s="106">
        <f t="shared" si="24"/>
        <v>0.98609655248650141</v>
      </c>
      <c r="AV144" s="105">
        <f t="shared" si="29"/>
        <v>2.2026871599427178E-2</v>
      </c>
      <c r="AW144" s="106">
        <f t="shared" si="25"/>
        <v>0.97450773676119617</v>
      </c>
      <c r="AX144" s="105">
        <f t="shared" si="30"/>
        <v>2.9666027860727473E-2</v>
      </c>
    </row>
    <row r="145" spans="2:50" ht="20" customHeight="1" x14ac:dyDescent="0.35">
      <c r="B145" s="146">
        <f t="shared" si="31"/>
        <v>35</v>
      </c>
      <c r="C145" s="147">
        <f>+'ZCB rates'!B217</f>
        <v>45320</v>
      </c>
      <c r="D145" s="148">
        <f>+'ZCB rates'!M217</f>
        <v>9.2559500000080109E-5</v>
      </c>
      <c r="E145" s="149">
        <f>+'ZCB rates'!N217</f>
        <v>2.4748600000004878E-4</v>
      </c>
      <c r="F145" s="149">
        <f>+'ZCB rates'!O217</f>
        <v>7.0191000000013935E-4</v>
      </c>
      <c r="G145" s="149">
        <f>+'ZCB rates'!P217</f>
        <v>1.9393119999999348E-3</v>
      </c>
      <c r="H145" s="150">
        <f>+'ZCB rates'!Q217</f>
        <v>5.5474800000000907E-3</v>
      </c>
      <c r="I145" s="151">
        <f t="shared" si="11"/>
        <v>0.99206073031056741</v>
      </c>
      <c r="J145" s="151">
        <f t="shared" si="12"/>
        <v>0.9856655950482508</v>
      </c>
      <c r="K145" s="151">
        <f t="shared" si="13"/>
        <v>0.97559730407007184</v>
      </c>
      <c r="L145" s="151">
        <f t="shared" si="14"/>
        <v>0.95881689460936981</v>
      </c>
      <c r="M145" s="151">
        <f t="shared" si="15"/>
        <v>0.89411241309182399</v>
      </c>
      <c r="N145" s="152">
        <f t="shared" si="16"/>
        <v>15903.957900560763</v>
      </c>
      <c r="O145" s="153">
        <f t="shared" si="17"/>
        <v>30.724962955961018</v>
      </c>
      <c r="P145" s="154">
        <f t="shared" si="18"/>
        <v>0.11467661788826546</v>
      </c>
      <c r="Q145" s="155">
        <f t="shared" si="19"/>
        <v>7.1676935179552049E-3</v>
      </c>
      <c r="R145" s="158">
        <f t="shared" si="26"/>
        <v>365.79039040175229</v>
      </c>
      <c r="S145" s="158">
        <f t="shared" si="20"/>
        <v>6995.9780476136157</v>
      </c>
      <c r="T145" s="158">
        <f t="shared" si="21"/>
        <v>133802.60971026635</v>
      </c>
      <c r="U145" s="165"/>
      <c r="V145" s="77">
        <v>-4.1222157043484913</v>
      </c>
      <c r="W145" s="19">
        <f t="shared" si="22"/>
        <v>6.737631906877894E-3</v>
      </c>
      <c r="X145" s="22">
        <f>+SUM($W$129:W145)</f>
        <v>0.19486224024873974</v>
      </c>
      <c r="Z145" s="8">
        <f t="shared" si="32"/>
        <v>55.279680353210651</v>
      </c>
      <c r="AA145" s="8">
        <f t="shared" si="27"/>
        <v>51.027397249117527</v>
      </c>
      <c r="AB145" s="46">
        <f t="shared" si="28"/>
        <v>3.8100210923423417E-2</v>
      </c>
      <c r="AC145"/>
      <c r="AU145" s="106">
        <f t="shared" si="24"/>
        <v>0.99533881197628127</v>
      </c>
      <c r="AV145" s="105">
        <f t="shared" si="29"/>
        <v>9.2422594897798582E-3</v>
      </c>
      <c r="AW145" s="106">
        <f t="shared" si="25"/>
        <v>0.98945719841784907</v>
      </c>
      <c r="AX145" s="105">
        <f t="shared" si="30"/>
        <v>1.4949461656652896E-2</v>
      </c>
    </row>
    <row r="146" spans="2:50" ht="20" customHeight="1" x14ac:dyDescent="0.35">
      <c r="B146" s="146">
        <f t="shared" si="31"/>
        <v>34</v>
      </c>
      <c r="C146" s="147">
        <f>+'ZCB rates'!B218</f>
        <v>45327</v>
      </c>
      <c r="D146" s="148">
        <f>+'ZCB rates'!M218</f>
        <v>3.4520000000344265E-6</v>
      </c>
      <c r="E146" s="149">
        <f>+'ZCB rates'!N218</f>
        <v>-2.0704899999993064E-4</v>
      </c>
      <c r="F146" s="149">
        <f>+'ZCB rates'!O218</f>
        <v>-1.0126300000000686E-3</v>
      </c>
      <c r="G146" s="149">
        <f>+'ZCB rates'!P218</f>
        <v>-3.1101799999999863E-3</v>
      </c>
      <c r="H146" s="150">
        <f>+'ZCB rates'!Q218</f>
        <v>-7.4687299999999391E-3</v>
      </c>
      <c r="I146" s="151">
        <f t="shared" si="11"/>
        <v>0.99197233419747799</v>
      </c>
      <c r="J146" s="151">
        <f t="shared" si="12"/>
        <v>0.98521767734185461</v>
      </c>
      <c r="K146" s="151">
        <f t="shared" si="13"/>
        <v>0.97392603660522237</v>
      </c>
      <c r="L146" s="151">
        <f t="shared" si="14"/>
        <v>0.95398755947640879</v>
      </c>
      <c r="M146" s="151">
        <f t="shared" si="15"/>
        <v>0.88254987163827403</v>
      </c>
      <c r="N146" s="152">
        <f t="shared" si="16"/>
        <v>15825.554528319728</v>
      </c>
      <c r="O146" s="153">
        <f t="shared" si="17"/>
        <v>-47.67840928507394</v>
      </c>
      <c r="P146" s="154">
        <f t="shared" si="18"/>
        <v>0.12199640200879305</v>
      </c>
      <c r="Q146" s="155">
        <f t="shared" si="19"/>
        <v>7.6252058701651131E-3</v>
      </c>
      <c r="R146" s="158">
        <f t="shared" si="26"/>
        <v>3513.8486563395045</v>
      </c>
      <c r="S146" s="158">
        <f t="shared" si="20"/>
        <v>-208292.95360599831</v>
      </c>
      <c r="T146" s="158">
        <f t="shared" si="21"/>
        <v>12347132.379658941</v>
      </c>
      <c r="U146" s="165"/>
      <c r="V146" s="77">
        <v>-3.8261171839203598</v>
      </c>
      <c r="W146" s="19">
        <f t="shared" si="22"/>
        <v>1.8132664377165125E-2</v>
      </c>
      <c r="X146" s="22">
        <f>+SUM($W$129:W146)</f>
        <v>0.21299490462590487</v>
      </c>
      <c r="Z146" s="8">
        <f t="shared" si="32"/>
        <v>63.784246561396905</v>
      </c>
      <c r="AA146" s="8">
        <f t="shared" si="27"/>
        <v>59.531963457303775</v>
      </c>
      <c r="AB146" s="46">
        <f t="shared" si="28"/>
        <v>9.3139784874360122E-3</v>
      </c>
      <c r="AC146"/>
      <c r="AU146" s="106">
        <f t="shared" si="24"/>
        <v>0.9986501019683699</v>
      </c>
      <c r="AV146" s="105">
        <f t="shared" si="29"/>
        <v>3.3112899920886285E-3</v>
      </c>
      <c r="AW146" s="106">
        <f t="shared" si="25"/>
        <v>0.99610786372780147</v>
      </c>
      <c r="AX146" s="105">
        <f t="shared" si="30"/>
        <v>6.6506653099523971E-3</v>
      </c>
    </row>
    <row r="147" spans="2:50" ht="20" customHeight="1" x14ac:dyDescent="0.35">
      <c r="B147" s="146">
        <f t="shared" si="31"/>
        <v>33</v>
      </c>
      <c r="C147" s="147">
        <f>+'ZCB rates'!B219</f>
        <v>45334</v>
      </c>
      <c r="D147" s="148">
        <f>+'ZCB rates'!M219</f>
        <v>-1.0259500000031309E-5</v>
      </c>
      <c r="E147" s="149">
        <f>+'ZCB rates'!N219</f>
        <v>-1.3051900000003377E-4</v>
      </c>
      <c r="F147" s="149">
        <f>+'ZCB rates'!O219</f>
        <v>-5.7547599999999447E-4</v>
      </c>
      <c r="G147" s="149">
        <f>+'ZCB rates'!P219</f>
        <v>-1.7265320000000835E-3</v>
      </c>
      <c r="H147" s="150">
        <f>+'ZCB rates'!Q219</f>
        <v>-3.4785700000000488E-3</v>
      </c>
      <c r="I147" s="151">
        <f t="shared" si="11"/>
        <v>0.99195873286206515</v>
      </c>
      <c r="J147" s="151">
        <f t="shared" si="12"/>
        <v>0.98529307893590667</v>
      </c>
      <c r="K147" s="151">
        <f t="shared" si="13"/>
        <v>0.97435188534178607</v>
      </c>
      <c r="L147" s="151">
        <f t="shared" si="14"/>
        <v>0.95530845607233361</v>
      </c>
      <c r="M147" s="151">
        <f t="shared" si="15"/>
        <v>0.88607842189251773</v>
      </c>
      <c r="N147" s="152">
        <f t="shared" si="16"/>
        <v>15847.2569741917</v>
      </c>
      <c r="O147" s="153">
        <f t="shared" si="17"/>
        <v>-25.975963413102363</v>
      </c>
      <c r="P147" s="154">
        <f t="shared" si="18"/>
        <v>0.12978340639233304</v>
      </c>
      <c r="Q147" s="155">
        <f t="shared" si="19"/>
        <v>8.1119211384735254E-3</v>
      </c>
      <c r="R147" s="158">
        <f t="shared" si="26"/>
        <v>1411.9015858059965</v>
      </c>
      <c r="S147" s="158">
        <f t="shared" si="20"/>
        <v>-53052.595892187754</v>
      </c>
      <c r="T147" s="158">
        <f t="shared" si="21"/>
        <v>1993466.0880014878</v>
      </c>
      <c r="U147" s="165"/>
      <c r="V147" s="77">
        <v>-3.5659448918122507</v>
      </c>
      <c r="W147" s="19">
        <f t="shared" si="22"/>
        <v>4.0532139280237675E-2</v>
      </c>
      <c r="X147" s="22">
        <f>+SUM($W$129:W147)</f>
        <v>0.25352704390614256</v>
      </c>
      <c r="Z147" s="8">
        <f t="shared" si="32"/>
        <v>72.28881276958316</v>
      </c>
      <c r="AA147" s="8">
        <f t="shared" si="27"/>
        <v>68.036529665490036</v>
      </c>
      <c r="AB147" s="46">
        <f t="shared" si="28"/>
        <v>0</v>
      </c>
      <c r="AC147"/>
      <c r="AU147" s="106">
        <f t="shared" si="24"/>
        <v>0.99966307073432314</v>
      </c>
      <c r="AV147" s="105">
        <f t="shared" si="29"/>
        <v>1.0129687659532483E-3</v>
      </c>
      <c r="AW147" s="106">
        <f t="shared" si="25"/>
        <v>0.998719859555667</v>
      </c>
      <c r="AX147" s="105">
        <f t="shared" si="30"/>
        <v>2.611995827865532E-3</v>
      </c>
    </row>
    <row r="148" spans="2:50" ht="20" customHeight="1" x14ac:dyDescent="0.35">
      <c r="B148" s="146">
        <f t="shared" si="31"/>
        <v>32</v>
      </c>
      <c r="C148" s="147">
        <f>+'ZCB rates'!B220</f>
        <v>45341</v>
      </c>
      <c r="D148" s="148">
        <f>+'ZCB rates'!M220</f>
        <v>1.6597000000089393E-5</v>
      </c>
      <c r="E148" s="149">
        <f>+'ZCB rates'!N220</f>
        <v>-3.9282000000069363E-5</v>
      </c>
      <c r="F148" s="149">
        <f>+'ZCB rates'!O220</f>
        <v>-2.6520000000000157E-4</v>
      </c>
      <c r="G148" s="149">
        <f>+'ZCB rates'!P220</f>
        <v>-7.7088400000001616E-4</v>
      </c>
      <c r="H148" s="150">
        <f>+'ZCB rates'!Q220</f>
        <v>-9.2422000000008165E-4</v>
      </c>
      <c r="I148" s="151">
        <f t="shared" si="11"/>
        <v>0.99198537375951346</v>
      </c>
      <c r="J148" s="151">
        <f t="shared" si="12"/>
        <v>0.98538297822155774</v>
      </c>
      <c r="K148" s="151">
        <f t="shared" si="13"/>
        <v>0.97465425025322416</v>
      </c>
      <c r="L148" s="151">
        <f t="shared" si="14"/>
        <v>0.95622183105073533</v>
      </c>
      <c r="M148" s="151">
        <f t="shared" si="15"/>
        <v>0.88834466947201507</v>
      </c>
      <c r="N148" s="152">
        <f t="shared" si="16"/>
        <v>15862.137796567526</v>
      </c>
      <c r="O148" s="153">
        <f t="shared" si="17"/>
        <v>-11.095141037276335</v>
      </c>
      <c r="P148" s="154">
        <f t="shared" si="18"/>
        <v>0.13806745360886494</v>
      </c>
      <c r="Q148" s="155">
        <f t="shared" si="19"/>
        <v>8.6297033388016212E-3</v>
      </c>
      <c r="R148" s="158">
        <f t="shared" si="26"/>
        <v>515.03835776908466</v>
      </c>
      <c r="S148" s="158">
        <f t="shared" si="20"/>
        <v>-11688.515628220714</v>
      </c>
      <c r="T148" s="158">
        <f t="shared" si="21"/>
        <v>265264.50997347565</v>
      </c>
      <c r="U148" s="165"/>
      <c r="V148" s="77">
        <v>-3.4238805665918335</v>
      </c>
      <c r="W148" s="19">
        <f t="shared" si="22"/>
        <v>2.3224705130782532E-2</v>
      </c>
      <c r="X148" s="22">
        <f>+SUM($W$129:W148)</f>
        <v>0.27675174903692507</v>
      </c>
      <c r="Z148" s="8">
        <f t="shared" si="32"/>
        <v>80.793378977769407</v>
      </c>
      <c r="AA148" s="8">
        <f t="shared" si="27"/>
        <v>76.541095873676284</v>
      </c>
      <c r="AB148" s="46">
        <f t="shared" si="28"/>
        <v>0</v>
      </c>
      <c r="AC148"/>
      <c r="AU148" s="106">
        <f t="shared" si="24"/>
        <v>0.99992765195607491</v>
      </c>
      <c r="AV148" s="105">
        <f t="shared" si="29"/>
        <v>2.6458122175176957E-4</v>
      </c>
      <c r="AW148" s="106">
        <f t="shared" si="25"/>
        <v>0.99962547001410496</v>
      </c>
      <c r="AX148" s="105">
        <f t="shared" si="30"/>
        <v>9.056104584379554E-4</v>
      </c>
    </row>
    <row r="149" spans="2:50" ht="20" customHeight="1" x14ac:dyDescent="0.35">
      <c r="B149" s="146">
        <f t="shared" si="31"/>
        <v>31</v>
      </c>
      <c r="C149" s="147">
        <f>+'ZCB rates'!B221</f>
        <v>45348</v>
      </c>
      <c r="D149" s="148">
        <f>+'ZCB rates'!M221</f>
        <v>-1.8090000000029946E-5</v>
      </c>
      <c r="E149" s="149">
        <f>+'ZCB rates'!N221</f>
        <v>-1.2644100000004074E-4</v>
      </c>
      <c r="F149" s="149">
        <f>+'ZCB rates'!O221</f>
        <v>-5.0035600000003608E-4</v>
      </c>
      <c r="G149" s="149">
        <f>+'ZCB rates'!P221</f>
        <v>-1.4061919999998928E-3</v>
      </c>
      <c r="H149" s="150">
        <f>+'ZCB rates'!Q221</f>
        <v>-2.780939999999938E-3</v>
      </c>
      <c r="I149" s="151">
        <f t="shared" si="11"/>
        <v>0.99195096535961924</v>
      </c>
      <c r="J149" s="151">
        <f t="shared" si="12"/>
        <v>0.98529709696927537</v>
      </c>
      <c r="K149" s="151">
        <f t="shared" si="13"/>
        <v>0.97442508140462258</v>
      </c>
      <c r="L149" s="151">
        <f t="shared" si="14"/>
        <v>0.95561452860417206</v>
      </c>
      <c r="M149" s="151">
        <f t="shared" si="15"/>
        <v>0.8866967924538306</v>
      </c>
      <c r="N149" s="152">
        <f t="shared" si="16"/>
        <v>15852.052485220258</v>
      </c>
      <c r="O149" s="153">
        <f t="shared" si="17"/>
        <v>-21.180452384543969</v>
      </c>
      <c r="P149" s="154">
        <f t="shared" si="18"/>
        <v>0.14688026979666483</v>
      </c>
      <c r="Q149" s="155">
        <f t="shared" si="19"/>
        <v>9.1805354668102364E-3</v>
      </c>
      <c r="R149" s="158">
        <f t="shared" si="26"/>
        <v>1074.5131829209993</v>
      </c>
      <c r="S149" s="158">
        <f t="shared" si="20"/>
        <v>-35222.292730874557</v>
      </c>
      <c r="T149" s="158">
        <f t="shared" si="21"/>
        <v>1154578.5802710168</v>
      </c>
      <c r="U149" s="165"/>
      <c r="V149" s="77">
        <v>0.14924125689867651</v>
      </c>
      <c r="W149" s="19">
        <f t="shared" si="22"/>
        <v>4.3119297106635826E-2</v>
      </c>
      <c r="X149" s="22">
        <f>+SUM($W$129:W149)</f>
        <v>0.31987104614356088</v>
      </c>
      <c r="Z149"/>
      <c r="AA149"/>
      <c r="AB149"/>
      <c r="AC149"/>
    </row>
    <row r="150" spans="2:50" ht="20" customHeight="1" x14ac:dyDescent="0.35">
      <c r="B150" s="146">
        <f t="shared" si="31"/>
        <v>30</v>
      </c>
      <c r="C150" s="147">
        <f>+'ZCB rates'!B222</f>
        <v>45355</v>
      </c>
      <c r="D150" s="148">
        <f>+'ZCB rates'!M222</f>
        <v>-6.0490000000283976E-6</v>
      </c>
      <c r="E150" s="149">
        <f>+'ZCB rates'!N222</f>
        <v>7.0020999999961564E-5</v>
      </c>
      <c r="F150" s="149">
        <f>+'ZCB rates'!O222</f>
        <v>4.1021799999998326E-4</v>
      </c>
      <c r="G150" s="149">
        <f>+'ZCB rates'!P222</f>
        <v>1.5541839999998941E-3</v>
      </c>
      <c r="H150" s="150">
        <f>+'ZCB rates'!Q222</f>
        <v>6.0202500000000681E-3</v>
      </c>
      <c r="I150" s="151">
        <f t="shared" si="11"/>
        <v>0.99196290951310273</v>
      </c>
      <c r="J150" s="151">
        <f t="shared" si="12"/>
        <v>0.98549068942369777</v>
      </c>
      <c r="K150" s="151">
        <f t="shared" si="13"/>
        <v>0.9753127716411869</v>
      </c>
      <c r="L150" s="151">
        <f t="shared" si="14"/>
        <v>0.95844769847483047</v>
      </c>
      <c r="M150" s="151">
        <f t="shared" si="15"/>
        <v>0.89453522255530116</v>
      </c>
      <c r="N150" s="152">
        <f t="shared" si="16"/>
        <v>15898.82290346144</v>
      </c>
      <c r="O150" s="153">
        <f t="shared" si="17"/>
        <v>25.589965856637718</v>
      </c>
      <c r="P150" s="154">
        <f t="shared" si="18"/>
        <v>0.15625560616666473</v>
      </c>
      <c r="Q150" s="155">
        <f t="shared" si="19"/>
        <v>9.7665270923513164E-3</v>
      </c>
      <c r="R150" s="158">
        <f t="shared" si="26"/>
        <v>195.73829724956482</v>
      </c>
      <c r="S150" s="158">
        <f t="shared" si="20"/>
        <v>2738.5060771581389</v>
      </c>
      <c r="T150" s="158">
        <f t="shared" si="21"/>
        <v>38313.481010158997</v>
      </c>
      <c r="U150" s="165"/>
      <c r="V150" s="77">
        <v>1.3603394153633417</v>
      </c>
      <c r="W150" s="19">
        <f t="shared" si="22"/>
        <v>1.6022022243663104E-2</v>
      </c>
      <c r="X150" s="22">
        <f>+SUM($W$129:W150)</f>
        <v>0.33589306838722399</v>
      </c>
      <c r="Z150"/>
      <c r="AA150"/>
      <c r="AB150"/>
      <c r="AC150"/>
    </row>
    <row r="151" spans="2:50" ht="20" customHeight="1" x14ac:dyDescent="0.35">
      <c r="B151" s="146">
        <f t="shared" si="31"/>
        <v>29</v>
      </c>
      <c r="C151" s="147">
        <f>+'ZCB rates'!B223</f>
        <v>45362</v>
      </c>
      <c r="D151" s="148">
        <f>+'ZCB rates'!M223</f>
        <v>-5.893199999995585E-5</v>
      </c>
      <c r="E151" s="149">
        <f>+'ZCB rates'!N223</f>
        <v>-5.0984999999912255E-5</v>
      </c>
      <c r="F151" s="149">
        <f>+'ZCB rates'!O223</f>
        <v>6.2620000000067011E-5</v>
      </c>
      <c r="G151" s="149">
        <f>+'ZCB rates'!P223</f>
        <v>2.8913999999994841E-4</v>
      </c>
      <c r="H151" s="150">
        <f>+'ZCB rates'!Q223</f>
        <v>-5.0232000000003762E-4</v>
      </c>
      <c r="I151" s="151">
        <f t="shared" si="11"/>
        <v>0.99191045292560209</v>
      </c>
      <c r="J151" s="151">
        <f t="shared" si="12"/>
        <v>0.98537144635204266</v>
      </c>
      <c r="K151" s="151">
        <f t="shared" si="13"/>
        <v>0.97497381378633918</v>
      </c>
      <c r="L151" s="151">
        <f t="shared" si="14"/>
        <v>0.95723598656060005</v>
      </c>
      <c r="M151" s="151">
        <f t="shared" si="15"/>
        <v>0.88871954116168772</v>
      </c>
      <c r="N151" s="152">
        <f t="shared" si="16"/>
        <v>15876.608497410121</v>
      </c>
      <c r="O151" s="153">
        <f t="shared" si="17"/>
        <v>3.3755598053194262</v>
      </c>
      <c r="P151" s="154">
        <f t="shared" si="18"/>
        <v>0.16622936826240925</v>
      </c>
      <c r="Q151" s="155">
        <f t="shared" si="19"/>
        <v>1.0389922438671611E-2</v>
      </c>
      <c r="R151" s="158">
        <f t="shared" si="26"/>
        <v>67.630157815209216</v>
      </c>
      <c r="S151" s="158">
        <f t="shared" si="20"/>
        <v>-556.17389583264878</v>
      </c>
      <c r="T151" s="158">
        <f t="shared" si="21"/>
        <v>4573.8382461101046</v>
      </c>
      <c r="U151" s="165"/>
      <c r="V151" s="77">
        <v>1.7878481464704237</v>
      </c>
      <c r="W151" s="19">
        <f t="shared" si="22"/>
        <v>5.5228119812847178E-2</v>
      </c>
      <c r="X151" s="22">
        <f>+SUM($W$129:W151)</f>
        <v>0.39112118820007119</v>
      </c>
      <c r="Z151"/>
      <c r="AA151"/>
      <c r="AB151"/>
      <c r="AC151"/>
    </row>
    <row r="152" spans="2:50" ht="20" customHeight="1" x14ac:dyDescent="0.35">
      <c r="B152" s="146">
        <f t="shared" si="31"/>
        <v>28</v>
      </c>
      <c r="C152" s="147">
        <f>+'ZCB rates'!B224</f>
        <v>45369</v>
      </c>
      <c r="D152" s="148">
        <f>+'ZCB rates'!M224</f>
        <v>7.2678500000059108E-5</v>
      </c>
      <c r="E152" s="149">
        <f>+'ZCB rates'!N224</f>
        <v>6.8632000000042273E-5</v>
      </c>
      <c r="F152" s="149">
        <f>+'ZCB rates'!O224</f>
        <v>-8.263200000001048E-5</v>
      </c>
      <c r="G152" s="149">
        <f>+'ZCB rates'!P224</f>
        <v>-6.0019600000006852E-4</v>
      </c>
      <c r="H152" s="150">
        <f>+'ZCB rates'!Q224</f>
        <v>-1.8617600000000454E-3</v>
      </c>
      <c r="I152" s="151">
        <f t="shared" si="11"/>
        <v>0.99204100734724476</v>
      </c>
      <c r="J152" s="151">
        <f t="shared" si="12"/>
        <v>0.98548932057808092</v>
      </c>
      <c r="K152" s="151">
        <f t="shared" si="13"/>
        <v>0.97483220717450969</v>
      </c>
      <c r="L152" s="151">
        <f t="shared" si="14"/>
        <v>0.95638506057289774</v>
      </c>
      <c r="M152" s="151">
        <f t="shared" si="15"/>
        <v>0.8875122011077704</v>
      </c>
      <c r="N152" s="152">
        <f t="shared" si="16"/>
        <v>15863.919440542526</v>
      </c>
      <c r="O152" s="153">
        <f t="shared" si="17"/>
        <v>-9.3134970622759283</v>
      </c>
      <c r="P152" s="154">
        <f t="shared" si="18"/>
        <v>0.17683975347064818</v>
      </c>
      <c r="Q152" s="155">
        <f t="shared" si="19"/>
        <v>1.1053108977310227E-2</v>
      </c>
      <c r="R152" s="158">
        <f t="shared" si="26"/>
        <v>437.3457294922739</v>
      </c>
      <c r="S152" s="158">
        <f t="shared" si="20"/>
        <v>-9146.1292681614177</v>
      </c>
      <c r="T152" s="158">
        <f t="shared" si="21"/>
        <v>191271.28710512922</v>
      </c>
      <c r="U152" s="165"/>
      <c r="V152" s="77">
        <v>2.231973966858277</v>
      </c>
      <c r="W152" s="19">
        <f t="shared" si="22"/>
        <v>3.4112509555573236E-3</v>
      </c>
      <c r="X152" s="22">
        <f>+SUM($W$129:W152)</f>
        <v>0.39453243915562852</v>
      </c>
      <c r="Z152"/>
      <c r="AA152"/>
      <c r="AB152"/>
      <c r="AC152"/>
    </row>
    <row r="153" spans="2:50" ht="20" customHeight="1" x14ac:dyDescent="0.35">
      <c r="B153" s="146">
        <f t="shared" si="31"/>
        <v>27</v>
      </c>
      <c r="C153" s="147">
        <f>+'ZCB rates'!B225</f>
        <v>45376</v>
      </c>
      <c r="D153" s="148">
        <f>+'ZCB rates'!M225</f>
        <v>1.1035062500010062E-4</v>
      </c>
      <c r="E153" s="149">
        <f>+'ZCB rates'!N225</f>
        <v>2.1406474999995429E-4</v>
      </c>
      <c r="F153" s="149">
        <f>+'ZCB rates'!O225</f>
        <v>4.157255000000079E-4</v>
      </c>
      <c r="G153" s="149">
        <f>+'ZCB rates'!P225</f>
        <v>8.4628000000010737E-4</v>
      </c>
      <c r="H153" s="150">
        <f>+'ZCB rates'!Q225</f>
        <v>2.4576149999999521E-3</v>
      </c>
      <c r="I153" s="151">
        <f t="shared" si="11"/>
        <v>0.99207838034403439</v>
      </c>
      <c r="J153" s="151">
        <f t="shared" si="12"/>
        <v>0.98563265342246043</v>
      </c>
      <c r="K153" s="151">
        <f t="shared" si="13"/>
        <v>0.97531814319106869</v>
      </c>
      <c r="L153" s="151">
        <f t="shared" si="14"/>
        <v>0.95776944961115551</v>
      </c>
      <c r="M153" s="151">
        <f t="shared" si="15"/>
        <v>0.8913539902123172</v>
      </c>
      <c r="N153" s="152">
        <f t="shared" si="16"/>
        <v>15886.898239359842</v>
      </c>
      <c r="O153" s="153">
        <f t="shared" si="17"/>
        <v>13.665301755039764</v>
      </c>
      <c r="P153" s="154">
        <f t="shared" si="18"/>
        <v>0.18812739730920017</v>
      </c>
      <c r="Q153" s="155">
        <f t="shared" si="19"/>
        <v>1.1758626571606623E-2</v>
      </c>
      <c r="R153" s="158">
        <f t="shared" si="26"/>
        <v>4.2682991835494697</v>
      </c>
      <c r="S153" s="158">
        <f t="shared" si="20"/>
        <v>8.8182474224057437</v>
      </c>
      <c r="T153" s="158">
        <f t="shared" si="21"/>
        <v>18.218377920289068</v>
      </c>
      <c r="U153" s="165"/>
      <c r="V153" s="77">
        <v>3.3755598053194262</v>
      </c>
      <c r="W153" s="19">
        <f t="shared" si="22"/>
        <v>1.0389922438671611E-2</v>
      </c>
      <c r="X153" s="22">
        <f>+SUM($W$129:W153)</f>
        <v>0.40492236159430012</v>
      </c>
      <c r="Z153"/>
      <c r="AA153"/>
      <c r="AB153"/>
      <c r="AC153"/>
    </row>
    <row r="154" spans="2:50" ht="20" customHeight="1" x14ac:dyDescent="0.35">
      <c r="B154" s="146">
        <f t="shared" si="31"/>
        <v>26</v>
      </c>
      <c r="C154" s="147">
        <f>+'ZCB rates'!B226</f>
        <v>45383</v>
      </c>
      <c r="D154" s="148">
        <f>+'ZCB rates'!M226</f>
        <v>1.298187500000885E-5</v>
      </c>
      <c r="E154" s="149">
        <f>+'ZCB rates'!N226</f>
        <v>1.2695000000028018E-5</v>
      </c>
      <c r="F154" s="149">
        <f>+'ZCB rates'!O226</f>
        <v>-3.9402500000043125E-5</v>
      </c>
      <c r="G154" s="149">
        <f>+'ZCB rates'!P226</f>
        <v>-3.6996500000003918E-4</v>
      </c>
      <c r="H154" s="150">
        <f>+'ZCB rates'!Q226</f>
        <v>-2.6551875000000295E-3</v>
      </c>
      <c r="I154" s="151">
        <f t="shared" si="11"/>
        <v>0.99198178761487121</v>
      </c>
      <c r="J154" s="151">
        <f t="shared" si="12"/>
        <v>0.98543419680369937</v>
      </c>
      <c r="K154" s="151">
        <f t="shared" si="13"/>
        <v>0.97487434959430108</v>
      </c>
      <c r="L154" s="151">
        <f t="shared" si="14"/>
        <v>0.95660527541094698</v>
      </c>
      <c r="M154" s="151">
        <f t="shared" si="15"/>
        <v>0.88680830380349207</v>
      </c>
      <c r="N154" s="152">
        <f t="shared" ref="N154:N166" si="33">+SUMPRODUCT(I154:M154,$C$113:$G$113)</f>
        <v>15866.266663785942</v>
      </c>
      <c r="O154" s="153">
        <f t="shared" ref="O154:O166" si="34">+N154-$G$117</f>
        <v>-6.9662738188599178</v>
      </c>
      <c r="P154" s="154">
        <f t="shared" si="18"/>
        <v>0.20013552905234061</v>
      </c>
      <c r="Q154" s="155">
        <f t="shared" si="19"/>
        <v>1.2509177203836833E-2</v>
      </c>
      <c r="R154" s="158">
        <f t="shared" si="26"/>
        <v>344.68110695843177</v>
      </c>
      <c r="S154" s="158">
        <f t="shared" si="20"/>
        <v>-6399.2078796341575</v>
      </c>
      <c r="T154" s="158">
        <f t="shared" si="21"/>
        <v>118805.06549408988</v>
      </c>
      <c r="U154" s="165"/>
      <c r="V154" s="77">
        <v>3.6317818632796843</v>
      </c>
      <c r="W154" s="19">
        <f t="shared" si="22"/>
        <v>2.628418416792953E-2</v>
      </c>
      <c r="X154" s="22">
        <f>+SUM($W$129:W154)</f>
        <v>0.43120654576222966</v>
      </c>
      <c r="Z154"/>
      <c r="AA154"/>
      <c r="AB154"/>
      <c r="AC154"/>
    </row>
    <row r="155" spans="2:50" ht="20" customHeight="1" x14ac:dyDescent="0.35">
      <c r="B155" s="146">
        <f t="shared" si="31"/>
        <v>25</v>
      </c>
      <c r="C155" s="147">
        <f>+'ZCB rates'!B227</f>
        <v>45390</v>
      </c>
      <c r="D155" s="148">
        <f>+'ZCB rates'!M227</f>
        <v>1.8121000000001028E-5</v>
      </c>
      <c r="E155" s="149">
        <f>+'ZCB rates'!N227</f>
        <v>-2.5253750000064061E-5</v>
      </c>
      <c r="F155" s="149">
        <f>+'ZCB rates'!O227</f>
        <v>-2.137189999999579E-4</v>
      </c>
      <c r="G155" s="149">
        <f>+'ZCB rates'!P227</f>
        <v>-6.5767100000004052E-4</v>
      </c>
      <c r="H155" s="150">
        <f>+'ZCB rates'!Q227</f>
        <v>-6.81557500000108E-4</v>
      </c>
      <c r="I155" s="151">
        <f t="shared" si="11"/>
        <v>0.99198688554637493</v>
      </c>
      <c r="J155" s="151">
        <f t="shared" si="12"/>
        <v>0.98539680151728004</v>
      </c>
      <c r="K155" s="151">
        <f t="shared" si="13"/>
        <v>0.97470442772026356</v>
      </c>
      <c r="L155" s="151">
        <f t="shared" si="14"/>
        <v>0.95633009392116064</v>
      </c>
      <c r="M155" s="151">
        <f t="shared" si="15"/>
        <v>0.88856026356761397</v>
      </c>
      <c r="N155" s="152">
        <f t="shared" si="33"/>
        <v>15863.878978943436</v>
      </c>
      <c r="O155" s="153">
        <f t="shared" si="34"/>
        <v>-9.3539586613660504</v>
      </c>
      <c r="P155" s="154">
        <f t="shared" si="18"/>
        <v>0.21291013728972405</v>
      </c>
      <c r="Q155" s="155">
        <f t="shared" si="19"/>
        <v>1.3307635323230673E-2</v>
      </c>
      <c r="R155" s="158">
        <f t="shared" si="26"/>
        <v>439.03969830919812</v>
      </c>
      <c r="S155" s="158">
        <f t="shared" si="20"/>
        <v>-9199.3191687829385</v>
      </c>
      <c r="T155" s="158">
        <f t="shared" si="21"/>
        <v>192755.85669143169</v>
      </c>
      <c r="U155" s="165"/>
      <c r="V155" s="77">
        <v>5.365260442626095</v>
      </c>
      <c r="W155" s="19">
        <f t="shared" si="22"/>
        <v>4.5871592666633855E-2</v>
      </c>
      <c r="X155" s="22">
        <f>+SUM($W$129:W155)</f>
        <v>0.47707813842886354</v>
      </c>
      <c r="Z155"/>
      <c r="AA155"/>
      <c r="AB155"/>
      <c r="AC155"/>
    </row>
    <row r="156" spans="2:50" ht="20" customHeight="1" x14ac:dyDescent="0.35">
      <c r="B156" s="146">
        <f t="shared" si="31"/>
        <v>24</v>
      </c>
      <c r="C156" s="147">
        <f>+'ZCB rates'!B228</f>
        <v>45397</v>
      </c>
      <c r="D156" s="148">
        <f>+'ZCB rates'!M228</f>
        <v>3.1922999999898369E-5</v>
      </c>
      <c r="E156" s="149">
        <f>+'ZCB rates'!N228</f>
        <v>2.3659999999965519E-5</v>
      </c>
      <c r="F156" s="149">
        <f>+'ZCB rates'!O228</f>
        <v>-1.1374400000005126E-4</v>
      </c>
      <c r="G156" s="149">
        <f>+'ZCB rates'!P228</f>
        <v>-7.9818000000008848E-4</v>
      </c>
      <c r="H156" s="150">
        <f>+'ZCB rates'!Q228</f>
        <v>-4.1437299999999878E-3</v>
      </c>
      <c r="I156" s="151">
        <f t="shared" si="11"/>
        <v>0.99200057704385391</v>
      </c>
      <c r="J156" s="151">
        <f t="shared" si="12"/>
        <v>0.98544500214890751</v>
      </c>
      <c r="K156" s="151">
        <f t="shared" si="13"/>
        <v>0.97480187866667278</v>
      </c>
      <c r="L156" s="151">
        <f t="shared" si="14"/>
        <v>0.95619573037585859</v>
      </c>
      <c r="M156" s="151">
        <f t="shared" si="15"/>
        <v>0.88548923394326318</v>
      </c>
      <c r="N156" s="152">
        <f t="shared" si="33"/>
        <v>15859.450470810067</v>
      </c>
      <c r="O156" s="153">
        <f t="shared" si="34"/>
        <v>-13.782466794735228</v>
      </c>
      <c r="P156" s="154">
        <f t="shared" si="18"/>
        <v>0.22650014605289795</v>
      </c>
      <c r="Q156" s="155">
        <f t="shared" si="19"/>
        <v>1.4157058854500717E-2</v>
      </c>
      <c r="R156" s="158">
        <f t="shared" si="26"/>
        <v>644.23487273331443</v>
      </c>
      <c r="S156" s="158">
        <f t="shared" si="20"/>
        <v>-16351.829289895872</v>
      </c>
      <c r="T156" s="158">
        <f t="shared" si="21"/>
        <v>415038.57124570984</v>
      </c>
      <c r="U156" s="165"/>
      <c r="V156" s="77">
        <v>6.4137147262554208</v>
      </c>
      <c r="W156" s="19">
        <f t="shared" si="22"/>
        <v>3.8606280619707151E-3</v>
      </c>
      <c r="X156" s="22">
        <f>+SUM($W$129:W156)</f>
        <v>0.48093876649083428</v>
      </c>
      <c r="Z156"/>
      <c r="AA156"/>
      <c r="AB156"/>
      <c r="AC156"/>
    </row>
    <row r="157" spans="2:50" ht="20" customHeight="1" x14ac:dyDescent="0.35">
      <c r="B157" s="146">
        <f t="shared" si="31"/>
        <v>23</v>
      </c>
      <c r="C157" s="147">
        <f>+'ZCB rates'!B229</f>
        <v>45404</v>
      </c>
      <c r="D157" s="148">
        <f>+'ZCB rates'!M229</f>
        <v>6.5844000000093067E-5</v>
      </c>
      <c r="E157" s="149">
        <f>+'ZCB rates'!N229</f>
        <v>4.3974000000075436E-5</v>
      </c>
      <c r="F157" s="149">
        <f>+'ZCB rates'!O229</f>
        <v>-1.7255600000002559E-4</v>
      </c>
      <c r="G157" s="149">
        <f>+'ZCB rates'!P229</f>
        <v>-9.0379599999996E-4</v>
      </c>
      <c r="H157" s="150">
        <f>+'ZCB rates'!Q229</f>
        <v>-2.8523499999999311E-3</v>
      </c>
      <c r="I157" s="151">
        <f t="shared" si="11"/>
        <v>0.99203422726614943</v>
      </c>
      <c r="J157" s="151">
        <f t="shared" si="12"/>
        <v>0.98546502068200881</v>
      </c>
      <c r="K157" s="151">
        <f t="shared" si="13"/>
        <v>0.97474455030439899</v>
      </c>
      <c r="L157" s="151">
        <f t="shared" si="14"/>
        <v>0.95609474614046863</v>
      </c>
      <c r="M157" s="151">
        <f t="shared" si="15"/>
        <v>0.8866334756966332</v>
      </c>
      <c r="N157" s="152">
        <f t="shared" si="33"/>
        <v>15859.060811459</v>
      </c>
      <c r="O157" s="153">
        <f t="shared" si="34"/>
        <v>-14.172126145802395</v>
      </c>
      <c r="P157" s="154">
        <f t="shared" si="18"/>
        <v>0.24095760218393397</v>
      </c>
      <c r="Q157" s="155">
        <f t="shared" si="19"/>
        <v>1.5060700909043316E-2</v>
      </c>
      <c r="R157" s="158">
        <f t="shared" si="26"/>
        <v>664.16720478321463</v>
      </c>
      <c r="S157" s="158">
        <f t="shared" si="20"/>
        <v>-17116.546364737096</v>
      </c>
      <c r="T157" s="158">
        <f t="shared" si="21"/>
        <v>441118.07590954856</v>
      </c>
      <c r="U157" s="165"/>
      <c r="V157" s="77">
        <v>7.1046077291703114</v>
      </c>
      <c r="W157" s="19">
        <f t="shared" si="22"/>
        <v>3.3665346371936931E-2</v>
      </c>
      <c r="X157" s="22">
        <f>+SUM($W$129:W157)</f>
        <v>0.51460411286277119</v>
      </c>
      <c r="Z157"/>
      <c r="AA157"/>
      <c r="AB157"/>
      <c r="AC157"/>
    </row>
    <row r="158" spans="2:50" ht="20" customHeight="1" x14ac:dyDescent="0.35">
      <c r="B158" s="146">
        <f t="shared" si="31"/>
        <v>22</v>
      </c>
      <c r="C158" s="147">
        <f>+'ZCB rates'!B230</f>
        <v>45411</v>
      </c>
      <c r="D158" s="148">
        <f>+'ZCB rates'!M230</f>
        <v>3.0500125000000632E-5</v>
      </c>
      <c r="E158" s="149">
        <f>+'ZCB rates'!N230</f>
        <v>4.0102249999979177E-5</v>
      </c>
      <c r="F158" s="149">
        <f>+'ZCB rates'!O230</f>
        <v>3.2233999999986071E-5</v>
      </c>
      <c r="G158" s="149">
        <f>+'ZCB rates'!P230</f>
        <v>4.5702000000051558E-5</v>
      </c>
      <c r="H158" s="150">
        <f>+'ZCB rates'!Q230</f>
        <v>8.5726249999986878E-4</v>
      </c>
      <c r="I158" s="151">
        <f t="shared" si="11"/>
        <v>0.99199916555203715</v>
      </c>
      <c r="J158" s="151">
        <f t="shared" si="12"/>
        <v>0.9854612052152012</v>
      </c>
      <c r="K158" s="151">
        <f t="shared" si="13"/>
        <v>0.97494418868212984</v>
      </c>
      <c r="L158" s="151">
        <f t="shared" si="14"/>
        <v>0.95700298730809052</v>
      </c>
      <c r="M158" s="151">
        <f t="shared" si="15"/>
        <v>0.88992865045292591</v>
      </c>
      <c r="N158" s="152">
        <f t="shared" si="33"/>
        <v>15874.593277020165</v>
      </c>
      <c r="O158" s="153">
        <f t="shared" si="34"/>
        <v>1.3603394153633417</v>
      </c>
      <c r="P158" s="154">
        <f t="shared" si="18"/>
        <v>0.25633787466375957</v>
      </c>
      <c r="Q158" s="155">
        <f t="shared" si="19"/>
        <v>1.6022022243663104E-2</v>
      </c>
      <c r="R158" s="158">
        <f t="shared" si="26"/>
        <v>104.83663137309125</v>
      </c>
      <c r="S158" s="158">
        <f t="shared" si="20"/>
        <v>-1073.4197619929021</v>
      </c>
      <c r="T158" s="158">
        <f t="shared" si="21"/>
        <v>10990.719277657421</v>
      </c>
      <c r="U158" s="165"/>
      <c r="V158" s="77">
        <v>8.2513112024844304</v>
      </c>
      <c r="W158" s="19">
        <f t="shared" si="22"/>
        <v>4.6480886484337718E-3</v>
      </c>
      <c r="X158" s="22">
        <f>+SUM($W$129:W158)</f>
        <v>0.51925220151120499</v>
      </c>
      <c r="Z158"/>
      <c r="AA158"/>
      <c r="AB158"/>
      <c r="AC158"/>
    </row>
    <row r="159" spans="2:50" ht="20" customHeight="1" x14ac:dyDescent="0.35">
      <c r="B159" s="146">
        <f t="shared" si="31"/>
        <v>21</v>
      </c>
      <c r="C159" s="147">
        <f>+'ZCB rates'!B231</f>
        <v>45418</v>
      </c>
      <c r="D159" s="148">
        <f>+'ZCB rates'!M231</f>
        <v>5.6890375000105267E-5</v>
      </c>
      <c r="E159" s="149">
        <f>+'ZCB rates'!N231</f>
        <v>1.1938074999985867E-4</v>
      </c>
      <c r="F159" s="149">
        <f>+'ZCB rates'!O231</f>
        <v>2.719779999999758E-4</v>
      </c>
      <c r="G159" s="149">
        <f>+'ZCB rates'!P231</f>
        <v>7.0507799999998812E-4</v>
      </c>
      <c r="H159" s="150">
        <f>+'ZCB rates'!Q231</f>
        <v>2.5345574999999219E-3</v>
      </c>
      <c r="I159" s="151">
        <f t="shared" si="11"/>
        <v>0.99202534500345563</v>
      </c>
      <c r="J159" s="151">
        <f t="shared" si="12"/>
        <v>0.98553933419829209</v>
      </c>
      <c r="K159" s="151">
        <f t="shared" si="13"/>
        <v>0.97517795372246452</v>
      </c>
      <c r="L159" s="151">
        <f t="shared" si="14"/>
        <v>0.95763422019688793</v>
      </c>
      <c r="M159" s="151">
        <f t="shared" si="15"/>
        <v>0.89142257585525064</v>
      </c>
      <c r="N159" s="152">
        <f t="shared" si="33"/>
        <v>15884.861628806173</v>
      </c>
      <c r="O159" s="153">
        <f t="shared" si="34"/>
        <v>11.628691201371112</v>
      </c>
      <c r="P159" s="154">
        <f t="shared" si="18"/>
        <v>0.27269986666357399</v>
      </c>
      <c r="Q159" s="155">
        <f t="shared" si="19"/>
        <v>1.7044704514535214E-2</v>
      </c>
      <c r="R159" s="158">
        <f t="shared" si="26"/>
        <v>8.6293151163866291E-4</v>
      </c>
      <c r="S159" s="158">
        <f t="shared" si="20"/>
        <v>2.5349213698231986E-5</v>
      </c>
      <c r="T159" s="158">
        <f t="shared" si="21"/>
        <v>7.4465079377898778E-7</v>
      </c>
      <c r="U159" s="165"/>
      <c r="V159" s="77">
        <v>10.149862995773219</v>
      </c>
      <c r="W159" s="19">
        <f t="shared" si="22"/>
        <v>2.1831222822935578E-2</v>
      </c>
      <c r="X159" s="22">
        <f>+SUM($W$129:W159)</f>
        <v>0.54108342433414058</v>
      </c>
      <c r="Z159"/>
      <c r="AA159"/>
      <c r="AB159"/>
      <c r="AC159"/>
    </row>
    <row r="160" spans="2:50" ht="20" customHeight="1" x14ac:dyDescent="0.35">
      <c r="B160" s="146">
        <f t="shared" si="31"/>
        <v>20</v>
      </c>
      <c r="C160" s="147">
        <f>+'ZCB rates'!B232</f>
        <v>45425</v>
      </c>
      <c r="D160" s="148">
        <f>+'ZCB rates'!M232</f>
        <v>6.5197999999967238E-5</v>
      </c>
      <c r="E160" s="149">
        <f>+'ZCB rates'!N232</f>
        <v>7.1893999999962961E-5</v>
      </c>
      <c r="F160" s="149">
        <f>+'ZCB rates'!O232</f>
        <v>-1.350600000006074E-5</v>
      </c>
      <c r="G160" s="149">
        <f>+'ZCB rates'!P232</f>
        <v>-2.7443200000001124E-4</v>
      </c>
      <c r="H160" s="150">
        <f>+'ZCB rates'!Q232</f>
        <v>-3.952100000000238E-4</v>
      </c>
      <c r="I160" s="151">
        <f t="shared" si="11"/>
        <v>0.99203358641224548</v>
      </c>
      <c r="J160" s="151">
        <f t="shared" si="12"/>
        <v>0.98549253524948777</v>
      </c>
      <c r="K160" s="151">
        <f t="shared" si="13"/>
        <v>0.97489959575478746</v>
      </c>
      <c r="L160" s="151">
        <f t="shared" si="14"/>
        <v>0.95669666714811674</v>
      </c>
      <c r="M160" s="151">
        <f t="shared" si="15"/>
        <v>0.88881473700986424</v>
      </c>
      <c r="N160" s="152">
        <f t="shared" si="33"/>
        <v>15869.406820420882</v>
      </c>
      <c r="O160" s="153">
        <f t="shared" si="34"/>
        <v>-3.8261171839203598</v>
      </c>
      <c r="P160" s="154">
        <f t="shared" ref="P160:P180" si="35">+Lambda^B160</f>
        <v>0.29010624113146172</v>
      </c>
      <c r="Q160" s="155">
        <f t="shared" ref="Q160:Q180" si="36">+P160/$P$378</f>
        <v>1.8132664377165125E-2</v>
      </c>
      <c r="R160" s="158">
        <f t="shared" si="26"/>
        <v>237.94397365388136</v>
      </c>
      <c r="S160" s="158">
        <f t="shared" si="20"/>
        <v>-3670.3887494360656</v>
      </c>
      <c r="T160" s="158">
        <f t="shared" si="21"/>
        <v>56617.334598198984</v>
      </c>
      <c r="U160" s="165"/>
      <c r="V160" s="77">
        <v>11.628691201371112</v>
      </c>
      <c r="W160" s="19">
        <f t="shared" si="22"/>
        <v>1.7044704514535214E-2</v>
      </c>
      <c r="X160" s="22">
        <f>+SUM($W$129:W160)</f>
        <v>0.5581281288486758</v>
      </c>
      <c r="Z160"/>
      <c r="AA160"/>
      <c r="AB160"/>
      <c r="AC160"/>
    </row>
    <row r="161" spans="2:29" ht="20" customHeight="1" x14ac:dyDescent="0.35">
      <c r="B161" s="146">
        <f t="shared" si="31"/>
        <v>19</v>
      </c>
      <c r="C161" s="147">
        <f>+'ZCB rates'!B233</f>
        <v>45432</v>
      </c>
      <c r="D161" s="148">
        <f>+'ZCB rates'!M233</f>
        <v>-2.2695999999990955E-5</v>
      </c>
      <c r="E161" s="149">
        <f>+'ZCB rates'!N233</f>
        <v>-1.0134999999991123E-4</v>
      </c>
      <c r="F161" s="149">
        <f>+'ZCB rates'!O233</f>
        <v>-3.7371600000001584E-4</v>
      </c>
      <c r="G161" s="149">
        <f>+'ZCB rates'!P233</f>
        <v>-1.1335720000000464E-3</v>
      </c>
      <c r="H161" s="150">
        <f>+'ZCB rates'!Q233</f>
        <v>-3.2283000000000051E-3</v>
      </c>
      <c r="I161" s="151">
        <f t="shared" ref="I161:I180" si="37">+C$114*EXP(D161)</f>
        <v>0.99194639644399507</v>
      </c>
      <c r="J161" s="151">
        <f t="shared" ref="J161:J180" si="38">+D$114*EXP(E161)</f>
        <v>0.98532181936888907</v>
      </c>
      <c r="K161" s="151">
        <f t="shared" ref="K161:K180" si="39">+E$114*EXP(F161)</f>
        <v>0.97454849041102498</v>
      </c>
      <c r="L161" s="151">
        <f t="shared" ref="L161:L180" si="40">+F$114*EXP(G161)</f>
        <v>0.95587508375161845</v>
      </c>
      <c r="M161" s="151">
        <f t="shared" ref="M161:M180" si="41">+G$114*EXP(H161)</f>
        <v>0.88630020849127322</v>
      </c>
      <c r="N161" s="152">
        <f t="shared" si="33"/>
        <v>15855.402633389978</v>
      </c>
      <c r="O161" s="153">
        <f t="shared" si="34"/>
        <v>-17.830304214823627</v>
      </c>
      <c r="P161" s="154">
        <f t="shared" si="35"/>
        <v>0.30862366077815073</v>
      </c>
      <c r="Q161" s="155">
        <f t="shared" si="36"/>
        <v>1.9290068486345874E-2</v>
      </c>
      <c r="R161" s="158">
        <f t="shared" ref="R161:R180" si="42">+($O161-$C$123)^2</f>
        <v>866.10251687912796</v>
      </c>
      <c r="S161" s="158">
        <f t="shared" ref="S161:S180" si="43">+($O161-$C$123)^3</f>
        <v>-25489.067710512976</v>
      </c>
      <c r="T161" s="158">
        <f t="shared" ref="T161:T180" si="44">+($O161-$C$123)^4</f>
        <v>750133.56974436017</v>
      </c>
      <c r="U161" s="165"/>
      <c r="V161" s="77">
        <v>12.198289386173201</v>
      </c>
      <c r="W161" s="19">
        <f t="shared" ref="W161:W180" si="45">+_xlfn.XLOOKUP(V161,$O$129:$O$180,$Q$129:$Q$180)</f>
        <v>3.6289903782524727E-3</v>
      </c>
      <c r="X161" s="22">
        <f>+SUM($W$129:W161)</f>
        <v>0.56175711922692828</v>
      </c>
      <c r="Z161"/>
      <c r="AA161"/>
      <c r="AB161"/>
      <c r="AC161"/>
    </row>
    <row r="162" spans="2:29" ht="20" customHeight="1" x14ac:dyDescent="0.35">
      <c r="B162" s="146">
        <f t="shared" si="31"/>
        <v>18</v>
      </c>
      <c r="C162" s="147">
        <f>+'ZCB rates'!B234</f>
        <v>45439</v>
      </c>
      <c r="D162" s="148">
        <f>+'ZCB rates'!M234</f>
        <v>9.1146000000052731E-5</v>
      </c>
      <c r="E162" s="149">
        <f>+'ZCB rates'!N234</f>
        <v>1.0848999999997882E-4</v>
      </c>
      <c r="F162" s="149">
        <f>+'ZCB rates'!O234</f>
        <v>-1.9032000000097141E-5</v>
      </c>
      <c r="G162" s="149">
        <f>+'ZCB rates'!P234</f>
        <v>-6.4101999999997437E-4</v>
      </c>
      <c r="H162" s="150">
        <f>+'ZCB rates'!Q234</f>
        <v>-3.0411200000000902E-3</v>
      </c>
      <c r="I162" s="151">
        <f t="shared" si="37"/>
        <v>0.9920593280337161</v>
      </c>
      <c r="J162" s="151">
        <f t="shared" si="38"/>
        <v>0.98552860099423467</v>
      </c>
      <c r="K162" s="151">
        <f t="shared" si="39"/>
        <v>0.97489420847450636</v>
      </c>
      <c r="L162" s="151">
        <f t="shared" si="40"/>
        <v>0.95634601790612928</v>
      </c>
      <c r="M162" s="151">
        <f t="shared" si="41"/>
        <v>0.88646612169163053</v>
      </c>
      <c r="N162" s="152">
        <f t="shared" si="33"/>
        <v>15862.562107666236</v>
      </c>
      <c r="O162" s="153">
        <f t="shared" si="34"/>
        <v>-10.670829938566385</v>
      </c>
      <c r="P162" s="154">
        <f t="shared" si="35"/>
        <v>0.32832304338101148</v>
      </c>
      <c r="Q162" s="155">
        <f t="shared" si="36"/>
        <v>2.0521349453559445E-2</v>
      </c>
      <c r="R162" s="158">
        <f t="shared" si="42"/>
        <v>495.95937809704566</v>
      </c>
      <c r="S162" s="158">
        <f t="shared" si="43"/>
        <v>-11045.087484538461</v>
      </c>
      <c r="T162" s="158">
        <f t="shared" si="44"/>
        <v>245975.70472240829</v>
      </c>
      <c r="U162" s="165"/>
      <c r="V162" s="77">
        <v>13.066111070173065</v>
      </c>
      <c r="W162" s="19">
        <f t="shared" si="45"/>
        <v>4.8799566666631766E-2</v>
      </c>
      <c r="X162" s="22">
        <f>+SUM($W$129:W162)</f>
        <v>0.61055668589356005</v>
      </c>
      <c r="Z162"/>
      <c r="AA162"/>
      <c r="AB162"/>
      <c r="AC162"/>
    </row>
    <row r="163" spans="2:29" ht="20" customHeight="1" x14ac:dyDescent="0.35">
      <c r="B163" s="146">
        <f t="shared" si="31"/>
        <v>17</v>
      </c>
      <c r="C163" s="147">
        <f>+'ZCB rates'!B235</f>
        <v>45446</v>
      </c>
      <c r="D163" s="148">
        <f>+'ZCB rates'!M235</f>
        <v>8.0719499999994462E-5</v>
      </c>
      <c r="E163" s="149">
        <f>+'ZCB rates'!N235</f>
        <v>1.5169100000015338E-4</v>
      </c>
      <c r="F163" s="149">
        <f>+'ZCB rates'!O235</f>
        <v>2.862820000001422E-4</v>
      </c>
      <c r="G163" s="149">
        <f>+'ZCB rates'!P235</f>
        <v>6.0823200000009129E-4</v>
      </c>
      <c r="H163" s="150">
        <f>+'ZCB rates'!Q235</f>
        <v>2.1964300000001731E-3</v>
      </c>
      <c r="I163" s="151">
        <f t="shared" si="37"/>
        <v>0.99204898438105649</v>
      </c>
      <c r="J163" s="151">
        <f t="shared" si="38"/>
        <v>0.98557117773499869</v>
      </c>
      <c r="K163" s="151">
        <f t="shared" si="39"/>
        <v>0.97519190276767798</v>
      </c>
      <c r="L163" s="151">
        <f t="shared" si="40"/>
        <v>0.95754148164395025</v>
      </c>
      <c r="M163" s="151">
        <f t="shared" si="41"/>
        <v>0.89112121232075392</v>
      </c>
      <c r="N163" s="152">
        <f t="shared" si="33"/>
        <v>15883.382800600575</v>
      </c>
      <c r="O163" s="153">
        <f t="shared" si="34"/>
        <v>10.149862995773219</v>
      </c>
      <c r="P163" s="154">
        <f t="shared" si="35"/>
        <v>0.34927983338405477</v>
      </c>
      <c r="Q163" s="155">
        <f t="shared" si="36"/>
        <v>2.1831222822935578E-2</v>
      </c>
      <c r="R163" s="158">
        <f t="shared" si="42"/>
        <v>2.1009125777693853</v>
      </c>
      <c r="S163" s="158">
        <f t="shared" si="43"/>
        <v>-3.045173008431135</v>
      </c>
      <c r="T163" s="158">
        <f t="shared" si="44"/>
        <v>4.4138336594296037</v>
      </c>
      <c r="U163" s="165"/>
      <c r="V163" s="77">
        <v>13.665301755039764</v>
      </c>
      <c r="W163" s="19">
        <f t="shared" si="45"/>
        <v>1.1758626571606623E-2</v>
      </c>
      <c r="X163" s="22">
        <f>+SUM($W$129:W163)</f>
        <v>0.62231531246516669</v>
      </c>
      <c r="Z163"/>
      <c r="AA163"/>
      <c r="AB163"/>
      <c r="AC163"/>
    </row>
    <row r="164" spans="2:29" ht="20" customHeight="1" x14ac:dyDescent="0.35">
      <c r="B164" s="146">
        <f t="shared" si="31"/>
        <v>16</v>
      </c>
      <c r="C164" s="147">
        <f>+'ZCB rates'!B236</f>
        <v>45453</v>
      </c>
      <c r="D164" s="148">
        <f>+'ZCB rates'!M236</f>
        <v>8.4010999999961286E-5</v>
      </c>
      <c r="E164" s="149">
        <f>+'ZCB rates'!N236</f>
        <v>1.2478699999996176E-4</v>
      </c>
      <c r="F164" s="149">
        <f>+'ZCB rates'!O236</f>
        <v>1.0897799999997491E-4</v>
      </c>
      <c r="G164" s="149">
        <f>+'ZCB rates'!P236</f>
        <v>-1.6674400000005028E-4</v>
      </c>
      <c r="H164" s="150">
        <f>+'ZCB rates'!Q236</f>
        <v>-1.8778999999999281E-3</v>
      </c>
      <c r="I164" s="151">
        <f t="shared" si="37"/>
        <v>0.99205224971566242</v>
      </c>
      <c r="J164" s="151">
        <f t="shared" si="38"/>
        <v>0.98554466228472015</v>
      </c>
      <c r="K164" s="151">
        <f t="shared" si="39"/>
        <v>0.97501901267005542</v>
      </c>
      <c r="L164" s="151">
        <f t="shared" si="40"/>
        <v>0.95679969744627236</v>
      </c>
      <c r="M164" s="151">
        <f t="shared" si="41"/>
        <v>0.88749787677644232</v>
      </c>
      <c r="N164" s="152">
        <f t="shared" si="33"/>
        <v>15869.80905703821</v>
      </c>
      <c r="O164" s="153">
        <f t="shared" si="34"/>
        <v>-3.4238805665918335</v>
      </c>
      <c r="P164" s="154">
        <f t="shared" si="35"/>
        <v>0.37157429083410082</v>
      </c>
      <c r="Q164" s="155">
        <f t="shared" si="36"/>
        <v>2.3224705130782532E-2</v>
      </c>
      <c r="R164" s="158">
        <f t="shared" si="42"/>
        <v>225.69642021860963</v>
      </c>
      <c r="S164" s="158">
        <f t="shared" si="43"/>
        <v>-3390.6815736990879</v>
      </c>
      <c r="T164" s="158">
        <f t="shared" si="44"/>
        <v>50938.874099495224</v>
      </c>
      <c r="U164" s="165"/>
      <c r="V164" s="77">
        <v>17.567400974799966</v>
      </c>
      <c r="W164" s="19">
        <f t="shared" si="45"/>
        <v>2.6633306358503864E-3</v>
      </c>
      <c r="X164" s="22">
        <f>+SUM($W$129:W164)</f>
        <v>0.62497864310101703</v>
      </c>
      <c r="Z164"/>
      <c r="AA164"/>
      <c r="AB164"/>
      <c r="AC164"/>
    </row>
    <row r="165" spans="2:29" ht="20" customHeight="1" x14ac:dyDescent="0.35">
      <c r="B165" s="146">
        <f t="shared" ref="B165:B179" si="46">+B166+1</f>
        <v>15</v>
      </c>
      <c r="C165" s="147">
        <f>+'ZCB rates'!B237</f>
        <v>45460</v>
      </c>
      <c r="D165" s="148">
        <f>+'ZCB rates'!M237</f>
        <v>6.1192999999879662E-5</v>
      </c>
      <c r="E165" s="149">
        <f>+'ZCB rates'!N237</f>
        <v>1.6055699999996108E-4</v>
      </c>
      <c r="F165" s="149">
        <f>+'ZCB rates'!O237</f>
        <v>4.5769399999987486E-4</v>
      </c>
      <c r="G165" s="149">
        <f>+'ZCB rates'!P237</f>
        <v>1.339368000000053E-3</v>
      </c>
      <c r="H165" s="150">
        <f>+'ZCB rates'!Q237</f>
        <v>4.693220000000089E-3</v>
      </c>
      <c r="I165" s="151">
        <f t="shared" si="37"/>
        <v>0.99202961332568784</v>
      </c>
      <c r="J165" s="151">
        <f t="shared" si="38"/>
        <v>0.98557991584779625</v>
      </c>
      <c r="K165" s="151">
        <f t="shared" si="39"/>
        <v>0.97535907668951383</v>
      </c>
      <c r="L165" s="151">
        <f t="shared" si="40"/>
        <v>0.95824183068667412</v>
      </c>
      <c r="M165" s="151">
        <f t="shared" si="41"/>
        <v>0.89334893477274024</v>
      </c>
      <c r="N165" s="152">
        <f t="shared" si="33"/>
        <v>15895.101087762005</v>
      </c>
      <c r="O165" s="153">
        <f t="shared" si="34"/>
        <v>21.868150157202763</v>
      </c>
      <c r="P165" s="154">
        <f t="shared" si="35"/>
        <v>0.39529179875968168</v>
      </c>
      <c r="Q165" s="155">
        <f t="shared" si="36"/>
        <v>2.4707133117853754E-2</v>
      </c>
      <c r="R165" s="158">
        <f t="shared" si="42"/>
        <v>105.44896510531412</v>
      </c>
      <c r="S165" s="158">
        <f t="shared" si="43"/>
        <v>1082.8379868663337</v>
      </c>
      <c r="T165" s="158">
        <f t="shared" si="44"/>
        <v>11119.484241781754</v>
      </c>
      <c r="U165" s="165"/>
      <c r="V165" s="77">
        <v>20.417433087632162</v>
      </c>
      <c r="W165" s="19">
        <f t="shared" si="45"/>
        <v>6.2503530797699394E-2</v>
      </c>
      <c r="X165" s="22">
        <f>+SUM($W$129:W165)</f>
        <v>0.68748217389871646</v>
      </c>
      <c r="Z165"/>
      <c r="AA165"/>
      <c r="AB165"/>
      <c r="AC165"/>
    </row>
    <row r="166" spans="2:29" ht="20" customHeight="1" x14ac:dyDescent="0.35">
      <c r="B166" s="146">
        <f t="shared" si="46"/>
        <v>14</v>
      </c>
      <c r="C166" s="147">
        <f>+'ZCB rates'!B238</f>
        <v>45467</v>
      </c>
      <c r="D166" s="148">
        <f>+'ZCB rates'!M238</f>
        <v>6.5463999999923139E-5</v>
      </c>
      <c r="E166" s="149">
        <f>+'ZCB rates'!N238</f>
        <v>1.2263699999995705E-4</v>
      </c>
      <c r="F166" s="149">
        <f>+'ZCB rates'!O238</f>
        <v>2.099360000000894E-4</v>
      </c>
      <c r="G166" s="149">
        <f>+'ZCB rates'!P238</f>
        <v>2.7158800000003314E-4</v>
      </c>
      <c r="H166" s="150">
        <f>+'ZCB rates'!Q238</f>
        <v>-3.2224000000002841E-4</v>
      </c>
      <c r="I166" s="151">
        <f t="shared" si="37"/>
        <v>0.99203385029321445</v>
      </c>
      <c r="J166" s="151">
        <f t="shared" si="38"/>
        <v>0.98554254336597413</v>
      </c>
      <c r="K166" s="151">
        <f t="shared" si="39"/>
        <v>0.97511745360865321</v>
      </c>
      <c r="L166" s="151">
        <f t="shared" si="40"/>
        <v>0.95721918530201233</v>
      </c>
      <c r="M166" s="151">
        <f t="shared" si="41"/>
        <v>0.88887959618758217</v>
      </c>
      <c r="N166" s="152">
        <f t="shared" si="33"/>
        <v>15876.864719468082</v>
      </c>
      <c r="O166" s="153">
        <f t="shared" si="34"/>
        <v>3.6317818632796843</v>
      </c>
      <c r="P166" s="154">
        <f t="shared" si="35"/>
        <v>0.42052319016987422</v>
      </c>
      <c r="Q166" s="155">
        <f t="shared" si="36"/>
        <v>2.628418416792953E-2</v>
      </c>
      <c r="R166" s="158">
        <f t="shared" si="42"/>
        <v>63.481592338901763</v>
      </c>
      <c r="S166" s="158">
        <f t="shared" si="43"/>
        <v>-505.79172261788858</v>
      </c>
      <c r="T166" s="158">
        <f t="shared" si="44"/>
        <v>4029.912565882511</v>
      </c>
      <c r="U166" s="165"/>
      <c r="V166" s="77">
        <v>20.801140376075637</v>
      </c>
      <c r="W166" s="19">
        <f t="shared" si="45"/>
        <v>3.0141813443304516E-3</v>
      </c>
      <c r="X166" s="22">
        <f>+SUM($W$129:W166)</f>
        <v>0.69049635524304687</v>
      </c>
      <c r="Z166"/>
      <c r="AA166"/>
      <c r="AB166"/>
      <c r="AC166"/>
    </row>
    <row r="167" spans="2:29" ht="20" customHeight="1" x14ac:dyDescent="0.35">
      <c r="B167" s="146">
        <f t="shared" si="46"/>
        <v>13</v>
      </c>
      <c r="C167" s="147">
        <f>+'ZCB rates'!B239</f>
        <v>45474</v>
      </c>
      <c r="D167" s="148">
        <f>+'ZCB rates'!M239</f>
        <v>-2.4641000000005482E-5</v>
      </c>
      <c r="E167" s="155">
        <f>+'ZCB rates'!N239</f>
        <v>-7.8922999999920775E-5</v>
      </c>
      <c r="F167" s="155">
        <f>+'ZCB rates'!O239</f>
        <v>-2.6362999999996384E-4</v>
      </c>
      <c r="G167" s="155">
        <f>+'ZCB rates'!P239</f>
        <v>-8.6122799999986384E-4</v>
      </c>
      <c r="H167" s="150">
        <f>+'ZCB rates'!Q239</f>
        <v>-3.4495500000000286E-3</v>
      </c>
      <c r="I167" s="151">
        <f t="shared" si="37"/>
        <v>0.99194446711013018</v>
      </c>
      <c r="J167" s="151">
        <f t="shared" si="38"/>
        <v>0.98534391742912775</v>
      </c>
      <c r="K167" s="151">
        <f t="shared" si="39"/>
        <v>0.9746557804615984</v>
      </c>
      <c r="L167" s="151">
        <f t="shared" si="40"/>
        <v>0.95613544604787315</v>
      </c>
      <c r="M167" s="151">
        <f t="shared" si="41"/>
        <v>0.88610413626143469</v>
      </c>
      <c r="N167" s="152">
        <f t="shared" ref="N167:N180" si="47">+SUMPRODUCT(I167:M167,$C$113:$G$113)</f>
        <v>15858.905503223525</v>
      </c>
      <c r="O167" s="153">
        <f t="shared" ref="O167:O180" si="48">+N167-$G$117</f>
        <v>-14.327434381277271</v>
      </c>
      <c r="P167" s="154">
        <f t="shared" si="35"/>
        <v>0.44736509592539803</v>
      </c>
      <c r="Q167" s="155">
        <f t="shared" si="36"/>
        <v>2.7961898050988858E-2</v>
      </c>
      <c r="R167" s="158">
        <f t="shared" si="42"/>
        <v>672.19635968821626</v>
      </c>
      <c r="S167" s="158">
        <f t="shared" si="43"/>
        <v>-17427.866892395919</v>
      </c>
      <c r="T167" s="158">
        <f t="shared" si="44"/>
        <v>451847.94597808982</v>
      </c>
      <c r="U167" s="165"/>
      <c r="V167" s="77">
        <v>21.868150157202763</v>
      </c>
      <c r="W167" s="19">
        <f t="shared" si="45"/>
        <v>2.4707133117853754E-2</v>
      </c>
      <c r="X167" s="22">
        <f>+SUM($W$129:W167)</f>
        <v>0.71520348836090064</v>
      </c>
      <c r="Z167"/>
      <c r="AA167"/>
      <c r="AB167"/>
      <c r="AC167"/>
    </row>
    <row r="168" spans="2:29" ht="20" customHeight="1" x14ac:dyDescent="0.35">
      <c r="B168" s="146">
        <f t="shared" si="46"/>
        <v>12</v>
      </c>
      <c r="C168" s="147">
        <f>+'ZCB rates'!B240</f>
        <v>45481</v>
      </c>
      <c r="D168" s="148">
        <f>+'ZCB rates'!M240</f>
        <v>1.1759499999995444E-4</v>
      </c>
      <c r="E168" s="155">
        <f>+'ZCB rates'!N240</f>
        <v>2.5522399999997953E-4</v>
      </c>
      <c r="F168" s="155">
        <f>+'ZCB rates'!O240</f>
        <v>5.9661599999989332E-4</v>
      </c>
      <c r="G168" s="155">
        <f>+'ZCB rates'!P240</f>
        <v>1.53931199999988E-3</v>
      </c>
      <c r="H168" s="150">
        <f>+'ZCB rates'!Q240</f>
        <v>5.5545400000001121E-3</v>
      </c>
      <c r="I168" s="151">
        <f t="shared" si="37"/>
        <v>0.99208556735788356</v>
      </c>
      <c r="J168" s="151">
        <f t="shared" si="38"/>
        <v>0.98567322215813447</v>
      </c>
      <c r="K168" s="151">
        <f t="shared" si="39"/>
        <v>0.97549458493548602</v>
      </c>
      <c r="L168" s="151">
        <f t="shared" si="40"/>
        <v>0.95843344454665125</v>
      </c>
      <c r="M168" s="151">
        <f t="shared" si="41"/>
        <v>0.89411872554774341</v>
      </c>
      <c r="N168" s="152">
        <f t="shared" si="47"/>
        <v>15898.654865957866</v>
      </c>
      <c r="O168" s="153">
        <f t="shared" si="48"/>
        <v>25.421928353063777</v>
      </c>
      <c r="P168" s="154">
        <f t="shared" si="35"/>
        <v>0.47592031481425329</v>
      </c>
      <c r="Q168" s="155">
        <f t="shared" si="36"/>
        <v>2.9746700054243472E-2</v>
      </c>
      <c r="R168" s="158">
        <f t="shared" si="42"/>
        <v>191.06462593538873</v>
      </c>
      <c r="S168" s="158">
        <f t="shared" si="43"/>
        <v>2641.0123531815907</v>
      </c>
      <c r="T168" s="158">
        <f t="shared" si="44"/>
        <v>36505.69128383002</v>
      </c>
      <c r="U168" s="165"/>
      <c r="V168" s="77">
        <v>25.421928353063777</v>
      </c>
      <c r="W168" s="19">
        <f t="shared" si="45"/>
        <v>2.9746700054243472E-2</v>
      </c>
      <c r="X168" s="22">
        <f>+SUM($W$129:W168)</f>
        <v>0.74495018841514415</v>
      </c>
      <c r="Z168"/>
      <c r="AA168"/>
      <c r="AB168"/>
      <c r="AC168"/>
    </row>
    <row r="169" spans="2:29" ht="20" customHeight="1" x14ac:dyDescent="0.35">
      <c r="B169" s="146">
        <f t="shared" si="46"/>
        <v>11</v>
      </c>
      <c r="C169" s="147">
        <f>+'ZCB rates'!B241</f>
        <v>45488</v>
      </c>
      <c r="D169" s="148">
        <f>+'ZCB rates'!M241</f>
        <v>8.001549999995241E-5</v>
      </c>
      <c r="E169" s="155">
        <f>+'ZCB rates'!N241</f>
        <v>2.2548000000005222E-4</v>
      </c>
      <c r="F169" s="155">
        <f>+'ZCB rates'!O241</f>
        <v>6.5147999999991778E-4</v>
      </c>
      <c r="G169" s="155">
        <f>+'ZCB rates'!P241</f>
        <v>1.753596000000023E-3</v>
      </c>
      <c r="H169" s="150">
        <f>+'ZCB rates'!Q241</f>
        <v>4.735440000000102E-3</v>
      </c>
      <c r="I169" s="151">
        <f t="shared" si="37"/>
        <v>0.99204828597881722</v>
      </c>
      <c r="J169" s="151">
        <f t="shared" si="38"/>
        <v>0.98564390472982555</v>
      </c>
      <c r="K169" s="151">
        <f t="shared" si="39"/>
        <v>0.97554810593856867</v>
      </c>
      <c r="L169" s="151">
        <f t="shared" si="40"/>
        <v>0.95863884350495177</v>
      </c>
      <c r="M169" s="151">
        <f t="shared" si="41"/>
        <v>0.8933866527609875</v>
      </c>
      <c r="N169" s="152">
        <f t="shared" si="47"/>
        <v>15900.810720114026</v>
      </c>
      <c r="O169" s="153">
        <f t="shared" si="48"/>
        <v>27.577782509224562</v>
      </c>
      <c r="P169" s="154">
        <f t="shared" si="35"/>
        <v>0.5062982072492056</v>
      </c>
      <c r="Q169" s="155">
        <f t="shared" si="36"/>
        <v>3.1645425589620711E-2</v>
      </c>
      <c r="R169" s="158">
        <f t="shared" si="42"/>
        <v>255.31140779114162</v>
      </c>
      <c r="S169" s="158">
        <f t="shared" si="43"/>
        <v>4079.4849050814169</v>
      </c>
      <c r="T169" s="158">
        <f t="shared" si="44"/>
        <v>65183.914948294609</v>
      </c>
      <c r="U169" s="165"/>
      <c r="V169" s="77">
        <v>25.589965856637718</v>
      </c>
      <c r="W169" s="19">
        <f t="shared" si="45"/>
        <v>9.7665270923513164E-3</v>
      </c>
      <c r="X169" s="22">
        <f>+SUM($W$129:W169)</f>
        <v>0.75471671550749542</v>
      </c>
      <c r="Z169"/>
      <c r="AA169"/>
      <c r="AB169"/>
      <c r="AC169"/>
    </row>
    <row r="170" spans="2:29" ht="20" customHeight="1" x14ac:dyDescent="0.35">
      <c r="B170" s="146">
        <f t="shared" si="46"/>
        <v>10</v>
      </c>
      <c r="C170" s="147">
        <f>+'ZCB rates'!B242</f>
        <v>45495</v>
      </c>
      <c r="D170" s="148">
        <f>+'ZCB rates'!M242</f>
        <v>-4.0713499999929658E-5</v>
      </c>
      <c r="E170" s="155">
        <f>+'ZCB rates'!N242</f>
        <v>-2.6151000000079934E-5</v>
      </c>
      <c r="F170" s="155">
        <f>+'ZCB rates'!O242</f>
        <v>1.0576399999992676E-4</v>
      </c>
      <c r="G170" s="155">
        <f>+'ZCB rates'!P242</f>
        <v>4.9585999999999023E-4</v>
      </c>
      <c r="H170" s="150">
        <f>+'ZCB rates'!Q242</f>
        <v>7.138499999999777E-4</v>
      </c>
      <c r="I170" s="151">
        <f t="shared" si="37"/>
        <v>0.99192852421080413</v>
      </c>
      <c r="J170" s="151">
        <f t="shared" si="38"/>
        <v>0.98539591737039656</v>
      </c>
      <c r="K170" s="151">
        <f t="shared" si="39"/>
        <v>0.97501587896398445</v>
      </c>
      <c r="L170" s="151">
        <f t="shared" si="40"/>
        <v>0.9574338868380099</v>
      </c>
      <c r="M170" s="151">
        <f t="shared" si="41"/>
        <v>0.88980103271155142</v>
      </c>
      <c r="N170" s="152">
        <f t="shared" si="47"/>
        <v>15880.337545333972</v>
      </c>
      <c r="O170" s="153">
        <f t="shared" si="48"/>
        <v>7.1046077291703114</v>
      </c>
      <c r="P170" s="154">
        <f t="shared" si="35"/>
        <v>0.53861511409489959</v>
      </c>
      <c r="Q170" s="155">
        <f t="shared" si="36"/>
        <v>3.3665346371936931E-2</v>
      </c>
      <c r="R170" s="158">
        <f t="shared" si="42"/>
        <v>20.202397994028374</v>
      </c>
      <c r="S170" s="158">
        <f t="shared" si="43"/>
        <v>-90.803875362985195</v>
      </c>
      <c r="T170" s="158">
        <f t="shared" si="44"/>
        <v>408.13688470912166</v>
      </c>
      <c r="U170" s="165"/>
      <c r="V170" s="77">
        <v>27.577782509224562</v>
      </c>
      <c r="W170" s="19">
        <f t="shared" si="45"/>
        <v>3.1645425589620711E-2</v>
      </c>
      <c r="X170" s="22">
        <f>+SUM($W$129:W170)</f>
        <v>0.78636214109711611</v>
      </c>
      <c r="Z170"/>
      <c r="AA170"/>
      <c r="AB170"/>
      <c r="AC170"/>
    </row>
    <row r="171" spans="2:29" ht="20" customHeight="1" x14ac:dyDescent="0.35">
      <c r="B171" s="65">
        <f t="shared" si="46"/>
        <v>9</v>
      </c>
      <c r="C171" s="1">
        <f>+'ZCB rates'!B243</f>
        <v>45502</v>
      </c>
      <c r="D171" s="67">
        <f>+'ZCB rates'!M243</f>
        <v>2.9667399999997498E-4</v>
      </c>
      <c r="E171" s="19">
        <f>+'ZCB rates'!N243</f>
        <v>6.2333800000016792E-4</v>
      </c>
      <c r="F171" s="19">
        <f>+'ZCB rates'!O243</f>
        <v>1.3427780000000839E-3</v>
      </c>
      <c r="G171" s="19">
        <f>+'ZCB rates'!P243</f>
        <v>2.9171439999999553E-3</v>
      </c>
      <c r="H171" s="69">
        <f>+'ZCB rates'!Q243</f>
        <v>7.3467899999999104E-3</v>
      </c>
      <c r="I171" s="75">
        <f t="shared" si="37"/>
        <v>0.99226324495788909</v>
      </c>
      <c r="J171" s="75">
        <f t="shared" si="38"/>
        <v>0.98603612906209415</v>
      </c>
      <c r="K171" s="75">
        <f t="shared" si="39"/>
        <v>0.97622273355060074</v>
      </c>
      <c r="L171" s="75">
        <f t="shared" si="40"/>
        <v>0.9597549149894905</v>
      </c>
      <c r="M171" s="75">
        <f t="shared" si="41"/>
        <v>0.89572264671812729</v>
      </c>
      <c r="N171" s="48">
        <f t="shared" si="47"/>
        <v>15919.263859740671</v>
      </c>
      <c r="O171" s="21">
        <f t="shared" si="48"/>
        <v>46.030922135869332</v>
      </c>
      <c r="P171" s="76">
        <f t="shared" si="35"/>
        <v>0.57299480222861654</v>
      </c>
      <c r="Q171" s="19">
        <f t="shared" si="36"/>
        <v>3.5814198268018009E-2</v>
      </c>
      <c r="R171" s="158">
        <f t="shared" si="42"/>
        <v>1185.5355351528613</v>
      </c>
      <c r="S171" s="158">
        <f t="shared" si="43"/>
        <v>40819.893192782911</v>
      </c>
      <c r="T171" s="158">
        <f t="shared" si="44"/>
        <v>1405494.5051101812</v>
      </c>
      <c r="U171" s="165"/>
      <c r="V171" s="77">
        <v>30.007231408724692</v>
      </c>
      <c r="W171" s="19">
        <f t="shared" si="45"/>
        <v>5.2603991041577317E-3</v>
      </c>
      <c r="X171" s="22">
        <f>+SUM($W$129:W171)</f>
        <v>0.79162254020127387</v>
      </c>
      <c r="Z171"/>
      <c r="AA171"/>
      <c r="AB171"/>
      <c r="AC171"/>
    </row>
    <row r="172" spans="2:29" ht="20" customHeight="1" x14ac:dyDescent="0.35">
      <c r="B172" s="65">
        <f t="shared" si="46"/>
        <v>8</v>
      </c>
      <c r="C172" s="1">
        <f>+'ZCB rates'!B244</f>
        <v>45509</v>
      </c>
      <c r="D172" s="67">
        <f>+'ZCB rates'!M244</f>
        <v>1.8845999999988344E-5</v>
      </c>
      <c r="E172" s="19">
        <f>+'ZCB rates'!N244</f>
        <v>2.7571699999996918E-4</v>
      </c>
      <c r="F172" s="19">
        <f>+'ZCB rates'!O244</f>
        <v>1.2069759999999948E-3</v>
      </c>
      <c r="G172" s="19">
        <f>+'ZCB rates'!P244</f>
        <v>3.4046200000001172E-3</v>
      </c>
      <c r="H172" s="69">
        <f>+'ZCB rates'!Q244</f>
        <v>3.9682799999999482E-3</v>
      </c>
      <c r="I172" s="75">
        <f t="shared" si="37"/>
        <v>0.99198760473712766</v>
      </c>
      <c r="J172" s="75">
        <f t="shared" si="38"/>
        <v>0.98569342176645069</v>
      </c>
      <c r="K172" s="75">
        <f t="shared" si="39"/>
        <v>0.97609016955237082</v>
      </c>
      <c r="L172" s="75">
        <f t="shared" si="40"/>
        <v>0.96022288652961019</v>
      </c>
      <c r="M172" s="75">
        <f t="shared" si="41"/>
        <v>0.89270154508365895</v>
      </c>
      <c r="N172" s="48">
        <f t="shared" si="47"/>
        <v>15922.355382482105</v>
      </c>
      <c r="O172" s="21">
        <f t="shared" si="48"/>
        <v>49.122444877302769</v>
      </c>
      <c r="P172" s="76">
        <f t="shared" si="35"/>
        <v>0.60956893854108152</v>
      </c>
      <c r="Q172" s="19">
        <f t="shared" si="36"/>
        <v>3.8100210923423417E-2</v>
      </c>
      <c r="R172" s="158">
        <f t="shared" si="42"/>
        <v>1407.9852378578078</v>
      </c>
      <c r="S172" s="158">
        <f t="shared" si="43"/>
        <v>52832.01223381632</v>
      </c>
      <c r="T172" s="158">
        <f t="shared" si="44"/>
        <v>1982422.4300255075</v>
      </c>
      <c r="U172" s="165"/>
      <c r="V172" s="77">
        <v>30.724962955961018</v>
      </c>
      <c r="W172" s="19">
        <f t="shared" si="45"/>
        <v>7.1676935179552049E-3</v>
      </c>
      <c r="X172" s="22">
        <f>+SUM($W$129:W172)</f>
        <v>0.79879023371922908</v>
      </c>
      <c r="Z172"/>
      <c r="AA172"/>
      <c r="AB172"/>
      <c r="AC172"/>
    </row>
    <row r="173" spans="2:29" ht="20" customHeight="1" x14ac:dyDescent="0.35">
      <c r="B173" s="65">
        <f t="shared" si="46"/>
        <v>7</v>
      </c>
      <c r="C173" s="1">
        <f>+'ZCB rates'!B245</f>
        <v>45516</v>
      </c>
      <c r="D173" s="67">
        <f>+'ZCB rates'!M245</f>
        <v>1.6093999999979399E-5</v>
      </c>
      <c r="E173" s="19">
        <f>+'ZCB rates'!N245</f>
        <v>-8.964000000054887E-6</v>
      </c>
      <c r="F173" s="19">
        <f>+'ZCB rates'!O245</f>
        <v>-1.1530999999986155E-4</v>
      </c>
      <c r="G173" s="19">
        <f>+'ZCB rates'!P245</f>
        <v>-2.8997200000005258E-4</v>
      </c>
      <c r="H173" s="69">
        <f>+'ZCB rates'!Q245</f>
        <v>4.2579999999996237E-4</v>
      </c>
      <c r="I173" s="75">
        <f t="shared" si="37"/>
        <v>0.99198487479099573</v>
      </c>
      <c r="J173" s="75">
        <f t="shared" si="38"/>
        <v>0.98541285351556873</v>
      </c>
      <c r="K173" s="75">
        <f t="shared" si="39"/>
        <v>0.97480035212812632</v>
      </c>
      <c r="L173" s="75">
        <f t="shared" si="40"/>
        <v>0.95668180019742577</v>
      </c>
      <c r="M173" s="75">
        <f t="shared" si="41"/>
        <v>0.88954476243517733</v>
      </c>
      <c r="N173" s="48">
        <f t="shared" si="47"/>
        <v>15869.66699271299</v>
      </c>
      <c r="O173" s="21">
        <f t="shared" si="48"/>
        <v>-3.5659448918122507</v>
      </c>
      <c r="P173" s="76">
        <f t="shared" si="35"/>
        <v>0.64847759419263984</v>
      </c>
      <c r="Q173" s="19">
        <f t="shared" si="36"/>
        <v>4.0532139280237675E-2</v>
      </c>
      <c r="R173" s="158">
        <f t="shared" si="42"/>
        <v>229.98512291636345</v>
      </c>
      <c r="S173" s="158">
        <f t="shared" si="43"/>
        <v>-3487.7842765199289</v>
      </c>
      <c r="T173" s="158">
        <f t="shared" si="44"/>
        <v>52893.156762854807</v>
      </c>
      <c r="U173" s="165"/>
      <c r="V173" s="77">
        <v>35.399847507062077</v>
      </c>
      <c r="W173" s="19">
        <f t="shared" si="45"/>
        <v>5.8753318949837423E-2</v>
      </c>
      <c r="X173" s="22">
        <f>+SUM($W$129:W173)</f>
        <v>0.85754355266906646</v>
      </c>
      <c r="Z173"/>
      <c r="AA173"/>
      <c r="AB173"/>
      <c r="AC173"/>
    </row>
    <row r="174" spans="2:29" ht="20" customHeight="1" x14ac:dyDescent="0.35">
      <c r="B174" s="65">
        <f t="shared" si="46"/>
        <v>6</v>
      </c>
      <c r="C174" s="1">
        <f>+'ZCB rates'!B246</f>
        <v>45523</v>
      </c>
      <c r="D174" s="67">
        <f>+'ZCB rates'!M246</f>
        <v>1.0753300000001057E-4</v>
      </c>
      <c r="E174" s="19">
        <f>+'ZCB rates'!N246</f>
        <v>1.6555800000001486E-4</v>
      </c>
      <c r="F174" s="19">
        <f>+'ZCB rates'!O246</f>
        <v>1.7859999999997867E-4</v>
      </c>
      <c r="G174" s="19">
        <f>+'ZCB rates'!P246</f>
        <v>6.6240000000027923E-6</v>
      </c>
      <c r="H174" s="69">
        <f>+'ZCB rates'!Q246</f>
        <v>-3.8937000000002742E-4</v>
      </c>
      <c r="I174" s="75">
        <f t="shared" si="37"/>
        <v>0.99207558504312598</v>
      </c>
      <c r="J174" s="75">
        <f t="shared" si="38"/>
        <v>0.98558484474528019</v>
      </c>
      <c r="K174" s="75">
        <f t="shared" si="39"/>
        <v>0.97508689780687763</v>
      </c>
      <c r="L174" s="75">
        <f t="shared" si="40"/>
        <v>0.95696559027605776</v>
      </c>
      <c r="M174" s="75">
        <f t="shared" si="41"/>
        <v>0.88881992770308516</v>
      </c>
      <c r="N174" s="48">
        <f t="shared" si="47"/>
        <v>15873.382178861701</v>
      </c>
      <c r="O174" s="21">
        <f t="shared" si="48"/>
        <v>0.14924125689867651</v>
      </c>
      <c r="P174" s="76">
        <f t="shared" si="35"/>
        <v>0.68986978105599994</v>
      </c>
      <c r="Q174" s="19">
        <f t="shared" si="36"/>
        <v>4.3119297106635826E-2</v>
      </c>
      <c r="R174" s="158">
        <f t="shared" si="42"/>
        <v>131.10420029703059</v>
      </c>
      <c r="S174" s="158">
        <f t="shared" si="43"/>
        <v>-1501.152827696184</v>
      </c>
      <c r="T174" s="158">
        <f t="shared" si="44"/>
        <v>17188.311335523915</v>
      </c>
      <c r="U174" s="165"/>
      <c r="V174" s="77">
        <v>39.749836964345377</v>
      </c>
      <c r="W174" s="19">
        <f t="shared" si="45"/>
        <v>3.2065758982238843E-3</v>
      </c>
      <c r="X174" s="22">
        <f>+SUM($W$129:W174)</f>
        <v>0.86075012856729038</v>
      </c>
      <c r="Z174"/>
      <c r="AA174"/>
      <c r="AB174"/>
      <c r="AC174"/>
    </row>
    <row r="175" spans="2:29" ht="20" customHeight="1" x14ac:dyDescent="0.35">
      <c r="B175" s="65">
        <f t="shared" si="46"/>
        <v>5</v>
      </c>
      <c r="C175" s="1">
        <f>+'ZCB rates'!B247</f>
        <v>45530</v>
      </c>
      <c r="D175" s="67">
        <f>+'ZCB rates'!M247</f>
        <v>-3.1099999999973703E-6</v>
      </c>
      <c r="E175" s="19">
        <f>+'ZCB rates'!N247</f>
        <v>5.1541999999995205E-5</v>
      </c>
      <c r="F175" s="19">
        <f>+'ZCB rates'!O247</f>
        <v>2.2937600000000078E-4</v>
      </c>
      <c r="G175" s="19">
        <f>+'ZCB rates'!P247</f>
        <v>4.577280000000583E-4</v>
      </c>
      <c r="H175" s="69">
        <f>+'ZCB rates'!Q247</f>
        <v>-1.118660000000102E-3</v>
      </c>
      <c r="I175" s="75">
        <f t="shared" si="37"/>
        <v>0.99196582489637797</v>
      </c>
      <c r="J175" s="75">
        <f t="shared" si="38"/>
        <v>0.98547247870950638</v>
      </c>
      <c r="K175" s="75">
        <f t="shared" si="39"/>
        <v>0.97513641007620755</v>
      </c>
      <c r="L175" s="75">
        <f t="shared" si="40"/>
        <v>0.95739737866510621</v>
      </c>
      <c r="M175" s="75">
        <f t="shared" si="41"/>
        <v>0.88817195652617964</v>
      </c>
      <c r="N175" s="48">
        <f t="shared" si="47"/>
        <v>15878.598198047428</v>
      </c>
      <c r="O175" s="21">
        <f t="shared" si="48"/>
        <v>5.365260442626095</v>
      </c>
      <c r="P175" s="76">
        <f t="shared" si="35"/>
        <v>0.73390402239999986</v>
      </c>
      <c r="Q175" s="19">
        <f t="shared" si="36"/>
        <v>4.5871592666633855E-2</v>
      </c>
      <c r="R175" s="158">
        <f t="shared" si="42"/>
        <v>38.863442526152909</v>
      </c>
      <c r="S175" s="158">
        <f t="shared" si="43"/>
        <v>-242.27684063840744</v>
      </c>
      <c r="T175" s="158">
        <f t="shared" si="44"/>
        <v>1510.3671649835903</v>
      </c>
      <c r="U175" s="165"/>
      <c r="V175" s="77">
        <v>42.639158403693727</v>
      </c>
      <c r="W175" s="19">
        <f t="shared" si="45"/>
        <v>4.1070511297560805E-3</v>
      </c>
      <c r="X175" s="22">
        <f>+SUM($W$129:W175)</f>
        <v>0.86485717969704645</v>
      </c>
      <c r="Z175"/>
      <c r="AA175"/>
      <c r="AB175"/>
      <c r="AC175"/>
    </row>
    <row r="176" spans="2:29" ht="20" customHeight="1" x14ac:dyDescent="0.35">
      <c r="B176" s="65">
        <f t="shared" si="46"/>
        <v>4</v>
      </c>
      <c r="C176" s="1">
        <f>+'ZCB rates'!B248</f>
        <v>45537</v>
      </c>
      <c r="D176" s="67">
        <f>+'ZCB rates'!M248</f>
        <v>1.5950000003287429E-7</v>
      </c>
      <c r="E176" s="19">
        <f>+'ZCB rates'!N248</f>
        <v>6.7609000000055602E-5</v>
      </c>
      <c r="F176" s="19">
        <f>+'ZCB rates'!O248</f>
        <v>3.1140200000004647E-4</v>
      </c>
      <c r="G176" s="19">
        <f>+'ZCB rates'!P248</f>
        <v>8.718880000000731E-4</v>
      </c>
      <c r="H176" s="69">
        <f>+'ZCB rates'!Q248</f>
        <v>1.6277200000000083E-3</v>
      </c>
      <c r="I176" s="75">
        <f t="shared" si="37"/>
        <v>0.99196906813394436</v>
      </c>
      <c r="J176" s="75">
        <f t="shared" si="38"/>
        <v>0.98548831242302171</v>
      </c>
      <c r="K176" s="75">
        <f t="shared" si="39"/>
        <v>0.9752163998959581</v>
      </c>
      <c r="L176" s="75">
        <f t="shared" si="40"/>
        <v>0.95779397648526188</v>
      </c>
      <c r="M176" s="75">
        <f t="shared" si="41"/>
        <v>0.89061456685692109</v>
      </c>
      <c r="N176" s="48">
        <f t="shared" si="47"/>
        <v>15886.299048674975</v>
      </c>
      <c r="O176" s="21">
        <f t="shared" si="48"/>
        <v>13.066111070173065</v>
      </c>
      <c r="P176" s="76">
        <f t="shared" si="35"/>
        <v>0.78074895999999994</v>
      </c>
      <c r="Q176" s="19">
        <f t="shared" si="36"/>
        <v>4.8799566666631766E-2</v>
      </c>
      <c r="R176" s="158">
        <f t="shared" si="42"/>
        <v>2.1514892287306537</v>
      </c>
      <c r="S176" s="158">
        <f t="shared" si="43"/>
        <v>3.1557948582804656</v>
      </c>
      <c r="T176" s="158">
        <f t="shared" si="44"/>
        <v>4.628905901344023</v>
      </c>
      <c r="U176" s="165"/>
      <c r="V176" s="77">
        <v>43.047823319759118</v>
      </c>
      <c r="W176" s="19">
        <f t="shared" si="45"/>
        <v>5.1914432624076343E-2</v>
      </c>
      <c r="X176" s="22">
        <f>+SUM($W$129:W176)</f>
        <v>0.91677161232112281</v>
      </c>
      <c r="Z176"/>
      <c r="AA176"/>
      <c r="AB176"/>
      <c r="AC176"/>
    </row>
    <row r="177" spans="2:29" ht="20" customHeight="1" x14ac:dyDescent="0.35">
      <c r="B177" s="65">
        <f t="shared" si="46"/>
        <v>3</v>
      </c>
      <c r="C177" s="1">
        <f>+'ZCB rates'!B249</f>
        <v>45544</v>
      </c>
      <c r="D177" s="67">
        <f>+'ZCB rates'!M249</f>
        <v>1.0140499999972658E-5</v>
      </c>
      <c r="E177" s="19">
        <f>+'ZCB rates'!N249</f>
        <v>2.2169799999996109E-4</v>
      </c>
      <c r="F177" s="19">
        <f>+'ZCB rates'!O249</f>
        <v>9.8525399999991508E-4</v>
      </c>
      <c r="G177" s="19">
        <f>+'ZCB rates'!P249</f>
        <v>2.831819999999965E-3</v>
      </c>
      <c r="H177" s="69">
        <f>+'ZCB rates'!Q249</f>
        <v>6.027859999999872E-3</v>
      </c>
      <c r="I177" s="75">
        <f t="shared" si="37"/>
        <v>0.99197896902662375</v>
      </c>
      <c r="J177" s="75">
        <f t="shared" si="38"/>
        <v>0.98564017703162687</v>
      </c>
      <c r="K177" s="75">
        <f t="shared" si="39"/>
        <v>0.97587377287863541</v>
      </c>
      <c r="L177" s="75">
        <f t="shared" si="40"/>
        <v>0.95967302835462132</v>
      </c>
      <c r="M177" s="75">
        <f t="shared" si="41"/>
        <v>0.89454202999424692</v>
      </c>
      <c r="N177" s="48">
        <f t="shared" si="47"/>
        <v>15916.280760924561</v>
      </c>
      <c r="O177" s="21">
        <f t="shared" si="48"/>
        <v>43.047823319759118</v>
      </c>
      <c r="P177" s="76">
        <f t="shared" si="35"/>
        <v>0.83058399999999988</v>
      </c>
      <c r="Q177" s="19">
        <f t="shared" si="36"/>
        <v>5.1914432624076343E-2</v>
      </c>
      <c r="R177" s="158">
        <f t="shared" si="42"/>
        <v>989.00864374750631</v>
      </c>
      <c r="S177" s="158">
        <f t="shared" si="43"/>
        <v>31102.846061325996</v>
      </c>
      <c r="T177" s="158">
        <f t="shared" si="44"/>
        <v>978138.09740728186</v>
      </c>
      <c r="U177" s="165"/>
      <c r="V177" s="77">
        <v>46.030922135869332</v>
      </c>
      <c r="W177" s="19">
        <f t="shared" si="45"/>
        <v>3.5814198268018009E-2</v>
      </c>
      <c r="X177" s="22">
        <f>+SUM($W$129:W177)</f>
        <v>0.95258581058914082</v>
      </c>
      <c r="Z177"/>
      <c r="AA177"/>
      <c r="AB177"/>
      <c r="AC177"/>
    </row>
    <row r="178" spans="2:29" ht="20" customHeight="1" x14ac:dyDescent="0.35">
      <c r="B178" s="65">
        <f t="shared" si="46"/>
        <v>2</v>
      </c>
      <c r="C178" s="1">
        <f>+'ZCB rates'!B250</f>
        <v>45551</v>
      </c>
      <c r="D178" s="67">
        <f>+'ZCB rates'!M250</f>
        <v>5.2812499999913138E-5</v>
      </c>
      <c r="E178" s="19">
        <f>+'ZCB rates'!N250</f>
        <v>1.3066899999992961E-4</v>
      </c>
      <c r="F178" s="19">
        <f>+'ZCB rates'!O250</f>
        <v>2.6490599999982173E-4</v>
      </c>
      <c r="G178" s="19">
        <f>+'ZCB rates'!P250</f>
        <v>1.9583199999993059E-4</v>
      </c>
      <c r="H178" s="69">
        <f>+'ZCB rates'!Q250</f>
        <v>-1.5085900000000303E-3</v>
      </c>
      <c r="I178" s="75">
        <f t="shared" si="37"/>
        <v>0.99202129965634989</v>
      </c>
      <c r="J178" s="75">
        <f t="shared" si="38"/>
        <v>0.98555045927547258</v>
      </c>
      <c r="K178" s="75">
        <f t="shared" si="39"/>
        <v>0.9751710572883614</v>
      </c>
      <c r="L178" s="75">
        <f t="shared" si="40"/>
        <v>0.9571466729520679</v>
      </c>
      <c r="M178" s="75">
        <f t="shared" si="41"/>
        <v>0.88782569914762854</v>
      </c>
      <c r="N178" s="48">
        <f t="shared" si="47"/>
        <v>15875.020785751272</v>
      </c>
      <c r="O178" s="21">
        <f t="shared" si="48"/>
        <v>1.7878481464704237</v>
      </c>
      <c r="P178" s="76">
        <f t="shared" si="35"/>
        <v>0.88359999999999994</v>
      </c>
      <c r="Q178" s="19">
        <f t="shared" si="36"/>
        <v>5.5228119812847178E-2</v>
      </c>
      <c r="R178" s="158">
        <f t="shared" si="42"/>
        <v>96.264891736058118</v>
      </c>
      <c r="S178" s="158">
        <f t="shared" si="43"/>
        <v>-944.49984308274418</v>
      </c>
      <c r="T178" s="158">
        <f t="shared" si="44"/>
        <v>9266.9293809549908</v>
      </c>
      <c r="U178" s="165"/>
      <c r="V178" s="77">
        <v>49.122444877302769</v>
      </c>
      <c r="W178" s="19">
        <f t="shared" si="45"/>
        <v>3.8100210923423417E-2</v>
      </c>
      <c r="X178" s="22">
        <f>+SUM($W$129:W178)</f>
        <v>0.99068602151256424</v>
      </c>
      <c r="Z178"/>
      <c r="AA178"/>
      <c r="AB178"/>
      <c r="AC178"/>
    </row>
    <row r="179" spans="2:29" ht="20" customHeight="1" x14ac:dyDescent="0.35">
      <c r="B179" s="65">
        <f t="shared" si="46"/>
        <v>1</v>
      </c>
      <c r="C179" s="1">
        <f>+'ZCB rates'!B251</f>
        <v>45558</v>
      </c>
      <c r="D179" s="67">
        <f>+'ZCB rates'!M251</f>
        <v>1.8185749999998773E-4</v>
      </c>
      <c r="E179" s="19">
        <f>+'ZCB rates'!N251</f>
        <v>4.8537700000002195E-4</v>
      </c>
      <c r="F179" s="19">
        <f>+'ZCB rates'!O251</f>
        <v>1.2205420000000551E-3</v>
      </c>
      <c r="G179" s="19">
        <f>+'ZCB rates'!P251</f>
        <v>2.4199760000001044E-3</v>
      </c>
      <c r="H179" s="69">
        <f>+'ZCB rates'!Q251</f>
        <v>2.5142100000000137E-3</v>
      </c>
      <c r="I179" s="75">
        <f t="shared" si="37"/>
        <v>0.99214932330519234</v>
      </c>
      <c r="J179" s="75">
        <f t="shared" si="38"/>
        <v>0.98590010391499083</v>
      </c>
      <c r="K179" s="75">
        <f t="shared" si="39"/>
        <v>0.97610341128142952</v>
      </c>
      <c r="L179" s="75">
        <f t="shared" si="40"/>
        <v>0.95927787415246069</v>
      </c>
      <c r="M179" s="75">
        <f t="shared" si="41"/>
        <v>0.89140443781892098</v>
      </c>
      <c r="N179" s="48">
        <f t="shared" si="47"/>
        <v>15908.632785111864</v>
      </c>
      <c r="O179" s="21">
        <f t="shared" si="48"/>
        <v>35.399847507062077</v>
      </c>
      <c r="P179" s="76">
        <f t="shared" si="35"/>
        <v>0.94</v>
      </c>
      <c r="Q179" s="19">
        <f t="shared" si="36"/>
        <v>5.8753318949837423E-2</v>
      </c>
      <c r="R179" s="158">
        <f t="shared" si="42"/>
        <v>566.46532356039984</v>
      </c>
      <c r="S179" s="158">
        <f t="shared" si="43"/>
        <v>13482.176061210443</v>
      </c>
      <c r="T179" s="158">
        <f t="shared" si="44"/>
        <v>320882.96279638849</v>
      </c>
      <c r="U179" s="165"/>
      <c r="V179" s="77">
        <v>57.219627195345311</v>
      </c>
      <c r="W179" s="19">
        <f t="shared" si="45"/>
        <v>4.9447751579082674E-3</v>
      </c>
      <c r="X179" s="22">
        <f>+SUM($W$129:W179)</f>
        <v>0.9956307966704725</v>
      </c>
      <c r="Z179"/>
      <c r="AA179"/>
      <c r="AB179"/>
      <c r="AC179"/>
    </row>
    <row r="180" spans="2:29" ht="20" customHeight="1" x14ac:dyDescent="0.35">
      <c r="B180" s="65">
        <v>0</v>
      </c>
      <c r="C180" s="1">
        <f>+'ZCB rates'!B252</f>
        <v>45565</v>
      </c>
      <c r="D180" s="67">
        <f>+'ZCB rates'!M252</f>
        <v>8.2284999999922333E-5</v>
      </c>
      <c r="E180" s="19">
        <f>+'ZCB rates'!N252</f>
        <v>2.872870000001352E-4</v>
      </c>
      <c r="F180" s="19">
        <f>+'ZCB rates'!O252</f>
        <v>7.8527600000004977E-4</v>
      </c>
      <c r="G180" s="19">
        <f>+'ZCB rates'!P252</f>
        <v>1.3912439999999309E-3</v>
      </c>
      <c r="H180" s="69">
        <f>+'ZCB rates'!Q252</f>
        <v>1.3645300000000697E-3</v>
      </c>
      <c r="I180" s="75">
        <f t="shared" si="37"/>
        <v>0.99205053743495708</v>
      </c>
      <c r="J180" s="75">
        <f t="shared" si="38"/>
        <v>0.98570482630531586</v>
      </c>
      <c r="K180" s="75">
        <f t="shared" si="39"/>
        <v>0.97567863910516406</v>
      </c>
      <c r="L180" s="75">
        <f t="shared" si="40"/>
        <v>0.95829154172927655</v>
      </c>
      <c r="M180" s="75">
        <f t="shared" si="41"/>
        <v>0.89038019685234371</v>
      </c>
      <c r="N180" s="48">
        <f t="shared" si="47"/>
        <v>15893.650370692434</v>
      </c>
      <c r="O180" s="21">
        <f t="shared" si="48"/>
        <v>20.417433087632162</v>
      </c>
      <c r="P180" s="76">
        <f t="shared" si="35"/>
        <v>1</v>
      </c>
      <c r="Q180" s="19">
        <f t="shared" si="36"/>
        <v>6.2503530797699394E-2</v>
      </c>
      <c r="R180" s="158">
        <f t="shared" si="42"/>
        <v>77.759197693427041</v>
      </c>
      <c r="S180" s="158">
        <f t="shared" si="43"/>
        <v>685.68974835783195</v>
      </c>
      <c r="T180" s="158">
        <f t="shared" si="44"/>
        <v>6046.4928259254693</v>
      </c>
      <c r="U180" s="165"/>
      <c r="V180" s="77">
        <v>63.045838072117476</v>
      </c>
      <c r="W180" s="19">
        <f t="shared" si="45"/>
        <v>4.3692033295277457E-3</v>
      </c>
      <c r="X180" s="22">
        <f>+SUM($W$129:W180)</f>
        <v>1.0000000000000002</v>
      </c>
      <c r="Z180"/>
      <c r="AA180"/>
      <c r="AB180"/>
      <c r="AC180"/>
    </row>
    <row r="181" spans="2:29" ht="20" customHeight="1" x14ac:dyDescent="0.35">
      <c r="U181" s="165"/>
      <c r="V181" s="77"/>
      <c r="W181" s="19"/>
      <c r="X181" s="22"/>
      <c r="Z181"/>
      <c r="AA181"/>
      <c r="AB181"/>
      <c r="AC181"/>
    </row>
    <row r="182" spans="2:29" ht="20" customHeight="1" x14ac:dyDescent="0.35">
      <c r="B182"/>
      <c r="C182"/>
      <c r="D182"/>
      <c r="E182"/>
      <c r="F182"/>
      <c r="G182"/>
      <c r="H182"/>
      <c r="I182"/>
      <c r="J182"/>
      <c r="K182"/>
      <c r="L182"/>
      <c r="M182"/>
      <c r="N182"/>
      <c r="O182"/>
      <c r="P182"/>
      <c r="Q182"/>
      <c r="R182"/>
      <c r="S182"/>
      <c r="T182"/>
      <c r="U182" s="165"/>
      <c r="V182" s="77"/>
      <c r="W182"/>
      <c r="X182"/>
      <c r="Z182"/>
      <c r="AA182"/>
      <c r="AB182"/>
      <c r="AC182"/>
    </row>
    <row r="183" spans="2:29" ht="20" customHeight="1" x14ac:dyDescent="0.35">
      <c r="B183"/>
      <c r="C183"/>
      <c r="D183"/>
      <c r="E183"/>
      <c r="F183"/>
      <c r="G183"/>
      <c r="H183"/>
      <c r="I183"/>
      <c r="J183"/>
      <c r="K183"/>
      <c r="L183"/>
      <c r="M183"/>
      <c r="N183"/>
      <c r="O183"/>
      <c r="P183"/>
      <c r="Q183"/>
      <c r="R183"/>
      <c r="S183"/>
      <c r="T183"/>
      <c r="U183" s="165"/>
      <c r="V183" s="77"/>
      <c r="W183"/>
      <c r="X183"/>
      <c r="Z183"/>
    </row>
    <row r="184" spans="2:29" ht="20" customHeight="1" x14ac:dyDescent="0.35">
      <c r="B184"/>
      <c r="C184"/>
      <c r="D184"/>
      <c r="E184"/>
      <c r="F184"/>
      <c r="G184"/>
      <c r="H184"/>
      <c r="I184"/>
      <c r="J184"/>
      <c r="K184"/>
      <c r="L184"/>
      <c r="M184"/>
      <c r="N184"/>
      <c r="O184"/>
      <c r="P184"/>
      <c r="Q184"/>
      <c r="R184"/>
      <c r="S184"/>
      <c r="T184"/>
      <c r="U184" s="165"/>
      <c r="V184" s="77"/>
      <c r="W184"/>
      <c r="X184"/>
      <c r="Z184"/>
    </row>
    <row r="185" spans="2:29" ht="20" customHeight="1" x14ac:dyDescent="0.35">
      <c r="B185"/>
      <c r="C185"/>
      <c r="D185"/>
      <c r="E185"/>
      <c r="F185"/>
      <c r="G185"/>
      <c r="H185"/>
      <c r="I185"/>
      <c r="J185"/>
      <c r="K185"/>
      <c r="L185"/>
      <c r="M185"/>
      <c r="N185"/>
      <c r="O185"/>
      <c r="P185"/>
      <c r="Q185"/>
      <c r="R185"/>
      <c r="S185"/>
      <c r="T185"/>
      <c r="U185" s="165"/>
      <c r="V185" s="77"/>
      <c r="W185"/>
      <c r="X185"/>
      <c r="Z185"/>
    </row>
    <row r="186" spans="2:29" ht="20" customHeight="1" x14ac:dyDescent="0.35">
      <c r="B186"/>
      <c r="C186"/>
      <c r="D186"/>
      <c r="E186"/>
      <c r="F186"/>
      <c r="G186"/>
      <c r="H186"/>
      <c r="I186"/>
      <c r="J186"/>
      <c r="K186"/>
      <c r="L186"/>
      <c r="M186"/>
      <c r="N186"/>
      <c r="O186"/>
      <c r="P186"/>
      <c r="Q186"/>
      <c r="R186"/>
      <c r="S186"/>
      <c r="T186"/>
      <c r="U186" s="165"/>
      <c r="V186" s="77"/>
      <c r="W186"/>
      <c r="X186"/>
      <c r="Z186"/>
    </row>
    <row r="187" spans="2:29" ht="20" customHeight="1" x14ac:dyDescent="0.35">
      <c r="B187"/>
      <c r="C187"/>
      <c r="D187"/>
      <c r="E187"/>
      <c r="F187"/>
      <c r="G187"/>
      <c r="H187"/>
      <c r="I187"/>
      <c r="J187"/>
      <c r="K187"/>
      <c r="L187"/>
      <c r="M187"/>
      <c r="N187"/>
      <c r="O187"/>
      <c r="P187"/>
      <c r="Q187"/>
      <c r="R187"/>
      <c r="S187"/>
      <c r="T187"/>
      <c r="U187" s="165"/>
      <c r="V187" s="77"/>
      <c r="W187"/>
      <c r="X187"/>
      <c r="Z187"/>
    </row>
    <row r="188" spans="2:29" ht="20" customHeight="1" x14ac:dyDescent="0.35">
      <c r="B188"/>
      <c r="C188"/>
      <c r="D188"/>
      <c r="E188"/>
      <c r="F188"/>
      <c r="G188"/>
      <c r="H188"/>
      <c r="I188"/>
      <c r="J188"/>
      <c r="K188"/>
      <c r="L188"/>
      <c r="M188"/>
      <c r="N188"/>
      <c r="O188"/>
      <c r="P188"/>
      <c r="Q188"/>
      <c r="R188"/>
      <c r="S188"/>
      <c r="T188"/>
      <c r="U188" s="165"/>
      <c r="V188" s="77"/>
      <c r="W188"/>
      <c r="X188"/>
      <c r="Z188"/>
    </row>
    <row r="189" spans="2:29" ht="20" customHeight="1" x14ac:dyDescent="0.35">
      <c r="B189"/>
      <c r="C189"/>
      <c r="D189"/>
      <c r="E189"/>
      <c r="F189"/>
      <c r="G189"/>
      <c r="H189"/>
      <c r="I189"/>
      <c r="J189"/>
      <c r="K189"/>
      <c r="L189"/>
      <c r="M189"/>
      <c r="N189"/>
      <c r="O189"/>
      <c r="P189"/>
      <c r="Q189"/>
      <c r="R189"/>
      <c r="S189"/>
      <c r="T189"/>
      <c r="U189" s="165"/>
      <c r="V189" s="77"/>
      <c r="W189"/>
      <c r="X189"/>
      <c r="Z189"/>
    </row>
    <row r="190" spans="2:29" ht="20" customHeight="1" x14ac:dyDescent="0.35">
      <c r="B190"/>
      <c r="C190"/>
      <c r="D190"/>
      <c r="E190"/>
      <c r="F190"/>
      <c r="G190"/>
      <c r="H190"/>
      <c r="I190"/>
      <c r="J190"/>
      <c r="K190"/>
      <c r="L190"/>
      <c r="M190"/>
      <c r="N190"/>
      <c r="O190"/>
      <c r="P190"/>
      <c r="Q190"/>
      <c r="R190"/>
      <c r="S190"/>
      <c r="T190"/>
      <c r="U190" s="165"/>
      <c r="V190" s="77"/>
      <c r="W190"/>
      <c r="X190"/>
      <c r="Z190"/>
    </row>
    <row r="191" spans="2:29" ht="20" customHeight="1" x14ac:dyDescent="0.35">
      <c r="B191"/>
      <c r="C191"/>
      <c r="D191"/>
      <c r="E191"/>
      <c r="F191"/>
      <c r="G191"/>
      <c r="H191"/>
      <c r="I191"/>
      <c r="J191"/>
      <c r="K191"/>
      <c r="L191"/>
      <c r="M191"/>
      <c r="N191"/>
      <c r="O191"/>
      <c r="P191"/>
      <c r="Q191"/>
      <c r="R191"/>
      <c r="S191"/>
      <c r="T191"/>
      <c r="U191" s="165"/>
      <c r="V191" s="77"/>
      <c r="W191"/>
      <c r="X191"/>
      <c r="Z191"/>
    </row>
    <row r="192" spans="2:29" ht="20" customHeight="1" x14ac:dyDescent="0.35">
      <c r="B192"/>
      <c r="C192"/>
      <c r="D192"/>
      <c r="E192"/>
      <c r="F192"/>
      <c r="G192"/>
      <c r="H192"/>
      <c r="I192"/>
      <c r="J192"/>
      <c r="K192"/>
      <c r="L192"/>
      <c r="M192"/>
      <c r="N192"/>
      <c r="O192"/>
      <c r="P192"/>
      <c r="Q192"/>
      <c r="R192"/>
      <c r="S192"/>
      <c r="T192"/>
      <c r="U192" s="165"/>
      <c r="V192" s="77"/>
      <c r="W192"/>
      <c r="X192"/>
      <c r="Z192"/>
    </row>
    <row r="193" spans="2:26" ht="20" customHeight="1" x14ac:dyDescent="0.35">
      <c r="B193"/>
      <c r="C193"/>
      <c r="D193"/>
      <c r="E193"/>
      <c r="F193"/>
      <c r="G193"/>
      <c r="H193"/>
      <c r="I193"/>
      <c r="J193"/>
      <c r="K193"/>
      <c r="L193"/>
      <c r="M193"/>
      <c r="N193"/>
      <c r="O193"/>
      <c r="P193"/>
      <c r="Q193"/>
      <c r="R193"/>
      <c r="S193"/>
      <c r="T193"/>
      <c r="U193" s="165"/>
      <c r="V193" s="77"/>
      <c r="W193"/>
      <c r="X193"/>
      <c r="Z193"/>
    </row>
    <row r="194" spans="2:26" ht="20" customHeight="1" x14ac:dyDescent="0.35">
      <c r="B194"/>
      <c r="C194"/>
      <c r="D194"/>
      <c r="E194"/>
      <c r="F194"/>
      <c r="G194"/>
      <c r="H194"/>
      <c r="I194"/>
      <c r="J194"/>
      <c r="K194"/>
      <c r="L194"/>
      <c r="M194"/>
      <c r="N194"/>
      <c r="O194"/>
      <c r="P194"/>
      <c r="Q194"/>
      <c r="R194"/>
      <c r="S194"/>
      <c r="T194"/>
      <c r="U194" s="165"/>
      <c r="V194" s="77"/>
      <c r="W194"/>
      <c r="X194"/>
      <c r="Z194"/>
    </row>
    <row r="195" spans="2:26" ht="20" customHeight="1" x14ac:dyDescent="0.35">
      <c r="B195"/>
      <c r="C195"/>
      <c r="D195"/>
      <c r="E195"/>
      <c r="F195"/>
      <c r="G195"/>
      <c r="H195"/>
      <c r="I195"/>
      <c r="J195"/>
      <c r="K195"/>
      <c r="L195"/>
      <c r="M195"/>
      <c r="N195"/>
      <c r="O195"/>
      <c r="P195"/>
      <c r="Q195"/>
      <c r="R195"/>
      <c r="S195"/>
      <c r="T195"/>
      <c r="U195" s="165"/>
      <c r="V195" s="77"/>
      <c r="W195"/>
      <c r="X195"/>
      <c r="Z195"/>
    </row>
    <row r="196" spans="2:26" ht="20" customHeight="1" x14ac:dyDescent="0.35">
      <c r="B196"/>
      <c r="C196"/>
      <c r="D196"/>
      <c r="E196"/>
      <c r="F196"/>
      <c r="G196"/>
      <c r="H196"/>
      <c r="I196"/>
      <c r="J196"/>
      <c r="K196"/>
      <c r="L196"/>
      <c r="M196"/>
      <c r="N196"/>
      <c r="O196"/>
      <c r="P196"/>
      <c r="Q196"/>
      <c r="R196"/>
      <c r="S196"/>
      <c r="T196"/>
      <c r="U196" s="165"/>
      <c r="V196" s="77"/>
      <c r="W196"/>
      <c r="X196"/>
      <c r="Z196"/>
    </row>
    <row r="197" spans="2:26" ht="20" customHeight="1" x14ac:dyDescent="0.35">
      <c r="B197"/>
      <c r="C197"/>
      <c r="D197"/>
      <c r="E197"/>
      <c r="F197"/>
      <c r="G197"/>
      <c r="H197"/>
      <c r="I197"/>
      <c r="J197"/>
      <c r="K197"/>
      <c r="L197"/>
      <c r="M197"/>
      <c r="N197"/>
      <c r="O197"/>
      <c r="P197"/>
      <c r="Q197"/>
      <c r="R197"/>
      <c r="S197"/>
      <c r="T197"/>
      <c r="U197" s="165"/>
      <c r="V197" s="77"/>
      <c r="W197"/>
      <c r="X197"/>
      <c r="Z197"/>
    </row>
    <row r="198" spans="2:26" ht="20" customHeight="1" x14ac:dyDescent="0.35">
      <c r="B198"/>
      <c r="C198"/>
      <c r="D198"/>
      <c r="E198"/>
      <c r="F198"/>
      <c r="G198"/>
      <c r="H198"/>
      <c r="I198"/>
      <c r="J198"/>
      <c r="K198"/>
      <c r="L198"/>
      <c r="M198"/>
      <c r="N198"/>
      <c r="O198"/>
      <c r="P198"/>
      <c r="Q198"/>
      <c r="R198"/>
      <c r="S198"/>
      <c r="T198"/>
      <c r="U198" s="165"/>
      <c r="V198" s="77"/>
      <c r="W198"/>
      <c r="X198"/>
      <c r="Z198"/>
    </row>
    <row r="199" spans="2:26" ht="20" customHeight="1" x14ac:dyDescent="0.35">
      <c r="B199"/>
      <c r="C199"/>
      <c r="D199"/>
      <c r="E199"/>
      <c r="F199"/>
      <c r="G199"/>
      <c r="H199"/>
      <c r="I199"/>
      <c r="J199"/>
      <c r="K199"/>
      <c r="L199"/>
      <c r="M199"/>
      <c r="N199"/>
      <c r="O199"/>
      <c r="P199"/>
      <c r="Q199"/>
      <c r="R199"/>
      <c r="S199"/>
      <c r="T199"/>
      <c r="U199" s="165"/>
      <c r="V199" s="77"/>
      <c r="W199"/>
      <c r="X199"/>
      <c r="Z199"/>
    </row>
    <row r="200" spans="2:26" ht="20" customHeight="1" x14ac:dyDescent="0.35">
      <c r="B200"/>
      <c r="C200"/>
      <c r="D200"/>
      <c r="E200"/>
      <c r="F200"/>
      <c r="G200"/>
      <c r="H200"/>
      <c r="I200"/>
      <c r="J200"/>
      <c r="K200"/>
      <c r="L200"/>
      <c r="M200"/>
      <c r="N200"/>
      <c r="O200"/>
      <c r="P200"/>
      <c r="Q200"/>
      <c r="R200"/>
      <c r="S200"/>
      <c r="T200"/>
      <c r="U200" s="165"/>
      <c r="V200" s="77"/>
      <c r="W200"/>
      <c r="X200"/>
      <c r="Z200"/>
    </row>
    <row r="201" spans="2:26" ht="20" customHeight="1" x14ac:dyDescent="0.35">
      <c r="B201"/>
      <c r="C201"/>
      <c r="D201"/>
      <c r="E201"/>
      <c r="F201"/>
      <c r="G201"/>
      <c r="H201"/>
      <c r="I201"/>
      <c r="J201"/>
      <c r="K201"/>
      <c r="L201"/>
      <c r="M201"/>
      <c r="N201"/>
      <c r="O201"/>
      <c r="P201"/>
      <c r="Q201"/>
      <c r="R201"/>
      <c r="S201"/>
      <c r="T201"/>
      <c r="U201" s="165"/>
      <c r="V201" s="77"/>
      <c r="W201"/>
      <c r="X201"/>
      <c r="Z201"/>
    </row>
    <row r="202" spans="2:26" ht="20" customHeight="1" x14ac:dyDescent="0.35">
      <c r="B202"/>
      <c r="C202"/>
      <c r="D202"/>
      <c r="E202"/>
      <c r="F202"/>
      <c r="G202"/>
      <c r="H202"/>
      <c r="I202"/>
      <c r="J202"/>
      <c r="K202"/>
      <c r="L202"/>
      <c r="M202"/>
      <c r="N202"/>
      <c r="O202"/>
      <c r="P202"/>
      <c r="Q202"/>
      <c r="R202"/>
      <c r="S202"/>
      <c r="T202"/>
      <c r="U202" s="165"/>
      <c r="V202" s="77"/>
      <c r="W202"/>
      <c r="X202"/>
      <c r="Z202"/>
    </row>
    <row r="203" spans="2:26" ht="20" customHeight="1" x14ac:dyDescent="0.35">
      <c r="B203"/>
      <c r="C203"/>
      <c r="D203"/>
      <c r="E203"/>
      <c r="F203"/>
      <c r="G203"/>
      <c r="H203"/>
      <c r="I203"/>
      <c r="J203"/>
      <c r="K203"/>
      <c r="L203"/>
      <c r="M203"/>
      <c r="N203"/>
      <c r="O203"/>
      <c r="P203"/>
      <c r="Q203"/>
      <c r="R203"/>
      <c r="S203"/>
      <c r="T203"/>
      <c r="U203" s="165"/>
      <c r="V203" s="77"/>
      <c r="W203"/>
      <c r="X203"/>
      <c r="Z203"/>
    </row>
    <row r="204" spans="2:26" ht="20" customHeight="1" x14ac:dyDescent="0.35">
      <c r="B204"/>
      <c r="C204"/>
      <c r="D204"/>
      <c r="E204"/>
      <c r="F204"/>
      <c r="G204"/>
      <c r="H204"/>
      <c r="I204"/>
      <c r="J204"/>
      <c r="K204"/>
      <c r="L204"/>
      <c r="M204"/>
      <c r="N204"/>
      <c r="O204"/>
      <c r="P204"/>
      <c r="Q204"/>
      <c r="R204"/>
      <c r="S204"/>
      <c r="T204"/>
      <c r="U204" s="165"/>
      <c r="V204" s="77"/>
      <c r="W204"/>
      <c r="X204"/>
      <c r="Z204"/>
    </row>
    <row r="205" spans="2:26" ht="20" customHeight="1" x14ac:dyDescent="0.35">
      <c r="B205"/>
      <c r="C205"/>
      <c r="D205"/>
      <c r="E205"/>
      <c r="F205"/>
      <c r="G205"/>
      <c r="H205"/>
      <c r="I205"/>
      <c r="J205"/>
      <c r="K205"/>
      <c r="L205"/>
      <c r="M205"/>
      <c r="N205"/>
      <c r="O205"/>
      <c r="P205"/>
      <c r="Q205"/>
      <c r="R205"/>
      <c r="S205"/>
      <c r="T205"/>
      <c r="U205" s="165"/>
      <c r="V205" s="77"/>
      <c r="W205"/>
      <c r="X205"/>
      <c r="Z205"/>
    </row>
    <row r="206" spans="2:26" ht="20" customHeight="1" x14ac:dyDescent="0.35">
      <c r="B206"/>
      <c r="C206"/>
      <c r="D206"/>
      <c r="E206"/>
      <c r="F206"/>
      <c r="G206"/>
      <c r="H206"/>
      <c r="I206"/>
      <c r="J206"/>
      <c r="K206"/>
      <c r="L206"/>
      <c r="M206"/>
      <c r="N206"/>
      <c r="O206"/>
      <c r="P206"/>
      <c r="Q206"/>
      <c r="R206"/>
      <c r="S206"/>
      <c r="T206"/>
      <c r="U206" s="165"/>
      <c r="V206" s="77"/>
      <c r="W206"/>
      <c r="X206"/>
      <c r="Z206"/>
    </row>
    <row r="207" spans="2:26" ht="20" customHeight="1" x14ac:dyDescent="0.35">
      <c r="B207"/>
      <c r="C207"/>
      <c r="D207"/>
      <c r="E207"/>
      <c r="F207"/>
      <c r="G207"/>
      <c r="H207"/>
      <c r="I207"/>
      <c r="J207"/>
      <c r="K207"/>
      <c r="L207"/>
      <c r="M207"/>
      <c r="N207"/>
      <c r="O207"/>
      <c r="P207"/>
      <c r="Q207"/>
      <c r="R207"/>
      <c r="S207"/>
      <c r="T207"/>
      <c r="U207" s="165"/>
      <c r="V207" s="77"/>
      <c r="W207"/>
      <c r="X207"/>
      <c r="Z207"/>
    </row>
    <row r="208" spans="2:26" ht="20" customHeight="1" x14ac:dyDescent="0.35">
      <c r="B208"/>
      <c r="C208"/>
      <c r="D208"/>
      <c r="E208"/>
      <c r="F208"/>
      <c r="G208"/>
      <c r="H208"/>
      <c r="I208"/>
      <c r="J208"/>
      <c r="K208"/>
      <c r="L208"/>
      <c r="M208"/>
      <c r="N208"/>
      <c r="O208"/>
      <c r="P208"/>
      <c r="Q208"/>
      <c r="R208"/>
      <c r="S208"/>
      <c r="T208"/>
      <c r="U208" s="165"/>
      <c r="V208" s="77"/>
      <c r="W208"/>
      <c r="X208"/>
      <c r="Z208"/>
    </row>
    <row r="209" spans="2:26" ht="20" customHeight="1" x14ac:dyDescent="0.35">
      <c r="B209"/>
      <c r="C209"/>
      <c r="D209"/>
      <c r="E209"/>
      <c r="F209"/>
      <c r="G209"/>
      <c r="H209"/>
      <c r="I209"/>
      <c r="J209"/>
      <c r="K209"/>
      <c r="L209"/>
      <c r="M209"/>
      <c r="N209"/>
      <c r="O209"/>
      <c r="P209"/>
      <c r="Q209"/>
      <c r="R209"/>
      <c r="S209"/>
      <c r="T209"/>
      <c r="U209" s="165"/>
      <c r="V209" s="77"/>
      <c r="W209"/>
      <c r="X209"/>
      <c r="Z209"/>
    </row>
    <row r="210" spans="2:26" ht="20" customHeight="1" x14ac:dyDescent="0.35">
      <c r="B210"/>
      <c r="C210"/>
      <c r="D210"/>
      <c r="E210"/>
      <c r="F210"/>
      <c r="G210"/>
      <c r="H210"/>
      <c r="I210"/>
      <c r="J210"/>
      <c r="K210"/>
      <c r="L210"/>
      <c r="M210"/>
      <c r="N210"/>
      <c r="O210"/>
      <c r="P210"/>
      <c r="Q210"/>
      <c r="R210"/>
      <c r="S210"/>
      <c r="T210"/>
      <c r="U210" s="165"/>
      <c r="V210" s="77"/>
      <c r="W210"/>
      <c r="X210"/>
      <c r="Z210"/>
    </row>
    <row r="211" spans="2:26" ht="20" customHeight="1" x14ac:dyDescent="0.35">
      <c r="B211"/>
      <c r="C211"/>
      <c r="D211"/>
      <c r="E211"/>
      <c r="F211"/>
      <c r="G211"/>
      <c r="H211"/>
      <c r="I211"/>
      <c r="J211"/>
      <c r="K211"/>
      <c r="L211"/>
      <c r="M211"/>
      <c r="N211"/>
      <c r="O211"/>
      <c r="P211"/>
      <c r="Q211"/>
      <c r="R211"/>
      <c r="S211"/>
      <c r="T211"/>
      <c r="U211" s="165"/>
      <c r="V211" s="77"/>
      <c r="W211"/>
      <c r="X211"/>
      <c r="Z211"/>
    </row>
    <row r="212" spans="2:26" ht="20" customHeight="1" x14ac:dyDescent="0.35">
      <c r="B212"/>
      <c r="C212"/>
      <c r="D212"/>
      <c r="E212"/>
      <c r="F212"/>
      <c r="G212"/>
      <c r="H212"/>
      <c r="I212"/>
      <c r="J212"/>
      <c r="K212"/>
      <c r="L212"/>
      <c r="M212"/>
      <c r="N212"/>
      <c r="O212"/>
      <c r="P212"/>
      <c r="Q212"/>
      <c r="R212"/>
      <c r="S212"/>
      <c r="T212"/>
      <c r="U212" s="165"/>
      <c r="V212" s="77"/>
      <c r="W212"/>
      <c r="X212"/>
      <c r="Z212"/>
    </row>
    <row r="213" spans="2:26" ht="20" customHeight="1" x14ac:dyDescent="0.35">
      <c r="B213"/>
      <c r="C213"/>
      <c r="D213"/>
      <c r="E213"/>
      <c r="F213"/>
      <c r="G213"/>
      <c r="H213"/>
      <c r="I213"/>
      <c r="J213"/>
      <c r="K213"/>
      <c r="L213"/>
      <c r="M213"/>
      <c r="N213"/>
      <c r="O213"/>
      <c r="P213"/>
      <c r="Q213"/>
      <c r="R213"/>
      <c r="S213"/>
      <c r="T213"/>
      <c r="U213" s="165"/>
      <c r="V213" s="77"/>
      <c r="W213"/>
      <c r="X213"/>
      <c r="Z213"/>
    </row>
    <row r="214" spans="2:26" ht="20" customHeight="1" x14ac:dyDescent="0.35">
      <c r="B214"/>
      <c r="C214"/>
      <c r="D214"/>
      <c r="E214"/>
      <c r="F214"/>
      <c r="G214"/>
      <c r="H214"/>
      <c r="I214"/>
      <c r="J214"/>
      <c r="K214"/>
      <c r="L214"/>
      <c r="M214"/>
      <c r="N214"/>
      <c r="O214"/>
      <c r="P214"/>
      <c r="Q214"/>
      <c r="R214"/>
      <c r="S214"/>
      <c r="T214"/>
      <c r="U214" s="165"/>
      <c r="V214" s="77"/>
      <c r="W214"/>
      <c r="X214"/>
      <c r="Z214"/>
    </row>
    <row r="215" spans="2:26" ht="20" customHeight="1" x14ac:dyDescent="0.35">
      <c r="B215"/>
      <c r="C215"/>
      <c r="D215"/>
      <c r="E215"/>
      <c r="F215"/>
      <c r="G215"/>
      <c r="H215"/>
      <c r="I215"/>
      <c r="J215"/>
      <c r="K215"/>
      <c r="L215"/>
      <c r="M215"/>
      <c r="N215"/>
      <c r="O215"/>
      <c r="P215"/>
      <c r="Q215"/>
      <c r="R215"/>
      <c r="S215"/>
      <c r="T215"/>
      <c r="U215" s="165"/>
      <c r="V215" s="77"/>
      <c r="W215"/>
      <c r="X215"/>
      <c r="Z215"/>
    </row>
    <row r="216" spans="2:26" ht="20" customHeight="1" x14ac:dyDescent="0.35">
      <c r="B216"/>
      <c r="C216"/>
      <c r="D216"/>
      <c r="E216"/>
      <c r="F216"/>
      <c r="G216"/>
      <c r="H216"/>
      <c r="I216"/>
      <c r="J216"/>
      <c r="K216"/>
      <c r="L216"/>
      <c r="M216"/>
      <c r="N216"/>
      <c r="O216"/>
      <c r="P216"/>
      <c r="Q216"/>
      <c r="R216"/>
      <c r="S216"/>
      <c r="T216"/>
      <c r="U216" s="165"/>
      <c r="V216" s="77"/>
      <c r="W216"/>
      <c r="X216"/>
      <c r="Z216"/>
    </row>
    <row r="217" spans="2:26" ht="20" customHeight="1" x14ac:dyDescent="0.35">
      <c r="B217"/>
      <c r="C217"/>
      <c r="D217"/>
      <c r="E217"/>
      <c r="F217"/>
      <c r="G217"/>
      <c r="H217"/>
      <c r="I217"/>
      <c r="J217"/>
      <c r="K217"/>
      <c r="L217"/>
      <c r="M217"/>
      <c r="N217"/>
      <c r="O217"/>
      <c r="P217"/>
      <c r="Q217"/>
      <c r="R217"/>
      <c r="S217"/>
      <c r="T217"/>
      <c r="U217" s="165"/>
      <c r="V217" s="77"/>
      <c r="W217"/>
      <c r="X217"/>
      <c r="Z217"/>
    </row>
    <row r="218" spans="2:26" ht="20" customHeight="1" x14ac:dyDescent="0.35">
      <c r="B218"/>
      <c r="C218"/>
      <c r="D218"/>
      <c r="E218"/>
      <c r="F218"/>
      <c r="G218"/>
      <c r="H218"/>
      <c r="I218"/>
      <c r="J218"/>
      <c r="K218"/>
      <c r="L218"/>
      <c r="M218"/>
      <c r="N218"/>
      <c r="O218"/>
      <c r="P218"/>
      <c r="Q218"/>
      <c r="R218"/>
      <c r="S218"/>
      <c r="T218"/>
      <c r="U218" s="165"/>
      <c r="V218" s="77"/>
      <c r="W218"/>
      <c r="X218"/>
      <c r="Z218"/>
    </row>
    <row r="219" spans="2:26" ht="20" customHeight="1" x14ac:dyDescent="0.35">
      <c r="B219"/>
      <c r="C219"/>
      <c r="D219"/>
      <c r="E219"/>
      <c r="F219"/>
      <c r="G219"/>
      <c r="H219"/>
      <c r="I219"/>
      <c r="J219"/>
      <c r="K219"/>
      <c r="L219"/>
      <c r="M219"/>
      <c r="N219"/>
      <c r="O219"/>
      <c r="P219"/>
      <c r="Q219"/>
      <c r="R219"/>
      <c r="S219"/>
      <c r="T219"/>
      <c r="U219" s="165"/>
      <c r="V219" s="77"/>
      <c r="W219"/>
      <c r="X219"/>
      <c r="Z219"/>
    </row>
    <row r="220" spans="2:26" ht="20" customHeight="1" x14ac:dyDescent="0.35">
      <c r="B220"/>
      <c r="C220"/>
      <c r="D220"/>
      <c r="E220"/>
      <c r="F220"/>
      <c r="G220"/>
      <c r="H220"/>
      <c r="I220"/>
      <c r="J220"/>
      <c r="K220"/>
      <c r="L220"/>
      <c r="M220"/>
      <c r="N220"/>
      <c r="O220"/>
      <c r="P220"/>
      <c r="Q220"/>
      <c r="R220"/>
      <c r="S220"/>
      <c r="T220"/>
      <c r="U220" s="165"/>
      <c r="V220" s="77"/>
      <c r="W220"/>
      <c r="X220"/>
      <c r="Z220"/>
    </row>
    <row r="221" spans="2:26" ht="20" customHeight="1" x14ac:dyDescent="0.35">
      <c r="B221"/>
      <c r="C221"/>
      <c r="D221"/>
      <c r="E221"/>
      <c r="F221"/>
      <c r="G221"/>
      <c r="H221"/>
      <c r="I221"/>
      <c r="J221"/>
      <c r="K221"/>
      <c r="L221"/>
      <c r="M221"/>
      <c r="N221"/>
      <c r="O221"/>
      <c r="P221"/>
      <c r="Q221"/>
      <c r="R221"/>
      <c r="S221"/>
      <c r="T221"/>
      <c r="U221" s="165"/>
      <c r="V221" s="77"/>
      <c r="W221"/>
      <c r="X221"/>
      <c r="Z221"/>
    </row>
    <row r="222" spans="2:26" ht="20" customHeight="1" x14ac:dyDescent="0.35">
      <c r="B222"/>
      <c r="C222"/>
      <c r="D222"/>
      <c r="E222"/>
      <c r="F222"/>
      <c r="G222"/>
      <c r="H222"/>
      <c r="I222"/>
      <c r="J222"/>
      <c r="K222"/>
      <c r="L222"/>
      <c r="M222"/>
      <c r="N222"/>
      <c r="O222"/>
      <c r="P222"/>
      <c r="Q222"/>
      <c r="R222"/>
      <c r="S222"/>
      <c r="T222"/>
      <c r="U222" s="165"/>
      <c r="V222" s="77"/>
      <c r="W222"/>
      <c r="X222"/>
      <c r="Z222"/>
    </row>
    <row r="223" spans="2:26" ht="20" customHeight="1" x14ac:dyDescent="0.35">
      <c r="B223"/>
      <c r="C223"/>
      <c r="D223"/>
      <c r="E223"/>
      <c r="F223"/>
      <c r="G223"/>
      <c r="H223"/>
      <c r="I223"/>
      <c r="J223"/>
      <c r="K223"/>
      <c r="L223"/>
      <c r="M223"/>
      <c r="N223"/>
      <c r="O223"/>
      <c r="P223"/>
      <c r="Q223"/>
      <c r="R223"/>
      <c r="S223"/>
      <c r="T223"/>
      <c r="U223" s="165"/>
      <c r="V223" s="77"/>
      <c r="W223"/>
      <c r="X223"/>
      <c r="Z223"/>
    </row>
    <row r="224" spans="2:26" ht="20" customHeight="1" x14ac:dyDescent="0.35">
      <c r="B224"/>
      <c r="C224"/>
      <c r="D224"/>
      <c r="E224"/>
      <c r="F224"/>
      <c r="G224"/>
      <c r="H224"/>
      <c r="I224"/>
      <c r="J224"/>
      <c r="K224"/>
      <c r="L224"/>
      <c r="M224"/>
      <c r="N224"/>
      <c r="O224"/>
      <c r="P224"/>
      <c r="Q224"/>
      <c r="R224"/>
      <c r="S224"/>
      <c r="T224"/>
      <c r="U224" s="165"/>
      <c r="V224" s="77"/>
      <c r="W224"/>
      <c r="X224"/>
      <c r="Z224"/>
    </row>
    <row r="225" spans="2:26" ht="20" customHeight="1" x14ac:dyDescent="0.35">
      <c r="B225"/>
      <c r="C225"/>
      <c r="D225"/>
      <c r="E225"/>
      <c r="F225"/>
      <c r="G225"/>
      <c r="H225"/>
      <c r="I225"/>
      <c r="J225"/>
      <c r="K225"/>
      <c r="L225"/>
      <c r="M225"/>
      <c r="N225"/>
      <c r="O225"/>
      <c r="P225"/>
      <c r="Q225"/>
      <c r="R225"/>
      <c r="S225"/>
      <c r="T225"/>
      <c r="U225" s="165"/>
      <c r="V225" s="77"/>
      <c r="W225"/>
      <c r="X225"/>
      <c r="Z225"/>
    </row>
    <row r="226" spans="2:26" ht="20" customHeight="1" x14ac:dyDescent="0.35">
      <c r="B226"/>
      <c r="C226"/>
      <c r="D226"/>
      <c r="E226"/>
      <c r="F226"/>
      <c r="G226"/>
      <c r="H226"/>
      <c r="I226"/>
      <c r="J226"/>
      <c r="K226"/>
      <c r="L226"/>
      <c r="M226"/>
      <c r="N226"/>
      <c r="O226"/>
      <c r="P226"/>
      <c r="Q226"/>
      <c r="R226"/>
      <c r="S226"/>
      <c r="T226"/>
      <c r="U226" s="165"/>
      <c r="V226" s="77"/>
      <c r="W226"/>
      <c r="X226"/>
      <c r="Z226"/>
    </row>
    <row r="227" spans="2:26" ht="20" customHeight="1" x14ac:dyDescent="0.35">
      <c r="B227"/>
      <c r="C227"/>
      <c r="D227"/>
      <c r="E227"/>
      <c r="F227"/>
      <c r="G227"/>
      <c r="H227"/>
      <c r="I227"/>
      <c r="J227"/>
      <c r="K227"/>
      <c r="L227"/>
      <c r="M227"/>
      <c r="N227"/>
      <c r="O227"/>
      <c r="P227"/>
      <c r="Q227"/>
      <c r="R227"/>
      <c r="S227"/>
      <c r="T227"/>
      <c r="U227" s="165"/>
      <c r="V227" s="77"/>
      <c r="W227"/>
      <c r="X227"/>
      <c r="Z227"/>
    </row>
    <row r="228" spans="2:26" ht="20" customHeight="1" x14ac:dyDescent="0.35">
      <c r="B228"/>
      <c r="C228"/>
      <c r="D228"/>
      <c r="E228"/>
      <c r="F228"/>
      <c r="G228"/>
      <c r="H228"/>
      <c r="I228"/>
      <c r="J228"/>
      <c r="K228"/>
      <c r="L228"/>
      <c r="M228"/>
      <c r="N228"/>
      <c r="O228"/>
      <c r="P228"/>
      <c r="Q228"/>
      <c r="R228"/>
      <c r="S228"/>
      <c r="T228"/>
      <c r="U228" s="165"/>
      <c r="V228" s="77"/>
      <c r="W228"/>
      <c r="X228"/>
      <c r="Z228"/>
    </row>
    <row r="229" spans="2:26" ht="20" customHeight="1" x14ac:dyDescent="0.35">
      <c r="B229"/>
      <c r="C229"/>
      <c r="D229"/>
      <c r="E229"/>
      <c r="F229"/>
      <c r="G229"/>
      <c r="H229"/>
      <c r="I229"/>
      <c r="J229"/>
      <c r="K229"/>
      <c r="L229"/>
      <c r="M229"/>
      <c r="N229"/>
      <c r="O229"/>
      <c r="P229"/>
      <c r="Q229"/>
      <c r="R229"/>
      <c r="S229"/>
      <c r="T229"/>
      <c r="U229" s="165"/>
      <c r="V229" s="77"/>
      <c r="W229"/>
      <c r="X229"/>
      <c r="Z229"/>
    </row>
    <row r="230" spans="2:26" ht="20" customHeight="1" x14ac:dyDescent="0.35">
      <c r="B230"/>
      <c r="C230"/>
      <c r="D230"/>
      <c r="E230"/>
      <c r="F230"/>
      <c r="G230"/>
      <c r="H230"/>
      <c r="I230"/>
      <c r="J230"/>
      <c r="K230"/>
      <c r="L230"/>
      <c r="M230"/>
      <c r="N230"/>
      <c r="O230"/>
      <c r="P230"/>
      <c r="Q230"/>
      <c r="R230"/>
      <c r="S230"/>
      <c r="T230"/>
      <c r="U230" s="165"/>
      <c r="V230" s="77"/>
      <c r="W230"/>
      <c r="X230"/>
      <c r="Z230"/>
    </row>
    <row r="231" spans="2:26" ht="20" customHeight="1" x14ac:dyDescent="0.35">
      <c r="B231"/>
      <c r="C231"/>
      <c r="D231"/>
      <c r="E231"/>
      <c r="F231"/>
      <c r="G231"/>
      <c r="H231"/>
      <c r="I231"/>
      <c r="J231"/>
      <c r="K231"/>
      <c r="L231"/>
      <c r="M231"/>
      <c r="N231"/>
      <c r="O231"/>
      <c r="P231"/>
      <c r="Q231"/>
      <c r="R231"/>
      <c r="S231"/>
      <c r="T231"/>
      <c r="U231" s="165"/>
      <c r="V231" s="77"/>
      <c r="W231"/>
      <c r="X231"/>
      <c r="Z231"/>
    </row>
    <row r="232" spans="2:26" ht="20" customHeight="1" x14ac:dyDescent="0.35">
      <c r="B232"/>
      <c r="C232"/>
      <c r="D232"/>
      <c r="E232"/>
      <c r="F232"/>
      <c r="G232"/>
      <c r="H232"/>
      <c r="I232"/>
      <c r="J232"/>
      <c r="K232"/>
      <c r="L232"/>
      <c r="M232"/>
      <c r="N232"/>
      <c r="O232"/>
      <c r="P232"/>
      <c r="Q232"/>
      <c r="R232"/>
      <c r="S232"/>
      <c r="T232"/>
      <c r="U232" s="165"/>
      <c r="V232" s="77"/>
      <c r="W232"/>
      <c r="X232"/>
      <c r="Z232"/>
    </row>
    <row r="233" spans="2:26" ht="20" customHeight="1" x14ac:dyDescent="0.35">
      <c r="B233"/>
      <c r="C233"/>
      <c r="D233"/>
      <c r="E233"/>
      <c r="F233"/>
      <c r="G233"/>
      <c r="H233"/>
      <c r="I233"/>
      <c r="J233"/>
      <c r="K233"/>
      <c r="L233"/>
      <c r="M233"/>
      <c r="N233"/>
      <c r="O233"/>
      <c r="P233"/>
      <c r="Q233"/>
      <c r="R233"/>
      <c r="S233"/>
      <c r="T233"/>
      <c r="U233" s="165"/>
      <c r="V233" s="77"/>
      <c r="W233"/>
      <c r="X233"/>
      <c r="Z233"/>
    </row>
    <row r="234" spans="2:26" ht="20" customHeight="1" x14ac:dyDescent="0.35">
      <c r="B234"/>
      <c r="C234"/>
      <c r="D234"/>
      <c r="E234"/>
      <c r="F234"/>
      <c r="G234"/>
      <c r="H234"/>
      <c r="I234"/>
      <c r="J234"/>
      <c r="K234"/>
      <c r="L234"/>
      <c r="M234"/>
      <c r="N234"/>
      <c r="O234"/>
      <c r="P234"/>
      <c r="Q234"/>
      <c r="R234"/>
      <c r="S234"/>
      <c r="T234"/>
      <c r="U234" s="165"/>
      <c r="V234" s="77"/>
      <c r="W234"/>
      <c r="X234"/>
      <c r="Z234"/>
    </row>
    <row r="235" spans="2:26" ht="20" customHeight="1" x14ac:dyDescent="0.35">
      <c r="B235"/>
      <c r="C235"/>
      <c r="D235"/>
      <c r="E235"/>
      <c r="F235"/>
      <c r="G235"/>
      <c r="H235"/>
      <c r="I235"/>
      <c r="J235"/>
      <c r="K235"/>
      <c r="L235"/>
      <c r="M235"/>
      <c r="N235"/>
      <c r="O235"/>
      <c r="P235"/>
      <c r="Q235"/>
      <c r="R235"/>
      <c r="S235"/>
      <c r="T235"/>
      <c r="U235" s="165"/>
      <c r="V235" s="77"/>
      <c r="W235"/>
      <c r="X235"/>
      <c r="Z235"/>
    </row>
    <row r="236" spans="2:26" ht="20" customHeight="1" x14ac:dyDescent="0.35">
      <c r="B236"/>
      <c r="C236"/>
      <c r="D236"/>
      <c r="E236"/>
      <c r="F236"/>
      <c r="G236"/>
      <c r="H236"/>
      <c r="I236"/>
      <c r="J236"/>
      <c r="K236"/>
      <c r="L236"/>
      <c r="M236"/>
      <c r="N236"/>
      <c r="O236"/>
      <c r="P236"/>
      <c r="Q236"/>
      <c r="R236"/>
      <c r="S236"/>
      <c r="T236"/>
      <c r="U236" s="165"/>
      <c r="V236" s="77"/>
      <c r="W236"/>
      <c r="X236"/>
      <c r="Z236"/>
    </row>
    <row r="237" spans="2:26" ht="20" customHeight="1" x14ac:dyDescent="0.35">
      <c r="B237"/>
      <c r="C237"/>
      <c r="D237"/>
      <c r="E237"/>
      <c r="F237"/>
      <c r="G237"/>
      <c r="H237"/>
      <c r="I237"/>
      <c r="J237"/>
      <c r="K237"/>
      <c r="L237"/>
      <c r="M237"/>
      <c r="N237"/>
      <c r="O237"/>
      <c r="P237"/>
      <c r="Q237"/>
      <c r="R237"/>
      <c r="S237"/>
      <c r="T237"/>
      <c r="U237" s="165"/>
      <c r="V237" s="77"/>
      <c r="W237"/>
      <c r="X237"/>
      <c r="Z237"/>
    </row>
    <row r="238" spans="2:26" ht="20" customHeight="1" x14ac:dyDescent="0.35">
      <c r="B238"/>
      <c r="C238"/>
      <c r="D238"/>
      <c r="E238"/>
      <c r="F238"/>
      <c r="G238"/>
      <c r="H238"/>
      <c r="I238"/>
      <c r="J238"/>
      <c r="K238"/>
      <c r="L238"/>
      <c r="M238"/>
      <c r="N238"/>
      <c r="O238"/>
      <c r="P238"/>
      <c r="Q238"/>
      <c r="R238"/>
      <c r="S238"/>
      <c r="T238"/>
      <c r="U238" s="165"/>
      <c r="V238" s="77"/>
      <c r="W238"/>
      <c r="X238"/>
      <c r="Z238"/>
    </row>
    <row r="239" spans="2:26" ht="20" customHeight="1" x14ac:dyDescent="0.35">
      <c r="B239"/>
      <c r="C239"/>
      <c r="D239"/>
      <c r="E239"/>
      <c r="F239"/>
      <c r="G239"/>
      <c r="H239"/>
      <c r="I239"/>
      <c r="J239"/>
      <c r="K239"/>
      <c r="L239"/>
      <c r="M239"/>
      <c r="N239"/>
      <c r="O239"/>
      <c r="P239"/>
      <c r="Q239"/>
      <c r="R239"/>
      <c r="S239"/>
      <c r="T239"/>
      <c r="U239" s="165"/>
      <c r="V239" s="77"/>
      <c r="W239"/>
      <c r="X239"/>
      <c r="Z239"/>
    </row>
    <row r="240" spans="2:26" ht="20" customHeight="1" x14ac:dyDescent="0.35">
      <c r="B240"/>
      <c r="C240"/>
      <c r="D240"/>
      <c r="E240"/>
      <c r="F240"/>
      <c r="G240"/>
      <c r="H240"/>
      <c r="I240"/>
      <c r="J240"/>
      <c r="K240"/>
      <c r="L240"/>
      <c r="M240"/>
      <c r="N240"/>
      <c r="O240"/>
      <c r="P240"/>
      <c r="Q240"/>
      <c r="R240"/>
      <c r="S240"/>
      <c r="T240"/>
      <c r="U240" s="165"/>
      <c r="V240" s="77"/>
      <c r="W240"/>
      <c r="X240"/>
      <c r="Z240"/>
    </row>
    <row r="241" spans="2:26" ht="20" customHeight="1" x14ac:dyDescent="0.35">
      <c r="B241"/>
      <c r="C241"/>
      <c r="D241"/>
      <c r="E241"/>
      <c r="F241"/>
      <c r="G241"/>
      <c r="H241"/>
      <c r="I241"/>
      <c r="J241"/>
      <c r="K241"/>
      <c r="L241"/>
      <c r="M241"/>
      <c r="N241"/>
      <c r="O241"/>
      <c r="P241"/>
      <c r="Q241"/>
      <c r="R241"/>
      <c r="S241"/>
      <c r="T241"/>
      <c r="U241" s="165"/>
      <c r="V241" s="77"/>
      <c r="W241"/>
      <c r="X241"/>
      <c r="Z241"/>
    </row>
    <row r="242" spans="2:26" ht="20" customHeight="1" x14ac:dyDescent="0.35">
      <c r="B242"/>
      <c r="C242"/>
      <c r="D242"/>
      <c r="E242"/>
      <c r="F242"/>
      <c r="G242"/>
      <c r="H242"/>
      <c r="I242"/>
      <c r="J242"/>
      <c r="K242"/>
      <c r="L242"/>
      <c r="M242"/>
      <c r="N242"/>
      <c r="O242"/>
      <c r="P242"/>
      <c r="Q242"/>
      <c r="R242"/>
      <c r="S242"/>
      <c r="T242"/>
      <c r="U242" s="165"/>
      <c r="V242" s="77"/>
      <c r="W242"/>
      <c r="X242"/>
      <c r="Z242"/>
    </row>
    <row r="243" spans="2:26" ht="20" customHeight="1" x14ac:dyDescent="0.35">
      <c r="B243"/>
      <c r="C243"/>
      <c r="D243"/>
      <c r="E243"/>
      <c r="F243"/>
      <c r="G243"/>
      <c r="H243"/>
      <c r="I243"/>
      <c r="J243"/>
      <c r="K243"/>
      <c r="L243"/>
      <c r="M243"/>
      <c r="N243"/>
      <c r="O243"/>
      <c r="P243"/>
      <c r="Q243"/>
      <c r="R243"/>
      <c r="S243"/>
      <c r="T243"/>
      <c r="U243" s="165"/>
      <c r="V243" s="77"/>
      <c r="W243"/>
      <c r="X243"/>
      <c r="Z243"/>
    </row>
    <row r="244" spans="2:26" ht="20" customHeight="1" x14ac:dyDescent="0.35">
      <c r="B244"/>
      <c r="C244"/>
      <c r="D244"/>
      <c r="E244"/>
      <c r="F244"/>
      <c r="G244"/>
      <c r="H244"/>
      <c r="I244"/>
      <c r="J244"/>
      <c r="K244"/>
      <c r="L244"/>
      <c r="M244"/>
      <c r="N244"/>
      <c r="O244"/>
      <c r="P244"/>
      <c r="Q244"/>
      <c r="R244"/>
      <c r="S244"/>
      <c r="T244"/>
      <c r="U244" s="165"/>
      <c r="V244" s="77"/>
      <c r="W244"/>
      <c r="X244"/>
      <c r="Z244"/>
    </row>
    <row r="245" spans="2:26" ht="20" customHeight="1" x14ac:dyDescent="0.35">
      <c r="B245"/>
      <c r="C245"/>
      <c r="D245"/>
      <c r="E245"/>
      <c r="F245"/>
      <c r="G245"/>
      <c r="H245"/>
      <c r="I245"/>
      <c r="J245"/>
      <c r="K245"/>
      <c r="L245"/>
      <c r="M245"/>
      <c r="N245"/>
      <c r="O245"/>
      <c r="P245"/>
      <c r="Q245"/>
      <c r="R245"/>
      <c r="S245"/>
      <c r="T245"/>
      <c r="U245" s="165"/>
      <c r="V245" s="77"/>
      <c r="W245"/>
      <c r="X245"/>
      <c r="Z245"/>
    </row>
    <row r="246" spans="2:26" ht="20" customHeight="1" x14ac:dyDescent="0.35">
      <c r="B246"/>
      <c r="C246"/>
      <c r="D246"/>
      <c r="E246"/>
      <c r="F246"/>
      <c r="G246"/>
      <c r="H246"/>
      <c r="I246"/>
      <c r="J246"/>
      <c r="K246"/>
      <c r="L246"/>
      <c r="M246"/>
      <c r="N246"/>
      <c r="O246"/>
      <c r="P246"/>
      <c r="Q246"/>
      <c r="R246"/>
      <c r="S246"/>
      <c r="T246"/>
      <c r="U246" s="165"/>
      <c r="V246" s="77"/>
      <c r="W246"/>
      <c r="X246"/>
      <c r="Z246"/>
    </row>
    <row r="247" spans="2:26" ht="20" customHeight="1" x14ac:dyDescent="0.35">
      <c r="B247"/>
      <c r="C247"/>
      <c r="D247"/>
      <c r="E247"/>
      <c r="F247"/>
      <c r="G247"/>
      <c r="H247"/>
      <c r="I247"/>
      <c r="J247"/>
      <c r="K247"/>
      <c r="L247"/>
      <c r="M247"/>
      <c r="N247"/>
      <c r="O247"/>
      <c r="P247"/>
      <c r="Q247"/>
      <c r="R247"/>
      <c r="S247"/>
      <c r="T247"/>
      <c r="U247" s="165"/>
      <c r="V247" s="77"/>
      <c r="W247"/>
      <c r="X247"/>
      <c r="Z247"/>
    </row>
    <row r="248" spans="2:26" ht="20" customHeight="1" x14ac:dyDescent="0.35">
      <c r="B248"/>
      <c r="C248"/>
      <c r="D248"/>
      <c r="E248"/>
      <c r="F248"/>
      <c r="G248"/>
      <c r="H248"/>
      <c r="I248"/>
      <c r="J248"/>
      <c r="K248"/>
      <c r="L248"/>
      <c r="M248"/>
      <c r="N248"/>
      <c r="O248"/>
      <c r="P248"/>
      <c r="Q248"/>
      <c r="R248"/>
      <c r="S248"/>
      <c r="T248"/>
      <c r="U248" s="165"/>
      <c r="V248" s="77"/>
      <c r="W248"/>
      <c r="X248"/>
      <c r="Z248"/>
    </row>
    <row r="249" spans="2:26" ht="20" customHeight="1" x14ac:dyDescent="0.35">
      <c r="B249"/>
      <c r="C249"/>
      <c r="D249"/>
      <c r="E249"/>
      <c r="F249"/>
      <c r="G249"/>
      <c r="H249"/>
      <c r="I249"/>
      <c r="J249"/>
      <c r="K249"/>
      <c r="L249"/>
      <c r="M249"/>
      <c r="N249"/>
      <c r="O249"/>
      <c r="P249"/>
      <c r="Q249"/>
      <c r="R249"/>
      <c r="S249"/>
      <c r="T249"/>
      <c r="U249" s="165"/>
      <c r="V249" s="77"/>
      <c r="W249"/>
      <c r="X249"/>
      <c r="Z249"/>
    </row>
    <row r="250" spans="2:26" ht="20" customHeight="1" x14ac:dyDescent="0.35">
      <c r="B250"/>
      <c r="C250"/>
      <c r="D250"/>
      <c r="E250"/>
      <c r="F250"/>
      <c r="G250"/>
      <c r="H250"/>
      <c r="I250"/>
      <c r="J250"/>
      <c r="K250"/>
      <c r="L250"/>
      <c r="M250"/>
      <c r="N250"/>
      <c r="O250"/>
      <c r="P250"/>
      <c r="Q250"/>
      <c r="R250"/>
      <c r="S250"/>
      <c r="T250"/>
      <c r="U250" s="165"/>
      <c r="V250" s="77"/>
      <c r="W250"/>
      <c r="X250"/>
      <c r="Z250"/>
    </row>
    <row r="251" spans="2:26" ht="20" customHeight="1" x14ac:dyDescent="0.35">
      <c r="B251"/>
      <c r="C251"/>
      <c r="D251"/>
      <c r="E251"/>
      <c r="F251"/>
      <c r="G251"/>
      <c r="H251"/>
      <c r="I251"/>
      <c r="J251"/>
      <c r="K251"/>
      <c r="L251"/>
      <c r="M251"/>
      <c r="N251"/>
      <c r="O251"/>
      <c r="P251"/>
      <c r="Q251"/>
      <c r="R251"/>
      <c r="S251"/>
      <c r="T251"/>
      <c r="U251" s="165"/>
      <c r="V251" s="77"/>
      <c r="W251"/>
      <c r="X251"/>
      <c r="Z251"/>
    </row>
    <row r="252" spans="2:26" ht="20" customHeight="1" x14ac:dyDescent="0.35">
      <c r="B252"/>
      <c r="C252"/>
      <c r="D252"/>
      <c r="E252"/>
      <c r="F252"/>
      <c r="G252"/>
      <c r="H252"/>
      <c r="I252"/>
      <c r="J252"/>
      <c r="K252"/>
      <c r="L252"/>
      <c r="M252"/>
      <c r="N252"/>
      <c r="O252"/>
      <c r="P252"/>
      <c r="Q252"/>
      <c r="R252"/>
      <c r="S252"/>
      <c r="T252"/>
      <c r="U252" s="165"/>
      <c r="V252" s="77"/>
      <c r="W252"/>
      <c r="X252"/>
      <c r="Z252"/>
    </row>
    <row r="253" spans="2:26" ht="20" customHeight="1" x14ac:dyDescent="0.35">
      <c r="B253"/>
      <c r="C253"/>
      <c r="D253"/>
      <c r="E253"/>
      <c r="F253"/>
      <c r="G253"/>
      <c r="H253"/>
      <c r="I253"/>
      <c r="J253"/>
      <c r="K253"/>
      <c r="L253"/>
      <c r="M253"/>
      <c r="N253"/>
      <c r="O253"/>
      <c r="P253"/>
      <c r="Q253"/>
      <c r="R253"/>
      <c r="S253"/>
      <c r="T253"/>
      <c r="U253" s="165"/>
      <c r="V253" s="77"/>
      <c r="W253"/>
      <c r="X253"/>
      <c r="Z253"/>
    </row>
    <row r="254" spans="2:26" ht="20" customHeight="1" x14ac:dyDescent="0.35">
      <c r="B254"/>
      <c r="C254"/>
      <c r="D254"/>
      <c r="E254"/>
      <c r="F254"/>
      <c r="G254"/>
      <c r="H254"/>
      <c r="I254"/>
      <c r="J254"/>
      <c r="K254"/>
      <c r="L254"/>
      <c r="M254"/>
      <c r="N254"/>
      <c r="O254"/>
      <c r="P254"/>
      <c r="Q254"/>
      <c r="R254"/>
      <c r="S254"/>
      <c r="T254"/>
      <c r="U254" s="165"/>
      <c r="V254" s="77"/>
      <c r="W254"/>
      <c r="X254"/>
      <c r="Z254"/>
    </row>
    <row r="255" spans="2:26" ht="20" customHeight="1" x14ac:dyDescent="0.35">
      <c r="B255"/>
      <c r="C255"/>
      <c r="D255"/>
      <c r="E255"/>
      <c r="F255"/>
      <c r="G255"/>
      <c r="H255"/>
      <c r="I255"/>
      <c r="J255"/>
      <c r="K255"/>
      <c r="L255"/>
      <c r="M255"/>
      <c r="N255"/>
      <c r="O255"/>
      <c r="P255"/>
      <c r="Q255"/>
      <c r="R255"/>
      <c r="S255"/>
      <c r="T255"/>
      <c r="U255" s="165"/>
      <c r="V255" s="77"/>
      <c r="W255"/>
      <c r="X255"/>
      <c r="Z255"/>
    </row>
    <row r="256" spans="2:26" ht="20" customHeight="1" x14ac:dyDescent="0.35">
      <c r="B256"/>
      <c r="C256"/>
      <c r="D256"/>
      <c r="E256"/>
      <c r="F256"/>
      <c r="G256"/>
      <c r="H256"/>
      <c r="I256"/>
      <c r="J256"/>
      <c r="K256"/>
      <c r="L256"/>
      <c r="M256"/>
      <c r="N256"/>
      <c r="O256"/>
      <c r="P256"/>
      <c r="Q256"/>
      <c r="R256"/>
      <c r="S256"/>
      <c r="T256"/>
      <c r="U256" s="165"/>
      <c r="V256" s="77"/>
      <c r="W256"/>
      <c r="X256"/>
      <c r="Z256"/>
    </row>
    <row r="257" spans="2:26" ht="20" customHeight="1" x14ac:dyDescent="0.35">
      <c r="B257"/>
      <c r="C257"/>
      <c r="D257"/>
      <c r="E257"/>
      <c r="F257"/>
      <c r="G257"/>
      <c r="H257"/>
      <c r="I257"/>
      <c r="J257"/>
      <c r="K257"/>
      <c r="L257"/>
      <c r="M257"/>
      <c r="N257"/>
      <c r="O257"/>
      <c r="P257"/>
      <c r="Q257"/>
      <c r="R257"/>
      <c r="S257"/>
      <c r="T257"/>
      <c r="U257" s="165"/>
      <c r="V257" s="77"/>
      <c r="W257"/>
      <c r="X257"/>
      <c r="Z257"/>
    </row>
    <row r="258" spans="2:26" ht="20" customHeight="1" x14ac:dyDescent="0.35">
      <c r="B258"/>
      <c r="C258"/>
      <c r="D258"/>
      <c r="E258"/>
      <c r="F258"/>
      <c r="G258"/>
      <c r="H258"/>
      <c r="I258"/>
      <c r="J258"/>
      <c r="K258"/>
      <c r="L258"/>
      <c r="M258"/>
      <c r="N258"/>
      <c r="O258"/>
      <c r="P258"/>
      <c r="Q258"/>
      <c r="R258"/>
      <c r="S258"/>
      <c r="T258"/>
      <c r="U258" s="165"/>
      <c r="V258" s="77"/>
      <c r="W258"/>
      <c r="X258"/>
      <c r="Z258"/>
    </row>
    <row r="259" spans="2:26" ht="20" customHeight="1" x14ac:dyDescent="0.35">
      <c r="B259"/>
      <c r="C259"/>
      <c r="D259"/>
      <c r="E259"/>
      <c r="F259"/>
      <c r="G259"/>
      <c r="H259"/>
      <c r="I259"/>
      <c r="J259"/>
      <c r="K259"/>
      <c r="L259"/>
      <c r="M259"/>
      <c r="N259"/>
      <c r="O259"/>
      <c r="P259"/>
      <c r="Q259"/>
      <c r="R259"/>
      <c r="S259"/>
      <c r="T259"/>
      <c r="U259" s="165"/>
      <c r="V259" s="77"/>
      <c r="W259"/>
      <c r="X259"/>
      <c r="Z259"/>
    </row>
    <row r="260" spans="2:26" ht="20" customHeight="1" x14ac:dyDescent="0.35">
      <c r="B260"/>
      <c r="C260"/>
      <c r="D260"/>
      <c r="E260"/>
      <c r="F260"/>
      <c r="G260"/>
      <c r="H260"/>
      <c r="I260"/>
      <c r="J260"/>
      <c r="K260"/>
      <c r="L260"/>
      <c r="M260"/>
      <c r="N260"/>
      <c r="O260"/>
      <c r="P260"/>
      <c r="Q260"/>
      <c r="R260"/>
      <c r="S260"/>
      <c r="T260"/>
      <c r="U260" s="165"/>
      <c r="V260" s="77"/>
      <c r="W260"/>
      <c r="X260"/>
      <c r="Z260"/>
    </row>
    <row r="261" spans="2:26" ht="20" customHeight="1" x14ac:dyDescent="0.35">
      <c r="B261"/>
      <c r="C261"/>
      <c r="D261"/>
      <c r="E261"/>
      <c r="F261"/>
      <c r="G261"/>
      <c r="H261"/>
      <c r="I261"/>
      <c r="J261"/>
      <c r="K261"/>
      <c r="L261"/>
      <c r="M261"/>
      <c r="N261"/>
      <c r="O261"/>
      <c r="P261"/>
      <c r="Q261"/>
      <c r="R261"/>
      <c r="S261"/>
      <c r="T261"/>
      <c r="U261" s="165"/>
      <c r="V261" s="77"/>
      <c r="W261"/>
      <c r="X261"/>
      <c r="Z261"/>
    </row>
    <row r="262" spans="2:26" ht="20" customHeight="1" x14ac:dyDescent="0.35">
      <c r="B262"/>
      <c r="C262"/>
      <c r="D262"/>
      <c r="E262"/>
      <c r="F262"/>
      <c r="G262"/>
      <c r="H262"/>
      <c r="I262"/>
      <c r="J262"/>
      <c r="K262"/>
      <c r="L262"/>
      <c r="M262"/>
      <c r="N262"/>
      <c r="O262"/>
      <c r="P262"/>
      <c r="Q262"/>
      <c r="R262"/>
      <c r="S262"/>
      <c r="T262"/>
      <c r="U262" s="165"/>
      <c r="V262" s="77"/>
      <c r="W262"/>
      <c r="X262"/>
      <c r="Z262"/>
    </row>
    <row r="263" spans="2:26" ht="20" customHeight="1" x14ac:dyDescent="0.35">
      <c r="B263"/>
      <c r="C263"/>
      <c r="D263"/>
      <c r="E263"/>
      <c r="F263"/>
      <c r="G263"/>
      <c r="H263"/>
      <c r="I263"/>
      <c r="J263"/>
      <c r="K263"/>
      <c r="L263"/>
      <c r="M263"/>
      <c r="N263"/>
      <c r="O263"/>
      <c r="P263"/>
      <c r="Q263"/>
      <c r="R263"/>
      <c r="S263"/>
      <c r="T263"/>
      <c r="U263" s="165"/>
      <c r="V263" s="77"/>
      <c r="W263"/>
      <c r="X263"/>
      <c r="Z263"/>
    </row>
    <row r="264" spans="2:26" ht="20" customHeight="1" x14ac:dyDescent="0.35">
      <c r="B264"/>
      <c r="C264"/>
      <c r="D264"/>
      <c r="E264"/>
      <c r="F264"/>
      <c r="G264"/>
      <c r="H264"/>
      <c r="I264"/>
      <c r="J264"/>
      <c r="K264"/>
      <c r="L264"/>
      <c r="M264"/>
      <c r="N264"/>
      <c r="O264"/>
      <c r="P264"/>
      <c r="Q264"/>
      <c r="R264"/>
      <c r="S264"/>
      <c r="T264"/>
      <c r="U264" s="165"/>
      <c r="V264" s="77"/>
      <c r="W264"/>
      <c r="X264"/>
      <c r="Z264"/>
    </row>
    <row r="265" spans="2:26" ht="20" customHeight="1" x14ac:dyDescent="0.35">
      <c r="B265"/>
      <c r="C265"/>
      <c r="D265"/>
      <c r="E265"/>
      <c r="F265"/>
      <c r="G265"/>
      <c r="H265"/>
      <c r="I265"/>
      <c r="J265"/>
      <c r="K265"/>
      <c r="L265"/>
      <c r="M265"/>
      <c r="N265"/>
      <c r="O265"/>
      <c r="P265"/>
      <c r="Q265"/>
      <c r="R265"/>
      <c r="S265"/>
      <c r="T265"/>
      <c r="U265" s="165"/>
      <c r="V265" s="77"/>
      <c r="W265"/>
      <c r="X265"/>
      <c r="Z265"/>
    </row>
    <row r="266" spans="2:26" ht="20" customHeight="1" x14ac:dyDescent="0.35">
      <c r="B266"/>
      <c r="C266"/>
      <c r="D266"/>
      <c r="E266"/>
      <c r="F266"/>
      <c r="G266"/>
      <c r="H266"/>
      <c r="I266"/>
      <c r="J266"/>
      <c r="K266"/>
      <c r="L266"/>
      <c r="M266"/>
      <c r="N266"/>
      <c r="O266"/>
      <c r="P266"/>
      <c r="Q266"/>
      <c r="R266"/>
      <c r="S266"/>
      <c r="T266"/>
      <c r="U266" s="165"/>
      <c r="V266" s="77"/>
      <c r="W266"/>
      <c r="X266"/>
      <c r="Z266"/>
    </row>
    <row r="267" spans="2:26" ht="20" customHeight="1" x14ac:dyDescent="0.35">
      <c r="B267"/>
      <c r="C267"/>
      <c r="D267"/>
      <c r="E267"/>
      <c r="F267"/>
      <c r="G267"/>
      <c r="H267"/>
      <c r="I267"/>
      <c r="J267"/>
      <c r="K267"/>
      <c r="L267"/>
      <c r="M267"/>
      <c r="N267"/>
      <c r="O267"/>
      <c r="P267"/>
      <c r="Q267"/>
      <c r="R267"/>
      <c r="S267"/>
      <c r="T267"/>
      <c r="U267" s="165"/>
      <c r="V267" s="77"/>
      <c r="W267"/>
      <c r="X267"/>
      <c r="Z267"/>
    </row>
    <row r="268" spans="2:26" ht="20" customHeight="1" x14ac:dyDescent="0.35">
      <c r="B268"/>
      <c r="C268"/>
      <c r="D268"/>
      <c r="E268"/>
      <c r="F268"/>
      <c r="G268"/>
      <c r="H268"/>
      <c r="I268"/>
      <c r="J268"/>
      <c r="K268"/>
      <c r="L268"/>
      <c r="M268"/>
      <c r="N268"/>
      <c r="O268"/>
      <c r="P268"/>
      <c r="Q268"/>
      <c r="R268"/>
      <c r="S268"/>
      <c r="T268"/>
      <c r="U268" s="165"/>
      <c r="V268" s="77"/>
      <c r="W268"/>
      <c r="X268"/>
      <c r="Z268"/>
    </row>
    <row r="269" spans="2:26" ht="20" customHeight="1" x14ac:dyDescent="0.35">
      <c r="B269"/>
      <c r="C269"/>
      <c r="D269"/>
      <c r="E269"/>
      <c r="F269"/>
      <c r="G269"/>
      <c r="H269"/>
      <c r="I269"/>
      <c r="J269"/>
      <c r="K269"/>
      <c r="L269"/>
      <c r="M269"/>
      <c r="N269"/>
      <c r="O269"/>
      <c r="P269"/>
      <c r="Q269"/>
      <c r="R269"/>
      <c r="S269"/>
      <c r="T269"/>
      <c r="U269" s="165"/>
      <c r="V269" s="77"/>
      <c r="W269"/>
      <c r="X269"/>
      <c r="Z269"/>
    </row>
    <row r="270" spans="2:26" ht="20" customHeight="1" x14ac:dyDescent="0.35">
      <c r="B270"/>
      <c r="C270"/>
      <c r="D270"/>
      <c r="E270"/>
      <c r="F270"/>
      <c r="G270"/>
      <c r="H270"/>
      <c r="I270"/>
      <c r="J270"/>
      <c r="K270"/>
      <c r="L270"/>
      <c r="M270"/>
      <c r="N270"/>
      <c r="O270"/>
      <c r="P270"/>
      <c r="Q270"/>
      <c r="R270"/>
      <c r="S270"/>
      <c r="T270"/>
      <c r="U270" s="165"/>
      <c r="V270" s="77"/>
      <c r="W270"/>
      <c r="X270"/>
      <c r="Z270"/>
    </row>
    <row r="271" spans="2:26" ht="20" customHeight="1" x14ac:dyDescent="0.35">
      <c r="B271"/>
      <c r="C271"/>
      <c r="D271"/>
      <c r="E271"/>
      <c r="F271"/>
      <c r="G271"/>
      <c r="H271"/>
      <c r="I271"/>
      <c r="J271"/>
      <c r="K271"/>
      <c r="L271"/>
      <c r="M271"/>
      <c r="N271"/>
      <c r="O271"/>
      <c r="P271"/>
      <c r="Q271"/>
      <c r="R271"/>
      <c r="S271"/>
      <c r="T271"/>
      <c r="U271" s="165"/>
      <c r="V271" s="77"/>
      <c r="W271"/>
      <c r="X271"/>
      <c r="Z271"/>
    </row>
    <row r="272" spans="2:26" ht="20" customHeight="1" x14ac:dyDescent="0.35">
      <c r="B272"/>
      <c r="C272"/>
      <c r="D272"/>
      <c r="E272"/>
      <c r="F272"/>
      <c r="G272"/>
      <c r="H272"/>
      <c r="I272"/>
      <c r="J272"/>
      <c r="K272"/>
      <c r="L272"/>
      <c r="M272"/>
      <c r="N272"/>
      <c r="O272"/>
      <c r="P272"/>
      <c r="Q272"/>
      <c r="R272"/>
      <c r="S272"/>
      <c r="T272"/>
      <c r="U272" s="165"/>
      <c r="V272" s="77"/>
      <c r="W272"/>
      <c r="X272"/>
      <c r="Z272"/>
    </row>
    <row r="273" spans="2:26" ht="20" customHeight="1" x14ac:dyDescent="0.35">
      <c r="B273"/>
      <c r="C273"/>
      <c r="D273"/>
      <c r="E273"/>
      <c r="F273"/>
      <c r="G273"/>
      <c r="H273"/>
      <c r="I273"/>
      <c r="J273"/>
      <c r="K273"/>
      <c r="L273"/>
      <c r="M273"/>
      <c r="N273"/>
      <c r="O273"/>
      <c r="P273"/>
      <c r="Q273"/>
      <c r="R273"/>
      <c r="S273"/>
      <c r="T273"/>
      <c r="U273" s="165"/>
      <c r="V273" s="77"/>
      <c r="W273"/>
      <c r="X273"/>
      <c r="Z273"/>
    </row>
    <row r="274" spans="2:26" ht="20" customHeight="1" x14ac:dyDescent="0.35">
      <c r="B274"/>
      <c r="C274"/>
      <c r="D274"/>
      <c r="E274"/>
      <c r="F274"/>
      <c r="G274"/>
      <c r="H274"/>
      <c r="I274"/>
      <c r="J274"/>
      <c r="K274"/>
      <c r="L274"/>
      <c r="M274"/>
      <c r="N274"/>
      <c r="O274"/>
      <c r="P274"/>
      <c r="Q274"/>
      <c r="R274"/>
      <c r="S274"/>
      <c r="T274"/>
      <c r="U274" s="165"/>
      <c r="V274" s="77"/>
      <c r="W274"/>
      <c r="X274"/>
      <c r="Z274"/>
    </row>
    <row r="275" spans="2:26" ht="20" customHeight="1" x14ac:dyDescent="0.35">
      <c r="B275"/>
      <c r="C275"/>
      <c r="D275"/>
      <c r="E275"/>
      <c r="F275"/>
      <c r="G275"/>
      <c r="H275"/>
      <c r="I275"/>
      <c r="J275"/>
      <c r="K275"/>
      <c r="L275"/>
      <c r="M275"/>
      <c r="N275"/>
      <c r="O275"/>
      <c r="P275"/>
      <c r="Q275"/>
      <c r="R275"/>
      <c r="S275"/>
      <c r="T275"/>
      <c r="U275" s="165"/>
      <c r="V275" s="77"/>
      <c r="W275"/>
      <c r="X275"/>
      <c r="Z275"/>
    </row>
    <row r="276" spans="2:26" ht="20" customHeight="1" x14ac:dyDescent="0.35">
      <c r="B276"/>
      <c r="C276"/>
      <c r="D276"/>
      <c r="E276"/>
      <c r="F276"/>
      <c r="G276"/>
      <c r="H276"/>
      <c r="I276"/>
      <c r="J276"/>
      <c r="K276"/>
      <c r="L276"/>
      <c r="M276"/>
      <c r="N276"/>
      <c r="O276"/>
      <c r="P276"/>
      <c r="Q276"/>
      <c r="R276"/>
      <c r="S276"/>
      <c r="T276"/>
      <c r="U276" s="165"/>
      <c r="V276" s="77"/>
      <c r="W276"/>
      <c r="X276"/>
      <c r="Z276"/>
    </row>
    <row r="277" spans="2:26" ht="20" customHeight="1" x14ac:dyDescent="0.35">
      <c r="B277"/>
      <c r="C277"/>
      <c r="D277"/>
      <c r="E277"/>
      <c r="F277"/>
      <c r="G277"/>
      <c r="H277"/>
      <c r="I277"/>
      <c r="J277"/>
      <c r="K277"/>
      <c r="L277"/>
      <c r="M277"/>
      <c r="N277"/>
      <c r="O277"/>
      <c r="P277"/>
      <c r="Q277"/>
      <c r="R277"/>
      <c r="S277"/>
      <c r="T277"/>
      <c r="U277" s="165"/>
      <c r="V277" s="77"/>
      <c r="W277"/>
      <c r="X277"/>
      <c r="Z277"/>
    </row>
    <row r="278" spans="2:26" ht="20" customHeight="1" x14ac:dyDescent="0.35">
      <c r="B278"/>
      <c r="C278"/>
      <c r="D278"/>
      <c r="E278"/>
      <c r="F278"/>
      <c r="G278"/>
      <c r="H278"/>
      <c r="I278"/>
      <c r="J278"/>
      <c r="K278"/>
      <c r="L278"/>
      <c r="M278"/>
      <c r="N278"/>
      <c r="O278"/>
      <c r="P278"/>
      <c r="Q278"/>
      <c r="R278"/>
      <c r="S278"/>
      <c r="T278"/>
      <c r="U278" s="165"/>
      <c r="V278" s="77"/>
      <c r="W278"/>
      <c r="X278"/>
      <c r="Z278"/>
    </row>
    <row r="279" spans="2:26" ht="20" customHeight="1" x14ac:dyDescent="0.35">
      <c r="B279"/>
      <c r="C279"/>
      <c r="D279"/>
      <c r="E279"/>
      <c r="F279"/>
      <c r="G279"/>
      <c r="H279"/>
      <c r="I279"/>
      <c r="J279"/>
      <c r="K279"/>
      <c r="L279"/>
      <c r="M279"/>
      <c r="N279"/>
      <c r="O279"/>
      <c r="P279"/>
      <c r="Q279"/>
      <c r="R279"/>
      <c r="S279"/>
      <c r="T279"/>
      <c r="U279" s="165"/>
      <c r="V279" s="77"/>
      <c r="W279"/>
      <c r="X279"/>
      <c r="Z279"/>
    </row>
    <row r="280" spans="2:26" ht="20" customHeight="1" x14ac:dyDescent="0.35">
      <c r="B280"/>
      <c r="C280"/>
      <c r="D280"/>
      <c r="E280"/>
      <c r="F280"/>
      <c r="G280"/>
      <c r="H280"/>
      <c r="I280"/>
      <c r="J280"/>
      <c r="K280"/>
      <c r="L280"/>
      <c r="M280"/>
      <c r="N280"/>
      <c r="O280"/>
      <c r="P280"/>
      <c r="Q280"/>
      <c r="R280"/>
      <c r="S280"/>
      <c r="T280"/>
      <c r="U280" s="165"/>
      <c r="V280" s="77"/>
      <c r="W280"/>
      <c r="X280"/>
      <c r="Z280"/>
    </row>
    <row r="281" spans="2:26" ht="20" customHeight="1" x14ac:dyDescent="0.35">
      <c r="B281"/>
      <c r="C281"/>
      <c r="D281"/>
      <c r="E281"/>
      <c r="F281"/>
      <c r="G281"/>
      <c r="H281"/>
      <c r="I281"/>
      <c r="J281"/>
      <c r="K281"/>
      <c r="L281"/>
      <c r="M281"/>
      <c r="N281"/>
      <c r="O281"/>
      <c r="P281"/>
      <c r="Q281"/>
      <c r="R281"/>
      <c r="S281"/>
      <c r="T281"/>
      <c r="U281" s="165"/>
      <c r="V281" s="77"/>
      <c r="W281"/>
      <c r="X281"/>
      <c r="Z281"/>
    </row>
    <row r="282" spans="2:26" ht="20" customHeight="1" x14ac:dyDescent="0.35">
      <c r="B282"/>
      <c r="C282"/>
      <c r="D282"/>
      <c r="E282"/>
      <c r="F282"/>
      <c r="G282"/>
      <c r="H282"/>
      <c r="I282"/>
      <c r="J282"/>
      <c r="K282"/>
      <c r="L282"/>
      <c r="M282"/>
      <c r="N282"/>
      <c r="O282"/>
      <c r="P282"/>
      <c r="Q282"/>
      <c r="R282"/>
      <c r="S282"/>
      <c r="T282"/>
      <c r="U282" s="165"/>
      <c r="V282" s="77"/>
      <c r="W282"/>
      <c r="X282"/>
      <c r="Z282"/>
    </row>
    <row r="283" spans="2:26" ht="20" customHeight="1" x14ac:dyDescent="0.35">
      <c r="B283"/>
      <c r="C283"/>
      <c r="D283"/>
      <c r="E283"/>
      <c r="F283"/>
      <c r="G283"/>
      <c r="H283"/>
      <c r="I283"/>
      <c r="J283"/>
      <c r="K283"/>
      <c r="L283"/>
      <c r="M283"/>
      <c r="N283"/>
      <c r="O283"/>
      <c r="P283"/>
      <c r="Q283"/>
      <c r="R283"/>
      <c r="S283"/>
      <c r="T283"/>
      <c r="U283" s="165"/>
      <c r="V283" s="77"/>
      <c r="W283"/>
      <c r="X283"/>
      <c r="Z283"/>
    </row>
    <row r="284" spans="2:26" ht="20" customHeight="1" x14ac:dyDescent="0.35">
      <c r="B284"/>
      <c r="C284"/>
      <c r="D284"/>
      <c r="E284"/>
      <c r="F284"/>
      <c r="G284"/>
      <c r="H284"/>
      <c r="I284"/>
      <c r="J284"/>
      <c r="K284"/>
      <c r="L284"/>
      <c r="M284"/>
      <c r="N284"/>
      <c r="O284"/>
      <c r="P284"/>
      <c r="Q284"/>
      <c r="R284"/>
      <c r="S284"/>
      <c r="T284"/>
      <c r="U284" s="165"/>
      <c r="V284" s="77"/>
      <c r="W284"/>
      <c r="X284"/>
      <c r="Z284"/>
    </row>
    <row r="285" spans="2:26" ht="20" customHeight="1" x14ac:dyDescent="0.35">
      <c r="B285"/>
      <c r="C285"/>
      <c r="D285"/>
      <c r="E285"/>
      <c r="F285"/>
      <c r="G285"/>
      <c r="H285"/>
      <c r="I285"/>
      <c r="J285"/>
      <c r="K285"/>
      <c r="L285"/>
      <c r="M285"/>
      <c r="N285"/>
      <c r="O285"/>
      <c r="P285"/>
      <c r="Q285"/>
      <c r="R285"/>
      <c r="S285"/>
      <c r="T285"/>
      <c r="U285" s="165"/>
      <c r="V285" s="77"/>
      <c r="W285"/>
      <c r="X285"/>
      <c r="Z285"/>
    </row>
    <row r="286" spans="2:26" ht="20" customHeight="1" x14ac:dyDescent="0.35">
      <c r="B286"/>
      <c r="C286"/>
      <c r="D286"/>
      <c r="E286"/>
      <c r="F286"/>
      <c r="G286"/>
      <c r="H286"/>
      <c r="I286"/>
      <c r="J286"/>
      <c r="K286"/>
      <c r="L286"/>
      <c r="M286"/>
      <c r="N286"/>
      <c r="O286"/>
      <c r="P286"/>
      <c r="Q286"/>
      <c r="R286"/>
      <c r="S286"/>
      <c r="T286"/>
      <c r="U286" s="165"/>
      <c r="V286" s="77"/>
      <c r="W286"/>
      <c r="X286"/>
      <c r="Z286"/>
    </row>
    <row r="287" spans="2:26" ht="20" customHeight="1" x14ac:dyDescent="0.35">
      <c r="B287"/>
      <c r="C287"/>
      <c r="D287"/>
      <c r="E287"/>
      <c r="F287"/>
      <c r="G287"/>
      <c r="H287"/>
      <c r="I287"/>
      <c r="J287"/>
      <c r="K287"/>
      <c r="L287"/>
      <c r="M287"/>
      <c r="N287"/>
      <c r="O287"/>
      <c r="P287"/>
      <c r="Q287"/>
      <c r="R287"/>
      <c r="S287"/>
      <c r="T287"/>
      <c r="U287" s="165"/>
      <c r="V287" s="77"/>
      <c r="W287"/>
      <c r="X287"/>
      <c r="Z287"/>
    </row>
    <row r="288" spans="2:26" ht="20" customHeight="1" x14ac:dyDescent="0.35">
      <c r="B288"/>
      <c r="C288"/>
      <c r="D288"/>
      <c r="E288"/>
      <c r="F288"/>
      <c r="G288"/>
      <c r="H288"/>
      <c r="I288"/>
      <c r="J288"/>
      <c r="K288"/>
      <c r="L288"/>
      <c r="M288"/>
      <c r="N288"/>
      <c r="O288"/>
      <c r="P288"/>
      <c r="Q288"/>
      <c r="R288"/>
      <c r="S288"/>
      <c r="T288"/>
      <c r="U288" s="165"/>
      <c r="V288" s="77"/>
      <c r="W288"/>
      <c r="X288"/>
      <c r="Z288"/>
    </row>
    <row r="289" spans="2:26" ht="20" customHeight="1" x14ac:dyDescent="0.35">
      <c r="B289"/>
      <c r="C289"/>
      <c r="D289"/>
      <c r="E289"/>
      <c r="F289"/>
      <c r="G289"/>
      <c r="H289"/>
      <c r="I289"/>
      <c r="J289"/>
      <c r="K289"/>
      <c r="L289"/>
      <c r="M289"/>
      <c r="N289"/>
      <c r="O289"/>
      <c r="P289"/>
      <c r="Q289"/>
      <c r="R289"/>
      <c r="S289"/>
      <c r="T289"/>
      <c r="U289" s="165"/>
      <c r="V289" s="77"/>
      <c r="W289"/>
      <c r="X289"/>
      <c r="Z289"/>
    </row>
    <row r="290" spans="2:26" ht="20" customHeight="1" x14ac:dyDescent="0.35">
      <c r="B290"/>
      <c r="C290"/>
      <c r="D290"/>
      <c r="E290"/>
      <c r="F290"/>
      <c r="G290"/>
      <c r="H290"/>
      <c r="I290"/>
      <c r="J290"/>
      <c r="K290"/>
      <c r="L290"/>
      <c r="M290"/>
      <c r="N290"/>
      <c r="O290"/>
      <c r="P290"/>
      <c r="Q290"/>
      <c r="R290"/>
      <c r="S290"/>
      <c r="T290"/>
      <c r="U290" s="165"/>
      <c r="V290" s="77"/>
      <c r="W290"/>
      <c r="X290"/>
      <c r="Z290"/>
    </row>
    <row r="291" spans="2:26" ht="20" customHeight="1" x14ac:dyDescent="0.35">
      <c r="B291"/>
      <c r="C291"/>
      <c r="D291"/>
      <c r="E291"/>
      <c r="F291"/>
      <c r="G291"/>
      <c r="H291"/>
      <c r="I291"/>
      <c r="J291"/>
      <c r="K291"/>
      <c r="L291"/>
      <c r="M291"/>
      <c r="N291"/>
      <c r="O291"/>
      <c r="P291"/>
      <c r="Q291"/>
      <c r="R291"/>
      <c r="S291"/>
      <c r="T291"/>
      <c r="U291" s="165"/>
      <c r="V291" s="77"/>
      <c r="W291"/>
      <c r="X291"/>
      <c r="Z291"/>
    </row>
    <row r="292" spans="2:26" ht="20" customHeight="1" x14ac:dyDescent="0.35">
      <c r="B292"/>
      <c r="C292"/>
      <c r="D292"/>
      <c r="E292"/>
      <c r="F292"/>
      <c r="G292"/>
      <c r="H292"/>
      <c r="I292"/>
      <c r="J292"/>
      <c r="K292"/>
      <c r="L292"/>
      <c r="M292"/>
      <c r="N292"/>
      <c r="O292"/>
      <c r="P292"/>
      <c r="Q292"/>
      <c r="R292"/>
      <c r="S292"/>
      <c r="T292"/>
      <c r="U292" s="165"/>
      <c r="V292" s="77"/>
      <c r="W292"/>
      <c r="X292"/>
      <c r="Z292"/>
    </row>
    <row r="293" spans="2:26" ht="20" customHeight="1" x14ac:dyDescent="0.35">
      <c r="B293"/>
      <c r="C293"/>
      <c r="D293"/>
      <c r="E293"/>
      <c r="F293"/>
      <c r="G293"/>
      <c r="H293"/>
      <c r="I293"/>
      <c r="J293"/>
      <c r="K293"/>
      <c r="L293"/>
      <c r="M293"/>
      <c r="N293"/>
      <c r="O293"/>
      <c r="P293"/>
      <c r="Q293"/>
      <c r="R293"/>
      <c r="S293"/>
      <c r="T293"/>
      <c r="U293" s="165"/>
      <c r="V293" s="77"/>
      <c r="W293"/>
      <c r="X293"/>
      <c r="Z293"/>
    </row>
    <row r="294" spans="2:26" ht="20" customHeight="1" x14ac:dyDescent="0.35">
      <c r="B294"/>
      <c r="C294"/>
      <c r="D294"/>
      <c r="E294"/>
      <c r="F294"/>
      <c r="G294"/>
      <c r="H294"/>
      <c r="I294"/>
      <c r="J294"/>
      <c r="K294"/>
      <c r="L294"/>
      <c r="M294"/>
      <c r="N294"/>
      <c r="O294"/>
      <c r="P294"/>
      <c r="Q294"/>
      <c r="R294"/>
      <c r="S294"/>
      <c r="T294"/>
      <c r="U294" s="165"/>
      <c r="V294" s="77"/>
      <c r="W294"/>
      <c r="X294"/>
      <c r="Z294"/>
    </row>
    <row r="295" spans="2:26" ht="20" customHeight="1" x14ac:dyDescent="0.35">
      <c r="B295"/>
      <c r="C295"/>
      <c r="D295"/>
      <c r="E295"/>
      <c r="F295"/>
      <c r="G295"/>
      <c r="H295"/>
      <c r="I295"/>
      <c r="J295"/>
      <c r="K295"/>
      <c r="L295"/>
      <c r="M295"/>
      <c r="N295"/>
      <c r="O295"/>
      <c r="P295"/>
      <c r="Q295"/>
      <c r="R295"/>
      <c r="S295"/>
      <c r="T295"/>
      <c r="U295" s="165"/>
      <c r="V295" s="77"/>
      <c r="W295"/>
      <c r="X295"/>
      <c r="Z295"/>
    </row>
    <row r="296" spans="2:26" ht="20" customHeight="1" x14ac:dyDescent="0.35">
      <c r="B296"/>
      <c r="C296"/>
      <c r="D296"/>
      <c r="E296"/>
      <c r="F296"/>
      <c r="G296"/>
      <c r="H296"/>
      <c r="I296"/>
      <c r="J296"/>
      <c r="K296"/>
      <c r="L296"/>
      <c r="M296"/>
      <c r="N296"/>
      <c r="O296"/>
      <c r="P296"/>
      <c r="Q296"/>
      <c r="R296"/>
      <c r="S296"/>
      <c r="T296"/>
      <c r="U296" s="165"/>
      <c r="V296" s="77"/>
      <c r="W296"/>
      <c r="X296"/>
      <c r="Z296"/>
    </row>
    <row r="297" spans="2:26" ht="20" customHeight="1" x14ac:dyDescent="0.35">
      <c r="B297"/>
      <c r="C297"/>
      <c r="D297"/>
      <c r="E297"/>
      <c r="F297"/>
      <c r="G297"/>
      <c r="H297"/>
      <c r="I297"/>
      <c r="J297"/>
      <c r="K297"/>
      <c r="L297"/>
      <c r="M297"/>
      <c r="N297"/>
      <c r="O297"/>
      <c r="P297"/>
      <c r="Q297"/>
      <c r="R297"/>
      <c r="S297"/>
      <c r="T297"/>
      <c r="U297" s="165"/>
      <c r="V297" s="77"/>
      <c r="W297"/>
      <c r="X297"/>
      <c r="Z297"/>
    </row>
    <row r="298" spans="2:26" ht="20" customHeight="1" x14ac:dyDescent="0.35">
      <c r="B298"/>
      <c r="C298"/>
      <c r="D298"/>
      <c r="E298"/>
      <c r="F298"/>
      <c r="G298"/>
      <c r="H298"/>
      <c r="I298"/>
      <c r="J298"/>
      <c r="K298"/>
      <c r="L298"/>
      <c r="M298"/>
      <c r="N298"/>
      <c r="O298"/>
      <c r="P298"/>
      <c r="Q298"/>
      <c r="R298"/>
      <c r="S298"/>
      <c r="T298"/>
      <c r="U298" s="165"/>
      <c r="V298" s="77"/>
      <c r="W298"/>
      <c r="X298"/>
      <c r="Z298"/>
    </row>
    <row r="299" spans="2:26" ht="20" customHeight="1" x14ac:dyDescent="0.35">
      <c r="B299"/>
      <c r="C299"/>
      <c r="D299"/>
      <c r="E299"/>
      <c r="F299"/>
      <c r="G299"/>
      <c r="H299"/>
      <c r="I299"/>
      <c r="J299"/>
      <c r="K299"/>
      <c r="L299"/>
      <c r="M299"/>
      <c r="N299"/>
      <c r="O299"/>
      <c r="P299"/>
      <c r="Q299"/>
      <c r="R299"/>
      <c r="S299"/>
      <c r="T299"/>
      <c r="U299" s="165"/>
      <c r="V299" s="77"/>
      <c r="W299"/>
      <c r="X299"/>
      <c r="Z299"/>
    </row>
    <row r="300" spans="2:26" ht="20" customHeight="1" x14ac:dyDescent="0.35">
      <c r="B300"/>
      <c r="C300"/>
      <c r="D300"/>
      <c r="E300"/>
      <c r="F300"/>
      <c r="G300"/>
      <c r="H300"/>
      <c r="I300"/>
      <c r="J300"/>
      <c r="K300"/>
      <c r="L300"/>
      <c r="M300"/>
      <c r="N300"/>
      <c r="O300"/>
      <c r="P300"/>
      <c r="Q300"/>
      <c r="R300"/>
      <c r="S300"/>
      <c r="T300"/>
      <c r="U300" s="165"/>
      <c r="V300" s="77"/>
      <c r="W300"/>
      <c r="X300"/>
      <c r="Z300"/>
    </row>
    <row r="301" spans="2:26" ht="20" customHeight="1" x14ac:dyDescent="0.35">
      <c r="B301"/>
      <c r="C301"/>
      <c r="D301"/>
      <c r="E301"/>
      <c r="F301"/>
      <c r="G301"/>
      <c r="H301"/>
      <c r="I301"/>
      <c r="J301"/>
      <c r="K301"/>
      <c r="L301"/>
      <c r="M301"/>
      <c r="N301"/>
      <c r="O301"/>
      <c r="P301"/>
      <c r="Q301"/>
      <c r="R301"/>
      <c r="S301"/>
      <c r="T301"/>
      <c r="U301" s="165"/>
      <c r="V301" s="77"/>
      <c r="W301"/>
      <c r="X301"/>
      <c r="Z301"/>
    </row>
    <row r="302" spans="2:26" ht="20" customHeight="1" x14ac:dyDescent="0.35">
      <c r="B302"/>
      <c r="C302"/>
      <c r="D302"/>
      <c r="E302"/>
      <c r="F302"/>
      <c r="G302"/>
      <c r="H302"/>
      <c r="I302"/>
      <c r="J302"/>
      <c r="K302"/>
      <c r="L302"/>
      <c r="M302"/>
      <c r="N302"/>
      <c r="O302"/>
      <c r="P302"/>
      <c r="Q302"/>
      <c r="R302"/>
      <c r="S302"/>
      <c r="T302"/>
      <c r="U302" s="165"/>
      <c r="V302" s="77"/>
      <c r="W302"/>
      <c r="X302"/>
      <c r="Z302"/>
    </row>
    <row r="303" spans="2:26" ht="20" customHeight="1" x14ac:dyDescent="0.35">
      <c r="B303"/>
      <c r="C303"/>
      <c r="D303"/>
      <c r="E303"/>
      <c r="F303"/>
      <c r="G303"/>
      <c r="H303"/>
      <c r="I303"/>
      <c r="J303"/>
      <c r="K303"/>
      <c r="L303"/>
      <c r="M303"/>
      <c r="N303"/>
      <c r="O303"/>
      <c r="P303"/>
      <c r="Q303"/>
      <c r="R303"/>
      <c r="S303"/>
      <c r="T303"/>
      <c r="U303" s="165"/>
      <c r="V303" s="77"/>
      <c r="W303"/>
      <c r="X303"/>
      <c r="Z303"/>
    </row>
    <row r="304" spans="2:26" ht="20" customHeight="1" x14ac:dyDescent="0.35">
      <c r="B304"/>
      <c r="C304"/>
      <c r="D304"/>
      <c r="E304"/>
      <c r="F304"/>
      <c r="G304"/>
      <c r="H304"/>
      <c r="I304"/>
      <c r="J304"/>
      <c r="K304"/>
      <c r="L304"/>
      <c r="M304"/>
      <c r="N304"/>
      <c r="O304"/>
      <c r="P304"/>
      <c r="Q304"/>
      <c r="R304"/>
      <c r="S304"/>
      <c r="T304"/>
      <c r="U304" s="165"/>
      <c r="V304" s="77"/>
      <c r="W304"/>
      <c r="X304"/>
      <c r="Z304"/>
    </row>
    <row r="305" spans="2:26" ht="20" customHeight="1" x14ac:dyDescent="0.35">
      <c r="B305"/>
      <c r="C305"/>
      <c r="D305"/>
      <c r="E305"/>
      <c r="F305"/>
      <c r="G305"/>
      <c r="H305"/>
      <c r="I305"/>
      <c r="J305"/>
      <c r="K305"/>
      <c r="L305"/>
      <c r="M305"/>
      <c r="N305"/>
      <c r="O305"/>
      <c r="P305"/>
      <c r="Q305"/>
      <c r="R305"/>
      <c r="S305"/>
      <c r="T305"/>
      <c r="U305" s="165"/>
      <c r="V305" s="77"/>
      <c r="W305"/>
      <c r="X305"/>
      <c r="Z305"/>
    </row>
    <row r="306" spans="2:26" ht="20" customHeight="1" x14ac:dyDescent="0.35">
      <c r="B306"/>
      <c r="C306"/>
      <c r="D306"/>
      <c r="E306"/>
      <c r="F306"/>
      <c r="G306"/>
      <c r="H306"/>
      <c r="I306"/>
      <c r="J306"/>
      <c r="K306"/>
      <c r="L306"/>
      <c r="M306"/>
      <c r="N306"/>
      <c r="O306"/>
      <c r="P306"/>
      <c r="Q306"/>
      <c r="R306"/>
      <c r="S306"/>
      <c r="T306"/>
      <c r="U306" s="165"/>
      <c r="V306" s="77"/>
      <c r="W306"/>
      <c r="X306"/>
      <c r="Z306"/>
    </row>
    <row r="307" spans="2:26" ht="20" customHeight="1" x14ac:dyDescent="0.35">
      <c r="B307"/>
      <c r="C307"/>
      <c r="D307"/>
      <c r="E307"/>
      <c r="F307"/>
      <c r="G307"/>
      <c r="H307"/>
      <c r="I307"/>
      <c r="J307"/>
      <c r="K307"/>
      <c r="L307"/>
      <c r="M307"/>
      <c r="N307"/>
      <c r="O307"/>
      <c r="P307"/>
      <c r="Q307"/>
      <c r="R307"/>
      <c r="S307"/>
      <c r="T307"/>
      <c r="U307" s="165"/>
      <c r="V307" s="77"/>
      <c r="W307"/>
      <c r="X307"/>
      <c r="Z307"/>
    </row>
    <row r="308" spans="2:26" ht="20" customHeight="1" x14ac:dyDescent="0.35">
      <c r="B308"/>
      <c r="C308"/>
      <c r="D308"/>
      <c r="E308"/>
      <c r="F308"/>
      <c r="G308"/>
      <c r="H308"/>
      <c r="I308"/>
      <c r="J308"/>
      <c r="K308"/>
      <c r="L308"/>
      <c r="M308"/>
      <c r="N308"/>
      <c r="O308"/>
      <c r="P308"/>
      <c r="Q308"/>
      <c r="R308"/>
      <c r="S308"/>
      <c r="T308"/>
      <c r="U308" s="165"/>
      <c r="V308" s="77"/>
      <c r="W308"/>
      <c r="X308"/>
      <c r="Z308"/>
    </row>
    <row r="309" spans="2:26" ht="20" customHeight="1" x14ac:dyDescent="0.35">
      <c r="B309"/>
      <c r="C309"/>
      <c r="D309"/>
      <c r="E309"/>
      <c r="F309"/>
      <c r="G309"/>
      <c r="H309"/>
      <c r="I309"/>
      <c r="J309"/>
      <c r="K309"/>
      <c r="L309"/>
      <c r="M309"/>
      <c r="N309"/>
      <c r="O309"/>
      <c r="P309"/>
      <c r="Q309"/>
      <c r="R309"/>
      <c r="S309"/>
      <c r="T309"/>
      <c r="U309" s="165"/>
      <c r="V309" s="77"/>
      <c r="W309"/>
      <c r="X309"/>
      <c r="Z309"/>
    </row>
    <row r="310" spans="2:26" ht="20" customHeight="1" x14ac:dyDescent="0.35">
      <c r="B310"/>
      <c r="C310"/>
      <c r="D310"/>
      <c r="E310"/>
      <c r="F310"/>
      <c r="G310"/>
      <c r="H310"/>
      <c r="I310"/>
      <c r="J310"/>
      <c r="K310"/>
      <c r="L310"/>
      <c r="M310"/>
      <c r="N310"/>
      <c r="O310"/>
      <c r="P310"/>
      <c r="Q310"/>
      <c r="R310"/>
      <c r="S310"/>
      <c r="T310"/>
      <c r="U310" s="165"/>
      <c r="V310" s="77"/>
      <c r="W310"/>
      <c r="X310"/>
      <c r="Z310"/>
    </row>
    <row r="311" spans="2:26" ht="20" customHeight="1" x14ac:dyDescent="0.35">
      <c r="B311"/>
      <c r="C311"/>
      <c r="D311"/>
      <c r="E311"/>
      <c r="F311"/>
      <c r="G311"/>
      <c r="H311"/>
      <c r="I311"/>
      <c r="J311"/>
      <c r="K311"/>
      <c r="L311"/>
      <c r="M311"/>
      <c r="N311"/>
      <c r="O311"/>
      <c r="P311"/>
      <c r="Q311"/>
      <c r="R311"/>
      <c r="S311"/>
      <c r="T311"/>
      <c r="U311" s="165"/>
      <c r="V311" s="77"/>
      <c r="W311"/>
      <c r="X311"/>
      <c r="Z311"/>
    </row>
    <row r="312" spans="2:26" ht="20" customHeight="1" x14ac:dyDescent="0.35">
      <c r="B312"/>
      <c r="C312"/>
      <c r="D312"/>
      <c r="E312"/>
      <c r="F312"/>
      <c r="G312"/>
      <c r="H312"/>
      <c r="I312"/>
      <c r="J312"/>
      <c r="K312"/>
      <c r="L312"/>
      <c r="M312"/>
      <c r="N312"/>
      <c r="O312"/>
      <c r="P312"/>
      <c r="Q312"/>
      <c r="R312"/>
      <c r="S312"/>
      <c r="T312"/>
      <c r="U312" s="165"/>
      <c r="V312" s="77"/>
      <c r="W312"/>
      <c r="X312"/>
      <c r="Z312"/>
    </row>
    <row r="313" spans="2:26" ht="20" customHeight="1" x14ac:dyDescent="0.35">
      <c r="B313"/>
      <c r="C313"/>
      <c r="D313"/>
      <c r="E313"/>
      <c r="F313"/>
      <c r="G313"/>
      <c r="H313"/>
      <c r="I313"/>
      <c r="J313"/>
      <c r="K313"/>
      <c r="L313"/>
      <c r="M313"/>
      <c r="N313"/>
      <c r="O313"/>
      <c r="P313"/>
      <c r="Q313"/>
      <c r="R313"/>
      <c r="S313"/>
      <c r="T313"/>
      <c r="U313" s="165"/>
      <c r="V313" s="77"/>
      <c r="W313"/>
      <c r="X313"/>
      <c r="Z313"/>
    </row>
    <row r="314" spans="2:26" ht="20" customHeight="1" x14ac:dyDescent="0.35">
      <c r="B314"/>
      <c r="C314"/>
      <c r="D314"/>
      <c r="E314"/>
      <c r="F314"/>
      <c r="G314"/>
      <c r="H314"/>
      <c r="I314"/>
      <c r="J314"/>
      <c r="K314"/>
      <c r="L314"/>
      <c r="M314"/>
      <c r="N314"/>
      <c r="O314"/>
      <c r="P314"/>
      <c r="Q314"/>
      <c r="R314"/>
      <c r="S314"/>
      <c r="T314"/>
      <c r="U314" s="165"/>
      <c r="V314" s="77"/>
      <c r="W314"/>
      <c r="X314"/>
      <c r="Z314"/>
    </row>
    <row r="315" spans="2:26" ht="20" customHeight="1" x14ac:dyDescent="0.35">
      <c r="B315"/>
      <c r="C315"/>
      <c r="D315"/>
      <c r="E315"/>
      <c r="F315"/>
      <c r="G315"/>
      <c r="H315"/>
      <c r="I315"/>
      <c r="J315"/>
      <c r="K315"/>
      <c r="L315"/>
      <c r="M315"/>
      <c r="N315"/>
      <c r="O315"/>
      <c r="P315"/>
      <c r="Q315"/>
      <c r="R315"/>
      <c r="S315"/>
      <c r="T315"/>
      <c r="U315" s="165"/>
      <c r="V315" s="77"/>
      <c r="W315"/>
      <c r="X315"/>
      <c r="Z315"/>
    </row>
    <row r="316" spans="2:26" ht="20" customHeight="1" x14ac:dyDescent="0.35">
      <c r="B316"/>
      <c r="C316"/>
      <c r="D316"/>
      <c r="E316"/>
      <c r="F316"/>
      <c r="G316"/>
      <c r="H316"/>
      <c r="I316"/>
      <c r="J316"/>
      <c r="K316"/>
      <c r="L316"/>
      <c r="M316"/>
      <c r="N316"/>
      <c r="O316"/>
      <c r="P316"/>
      <c r="Q316"/>
      <c r="R316"/>
      <c r="S316"/>
      <c r="T316"/>
      <c r="U316" s="165"/>
      <c r="V316" s="77"/>
      <c r="W316"/>
      <c r="X316"/>
      <c r="Z316"/>
    </row>
    <row r="317" spans="2:26" ht="20" customHeight="1" x14ac:dyDescent="0.35">
      <c r="B317"/>
      <c r="C317"/>
      <c r="D317"/>
      <c r="E317"/>
      <c r="F317"/>
      <c r="G317"/>
      <c r="H317"/>
      <c r="I317"/>
      <c r="J317"/>
      <c r="K317"/>
      <c r="L317"/>
      <c r="M317"/>
      <c r="N317"/>
      <c r="O317"/>
      <c r="P317"/>
      <c r="Q317"/>
      <c r="R317"/>
      <c r="S317"/>
      <c r="T317"/>
      <c r="U317" s="165"/>
      <c r="V317" s="77"/>
      <c r="W317"/>
      <c r="X317"/>
      <c r="Z317"/>
    </row>
    <row r="318" spans="2:26" ht="20" customHeight="1" x14ac:dyDescent="0.35">
      <c r="B318"/>
      <c r="C318"/>
      <c r="D318"/>
      <c r="E318"/>
      <c r="F318"/>
      <c r="G318"/>
      <c r="H318"/>
      <c r="I318"/>
      <c r="J318"/>
      <c r="K318"/>
      <c r="L318"/>
      <c r="M318"/>
      <c r="N318"/>
      <c r="O318"/>
      <c r="P318"/>
      <c r="Q318"/>
      <c r="R318"/>
      <c r="S318"/>
      <c r="T318"/>
      <c r="U318" s="165"/>
      <c r="V318" s="77"/>
      <c r="W318"/>
      <c r="X318"/>
      <c r="Z318"/>
    </row>
    <row r="319" spans="2:26" ht="20" customHeight="1" x14ac:dyDescent="0.35">
      <c r="B319"/>
      <c r="C319"/>
      <c r="D319"/>
      <c r="E319"/>
      <c r="F319"/>
      <c r="G319"/>
      <c r="H319"/>
      <c r="I319"/>
      <c r="J319"/>
      <c r="K319"/>
      <c r="L319"/>
      <c r="M319"/>
      <c r="N319"/>
      <c r="O319"/>
      <c r="P319"/>
      <c r="Q319"/>
      <c r="R319"/>
      <c r="S319"/>
      <c r="T319"/>
      <c r="U319" s="165"/>
      <c r="V319" s="77"/>
      <c r="W319"/>
      <c r="X319"/>
      <c r="Z319"/>
    </row>
    <row r="320" spans="2:26" ht="20" customHeight="1" x14ac:dyDescent="0.35">
      <c r="B320"/>
      <c r="C320"/>
      <c r="D320"/>
      <c r="E320"/>
      <c r="F320"/>
      <c r="G320"/>
      <c r="H320"/>
      <c r="I320"/>
      <c r="J320"/>
      <c r="K320"/>
      <c r="L320"/>
      <c r="M320"/>
      <c r="N320"/>
      <c r="O320"/>
      <c r="P320"/>
      <c r="Q320"/>
      <c r="R320"/>
      <c r="S320"/>
      <c r="T320"/>
      <c r="U320" s="165"/>
      <c r="V320" s="77"/>
      <c r="W320"/>
      <c r="X320"/>
      <c r="Z320"/>
    </row>
    <row r="321" spans="2:26" ht="20" customHeight="1" x14ac:dyDescent="0.35">
      <c r="B321"/>
      <c r="C321"/>
      <c r="D321"/>
      <c r="E321"/>
      <c r="F321"/>
      <c r="G321"/>
      <c r="H321"/>
      <c r="I321"/>
      <c r="J321"/>
      <c r="K321"/>
      <c r="L321"/>
      <c r="M321"/>
      <c r="N321"/>
      <c r="O321"/>
      <c r="P321"/>
      <c r="Q321"/>
      <c r="R321"/>
      <c r="S321"/>
      <c r="T321"/>
      <c r="U321" s="165"/>
      <c r="V321" s="77"/>
      <c r="W321"/>
      <c r="X321"/>
      <c r="Z321"/>
    </row>
    <row r="322" spans="2:26" ht="20" customHeight="1" x14ac:dyDescent="0.35">
      <c r="B322"/>
      <c r="C322"/>
      <c r="D322"/>
      <c r="E322"/>
      <c r="F322"/>
      <c r="G322"/>
      <c r="H322"/>
      <c r="I322"/>
      <c r="J322"/>
      <c r="K322"/>
      <c r="L322"/>
      <c r="M322"/>
      <c r="N322"/>
      <c r="O322"/>
      <c r="P322"/>
      <c r="Q322"/>
      <c r="R322"/>
      <c r="S322"/>
      <c r="T322"/>
      <c r="U322" s="165"/>
      <c r="V322" s="77"/>
      <c r="W322"/>
      <c r="X322"/>
      <c r="Z322"/>
    </row>
    <row r="323" spans="2:26" ht="20" customHeight="1" x14ac:dyDescent="0.35">
      <c r="B323"/>
      <c r="C323"/>
      <c r="D323"/>
      <c r="E323"/>
      <c r="F323"/>
      <c r="G323"/>
      <c r="H323"/>
      <c r="I323"/>
      <c r="J323"/>
      <c r="K323"/>
      <c r="L323"/>
      <c r="M323"/>
      <c r="N323"/>
      <c r="O323"/>
      <c r="P323"/>
      <c r="Q323"/>
      <c r="R323"/>
      <c r="S323"/>
      <c r="T323"/>
      <c r="U323" s="165"/>
      <c r="V323" s="77"/>
      <c r="W323"/>
      <c r="X323"/>
      <c r="Z323"/>
    </row>
    <row r="324" spans="2:26" ht="20" customHeight="1" x14ac:dyDescent="0.35">
      <c r="U324" s="165"/>
      <c r="V324" s="77"/>
      <c r="W324"/>
      <c r="X324"/>
      <c r="Z324"/>
    </row>
    <row r="325" spans="2:26" ht="20" customHeight="1" x14ac:dyDescent="0.35">
      <c r="U325" s="165"/>
      <c r="V325" s="77"/>
      <c r="W325"/>
      <c r="X325"/>
      <c r="Z325"/>
    </row>
    <row r="326" spans="2:26" ht="20" customHeight="1" x14ac:dyDescent="0.35">
      <c r="U326" s="165"/>
      <c r="V326" s="77"/>
      <c r="W326"/>
      <c r="X326"/>
      <c r="Z326"/>
    </row>
    <row r="327" spans="2:26" ht="20" customHeight="1" x14ac:dyDescent="0.35">
      <c r="U327" s="165"/>
      <c r="V327" s="77"/>
      <c r="W327"/>
      <c r="X327"/>
      <c r="Z327"/>
    </row>
    <row r="328" spans="2:26" ht="20" customHeight="1" x14ac:dyDescent="0.35">
      <c r="U328" s="165"/>
      <c r="V328" s="77"/>
      <c r="W328"/>
      <c r="X328"/>
      <c r="Z328"/>
    </row>
    <row r="329" spans="2:26" ht="20" customHeight="1" x14ac:dyDescent="0.35">
      <c r="U329" s="165"/>
      <c r="V329" s="77"/>
      <c r="W329"/>
      <c r="X329"/>
      <c r="Z329"/>
    </row>
    <row r="330" spans="2:26" ht="20" customHeight="1" x14ac:dyDescent="0.35">
      <c r="U330" s="165"/>
      <c r="V330" s="77"/>
      <c r="W330"/>
      <c r="X330"/>
      <c r="Z330"/>
    </row>
    <row r="331" spans="2:26" ht="20" customHeight="1" x14ac:dyDescent="0.35">
      <c r="U331" s="165"/>
      <c r="V331" s="77"/>
      <c r="W331"/>
      <c r="X331"/>
      <c r="Z331"/>
    </row>
    <row r="332" spans="2:26" ht="20" customHeight="1" x14ac:dyDescent="0.35">
      <c r="U332" s="165"/>
      <c r="V332" s="77"/>
      <c r="W332"/>
      <c r="X332"/>
      <c r="Z332"/>
    </row>
    <row r="333" spans="2:26" ht="20" customHeight="1" x14ac:dyDescent="0.35">
      <c r="U333" s="165"/>
      <c r="V333" s="77"/>
      <c r="W333"/>
      <c r="X333"/>
      <c r="Z333"/>
    </row>
    <row r="334" spans="2:26" ht="20" customHeight="1" x14ac:dyDescent="0.35">
      <c r="U334" s="165"/>
      <c r="V334" s="77"/>
      <c r="W334"/>
      <c r="X334"/>
      <c r="Z334"/>
    </row>
    <row r="335" spans="2:26" ht="20" customHeight="1" x14ac:dyDescent="0.35">
      <c r="U335" s="165"/>
      <c r="V335" s="77"/>
      <c r="W335"/>
      <c r="X335"/>
      <c r="Z335"/>
    </row>
    <row r="336" spans="2:26" ht="20" customHeight="1" x14ac:dyDescent="0.35">
      <c r="U336" s="165"/>
      <c r="V336" s="77"/>
      <c r="W336"/>
      <c r="X336"/>
      <c r="Z336"/>
    </row>
    <row r="337" spans="21:26" ht="20" customHeight="1" x14ac:dyDescent="0.35">
      <c r="U337" s="165"/>
      <c r="V337" s="77"/>
      <c r="W337"/>
      <c r="X337"/>
      <c r="Z337"/>
    </row>
    <row r="338" spans="21:26" ht="20" customHeight="1" x14ac:dyDescent="0.35">
      <c r="U338" s="165"/>
      <c r="V338" s="77"/>
      <c r="W338"/>
      <c r="X338"/>
      <c r="Z338"/>
    </row>
    <row r="339" spans="21:26" ht="20" customHeight="1" x14ac:dyDescent="0.35">
      <c r="U339" s="165"/>
      <c r="V339" s="77"/>
      <c r="W339"/>
      <c r="X339"/>
      <c r="Z339"/>
    </row>
    <row r="340" spans="21:26" ht="20" customHeight="1" x14ac:dyDescent="0.35">
      <c r="U340" s="165"/>
      <c r="V340" s="77"/>
      <c r="W340"/>
      <c r="X340"/>
      <c r="Z340"/>
    </row>
    <row r="341" spans="21:26" ht="20" customHeight="1" x14ac:dyDescent="0.35">
      <c r="U341" s="165"/>
      <c r="V341" s="77"/>
      <c r="W341"/>
      <c r="X341"/>
      <c r="Z341"/>
    </row>
    <row r="342" spans="21:26" ht="20" customHeight="1" x14ac:dyDescent="0.35">
      <c r="U342" s="165"/>
      <c r="V342" s="77"/>
      <c r="W342"/>
      <c r="X342"/>
      <c r="Z342"/>
    </row>
    <row r="343" spans="21:26" ht="20" customHeight="1" x14ac:dyDescent="0.35">
      <c r="U343" s="165"/>
      <c r="V343" s="77"/>
      <c r="W343"/>
      <c r="X343"/>
      <c r="Z343"/>
    </row>
    <row r="344" spans="21:26" ht="20" customHeight="1" x14ac:dyDescent="0.35">
      <c r="U344" s="165"/>
      <c r="V344" s="77"/>
      <c r="W344"/>
      <c r="X344"/>
      <c r="Z344"/>
    </row>
    <row r="345" spans="21:26" ht="20" customHeight="1" x14ac:dyDescent="0.35">
      <c r="U345" s="165"/>
      <c r="V345" s="77"/>
      <c r="W345"/>
      <c r="X345"/>
      <c r="Z345"/>
    </row>
    <row r="346" spans="21:26" ht="20" customHeight="1" x14ac:dyDescent="0.35">
      <c r="U346" s="165"/>
      <c r="V346" s="77"/>
      <c r="W346"/>
      <c r="X346"/>
      <c r="Z346"/>
    </row>
    <row r="347" spans="21:26" ht="20" customHeight="1" x14ac:dyDescent="0.35">
      <c r="U347" s="165"/>
      <c r="V347" s="77"/>
      <c r="W347"/>
      <c r="X347"/>
      <c r="Z347"/>
    </row>
    <row r="348" spans="21:26" ht="20" customHeight="1" x14ac:dyDescent="0.35">
      <c r="U348" s="165"/>
      <c r="V348" s="77"/>
      <c r="W348"/>
      <c r="X348"/>
      <c r="Z348"/>
    </row>
    <row r="349" spans="21:26" ht="20" customHeight="1" x14ac:dyDescent="0.35">
      <c r="U349" s="165"/>
      <c r="V349" s="77"/>
      <c r="W349"/>
      <c r="X349"/>
      <c r="Z349"/>
    </row>
    <row r="350" spans="21:26" ht="20" customHeight="1" x14ac:dyDescent="0.35">
      <c r="U350" s="165"/>
      <c r="V350" s="77"/>
      <c r="W350"/>
      <c r="X350"/>
    </row>
    <row r="351" spans="21:26" ht="20" customHeight="1" x14ac:dyDescent="0.35">
      <c r="U351" s="165"/>
      <c r="V351" s="77"/>
      <c r="W351"/>
      <c r="X351"/>
    </row>
    <row r="352" spans="21:26" ht="20" customHeight="1" x14ac:dyDescent="0.35">
      <c r="U352" s="165"/>
      <c r="V352" s="77"/>
      <c r="W352"/>
      <c r="X352"/>
    </row>
    <row r="353" spans="21:24" ht="20" customHeight="1" x14ac:dyDescent="0.35">
      <c r="U353" s="165"/>
      <c r="V353" s="77"/>
      <c r="W353"/>
      <c r="X353"/>
    </row>
    <row r="354" spans="21:24" ht="20" customHeight="1" x14ac:dyDescent="0.35">
      <c r="U354" s="165"/>
      <c r="V354" s="77"/>
      <c r="W354"/>
      <c r="X354"/>
    </row>
    <row r="355" spans="21:24" ht="20" customHeight="1" x14ac:dyDescent="0.35">
      <c r="U355" s="165"/>
      <c r="V355" s="77"/>
      <c r="W355"/>
      <c r="X355"/>
    </row>
    <row r="356" spans="21:24" ht="20" customHeight="1" x14ac:dyDescent="0.35">
      <c r="U356" s="165"/>
      <c r="V356" s="77"/>
      <c r="W356"/>
      <c r="X356"/>
    </row>
    <row r="357" spans="21:24" ht="20" customHeight="1" x14ac:dyDescent="0.35">
      <c r="U357" s="165"/>
      <c r="V357" s="77"/>
      <c r="W357"/>
      <c r="X357"/>
    </row>
    <row r="358" spans="21:24" ht="20" customHeight="1" x14ac:dyDescent="0.35">
      <c r="U358" s="165"/>
      <c r="V358" s="77"/>
      <c r="W358"/>
      <c r="X358"/>
    </row>
    <row r="359" spans="21:24" ht="20" customHeight="1" x14ac:dyDescent="0.35">
      <c r="U359" s="165"/>
      <c r="V359" s="77"/>
      <c r="W359"/>
      <c r="X359"/>
    </row>
    <row r="360" spans="21:24" ht="20" customHeight="1" x14ac:dyDescent="0.35">
      <c r="U360" s="165"/>
      <c r="V360" s="77"/>
      <c r="W360"/>
      <c r="X360"/>
    </row>
    <row r="361" spans="21:24" ht="20" customHeight="1" x14ac:dyDescent="0.35">
      <c r="U361" s="165"/>
      <c r="V361" s="77"/>
      <c r="W361"/>
      <c r="X361"/>
    </row>
    <row r="362" spans="21:24" ht="20" customHeight="1" x14ac:dyDescent="0.35">
      <c r="U362" s="165"/>
      <c r="V362" s="77"/>
      <c r="W362"/>
      <c r="X362"/>
    </row>
    <row r="363" spans="21:24" ht="20" customHeight="1" x14ac:dyDescent="0.35">
      <c r="U363" s="165"/>
      <c r="V363" s="77"/>
      <c r="W363"/>
      <c r="X363"/>
    </row>
    <row r="364" spans="21:24" ht="20" customHeight="1" x14ac:dyDescent="0.35">
      <c r="U364" s="165"/>
      <c r="V364" s="77"/>
      <c r="W364"/>
      <c r="X364"/>
    </row>
    <row r="365" spans="21:24" ht="20" customHeight="1" x14ac:dyDescent="0.35">
      <c r="U365" s="165"/>
      <c r="V365" s="77"/>
      <c r="W365"/>
      <c r="X365"/>
    </row>
    <row r="366" spans="21:24" ht="20" customHeight="1" x14ac:dyDescent="0.35">
      <c r="U366" s="165"/>
      <c r="V366" s="77"/>
      <c r="W366"/>
      <c r="X366"/>
    </row>
    <row r="367" spans="21:24" ht="20" customHeight="1" x14ac:dyDescent="0.35">
      <c r="U367" s="165"/>
      <c r="V367" s="77"/>
      <c r="W367"/>
      <c r="X367"/>
    </row>
    <row r="368" spans="21:24" ht="20" customHeight="1" x14ac:dyDescent="0.35">
      <c r="U368" s="165"/>
      <c r="V368" s="77"/>
      <c r="W368"/>
      <c r="X368"/>
    </row>
    <row r="369" spans="2:24" ht="20" customHeight="1" x14ac:dyDescent="0.35">
      <c r="U369" s="165"/>
      <c r="V369" s="77"/>
      <c r="W369"/>
      <c r="X369"/>
    </row>
    <row r="370" spans="2:24" ht="20" customHeight="1" x14ac:dyDescent="0.35">
      <c r="U370" s="165"/>
      <c r="V370" s="77"/>
      <c r="W370"/>
      <c r="X370"/>
    </row>
    <row r="371" spans="2:24" ht="20" customHeight="1" x14ac:dyDescent="0.35">
      <c r="U371" s="165"/>
      <c r="V371" s="77"/>
      <c r="W371"/>
      <c r="X371"/>
    </row>
    <row r="372" spans="2:24" ht="20" customHeight="1" x14ac:dyDescent="0.35">
      <c r="U372" s="165"/>
      <c r="V372" s="77"/>
      <c r="W372"/>
      <c r="X372"/>
    </row>
    <row r="373" spans="2:24" ht="20" customHeight="1" x14ac:dyDescent="0.35">
      <c r="U373" s="165"/>
      <c r="V373" s="77"/>
      <c r="W373"/>
      <c r="X373"/>
    </row>
    <row r="374" spans="2:24" ht="20" customHeight="1" x14ac:dyDescent="0.35">
      <c r="U374" s="165"/>
      <c r="V374" s="77"/>
      <c r="W374"/>
      <c r="X374"/>
    </row>
    <row r="375" spans="2:24" ht="20" customHeight="1" x14ac:dyDescent="0.35">
      <c r="U375" s="165"/>
      <c r="V375" s="77"/>
      <c r="W375"/>
      <c r="X375"/>
    </row>
    <row r="376" spans="2:24" ht="20" customHeight="1" x14ac:dyDescent="0.35">
      <c r="U376" s="165"/>
      <c r="V376" s="77"/>
      <c r="W376"/>
      <c r="X376"/>
    </row>
    <row r="377" spans="2:24" ht="15.5" x14ac:dyDescent="0.35">
      <c r="B377" s="18"/>
      <c r="C377"/>
      <c r="D377"/>
      <c r="E377"/>
      <c r="F377"/>
      <c r="G377"/>
      <c r="H377"/>
      <c r="I377"/>
      <c r="J377"/>
      <c r="K377"/>
      <c r="L377"/>
      <c r="M377"/>
      <c r="N377"/>
      <c r="O377"/>
      <c r="P377"/>
      <c r="Q377"/>
      <c r="R377"/>
      <c r="S377"/>
      <c r="T377"/>
      <c r="U377"/>
      <c r="W377"/>
      <c r="X377"/>
    </row>
    <row r="378" spans="2:24" ht="15.5" x14ac:dyDescent="0.35">
      <c r="B378" s="93" t="s">
        <v>100</v>
      </c>
      <c r="C378"/>
      <c r="D378"/>
      <c r="E378"/>
      <c r="F378"/>
      <c r="G378"/>
      <c r="H378"/>
      <c r="I378"/>
      <c r="J378"/>
      <c r="K378"/>
      <c r="L378"/>
      <c r="M378"/>
      <c r="N378"/>
      <c r="O378"/>
      <c r="P378" s="92">
        <f>+SUM(P129:P323)</f>
        <v>15.999096166848988</v>
      </c>
      <c r="Q378"/>
      <c r="R378"/>
      <c r="S378"/>
      <c r="T378"/>
      <c r="U378"/>
      <c r="W378"/>
      <c r="X378"/>
    </row>
    <row r="379" spans="2:24" ht="15.5" x14ac:dyDescent="0.35">
      <c r="B379" s="18"/>
      <c r="C379"/>
      <c r="D379"/>
      <c r="E379"/>
      <c r="F379"/>
      <c r="G379"/>
      <c r="H379"/>
      <c r="I379"/>
      <c r="J379"/>
      <c r="K379"/>
      <c r="L379"/>
      <c r="M379"/>
      <c r="N379"/>
      <c r="O379"/>
      <c r="P379"/>
      <c r="Q379"/>
      <c r="R379"/>
      <c r="S379"/>
      <c r="T379"/>
      <c r="U379"/>
      <c r="W379"/>
      <c r="X379"/>
    </row>
    <row r="380" spans="2:24" ht="15.5" x14ac:dyDescent="0.35">
      <c r="B380" s="18"/>
      <c r="C380"/>
      <c r="D380"/>
      <c r="E380"/>
      <c r="F380"/>
      <c r="G380"/>
      <c r="H380"/>
      <c r="I380"/>
      <c r="J380"/>
      <c r="K380"/>
      <c r="L380"/>
      <c r="M380"/>
      <c r="N380"/>
      <c r="O380"/>
      <c r="P380"/>
      <c r="Q380"/>
      <c r="R380"/>
      <c r="S380"/>
      <c r="T380"/>
      <c r="U380"/>
      <c r="W380"/>
      <c r="X380"/>
    </row>
    <row r="381" spans="2:24" ht="15.5" x14ac:dyDescent="0.35">
      <c r="B381" s="18"/>
      <c r="C381"/>
      <c r="D381"/>
      <c r="E381"/>
      <c r="F381"/>
      <c r="G381"/>
      <c r="H381"/>
      <c r="I381"/>
      <c r="J381"/>
      <c r="K381"/>
      <c r="L381"/>
      <c r="M381"/>
      <c r="N381"/>
      <c r="O381"/>
      <c r="P381"/>
      <c r="Q381"/>
      <c r="R381"/>
      <c r="S381"/>
      <c r="T381"/>
      <c r="U381"/>
      <c r="W381"/>
      <c r="X381"/>
    </row>
    <row r="382" spans="2:24" ht="15.5" x14ac:dyDescent="0.35">
      <c r="B382" s="18"/>
      <c r="C382"/>
      <c r="D382"/>
      <c r="E382"/>
      <c r="F382"/>
      <c r="G382"/>
      <c r="H382"/>
      <c r="I382"/>
      <c r="J382"/>
      <c r="K382"/>
      <c r="L382"/>
      <c r="M382"/>
      <c r="N382"/>
      <c r="O382"/>
      <c r="P382"/>
      <c r="Q382"/>
      <c r="R382"/>
      <c r="S382"/>
      <c r="T382"/>
      <c r="U382"/>
      <c r="W382"/>
      <c r="X382"/>
    </row>
    <row r="383" spans="2:24" ht="15.5" x14ac:dyDescent="0.35">
      <c r="B383" s="18"/>
      <c r="C383"/>
      <c r="D383"/>
      <c r="E383"/>
      <c r="F383"/>
      <c r="G383"/>
      <c r="H383"/>
      <c r="I383"/>
      <c r="J383"/>
      <c r="K383"/>
      <c r="L383"/>
      <c r="M383"/>
      <c r="N383"/>
      <c r="O383"/>
      <c r="P383"/>
      <c r="Q383"/>
      <c r="R383"/>
      <c r="S383"/>
      <c r="T383"/>
      <c r="U383"/>
      <c r="W383"/>
      <c r="X383"/>
    </row>
    <row r="384" spans="2:24" ht="15.5" x14ac:dyDescent="0.35">
      <c r="B384" s="18"/>
      <c r="C384"/>
      <c r="D384"/>
      <c r="E384"/>
      <c r="F384"/>
      <c r="G384"/>
      <c r="H384"/>
      <c r="I384"/>
      <c r="J384"/>
      <c r="K384"/>
      <c r="L384"/>
      <c r="M384"/>
      <c r="N384"/>
      <c r="O384"/>
      <c r="P384"/>
      <c r="Q384"/>
      <c r="R384"/>
      <c r="S384"/>
      <c r="T384"/>
      <c r="U384"/>
      <c r="W384"/>
      <c r="X384"/>
    </row>
    <row r="385" spans="2:24" ht="15.5" x14ac:dyDescent="0.35">
      <c r="B385" s="18"/>
      <c r="C385"/>
      <c r="D385"/>
      <c r="E385"/>
      <c r="F385"/>
      <c r="G385"/>
      <c r="H385"/>
      <c r="I385"/>
      <c r="J385"/>
      <c r="K385"/>
      <c r="L385"/>
      <c r="M385"/>
      <c r="N385"/>
      <c r="O385"/>
      <c r="P385"/>
      <c r="Q385"/>
      <c r="R385"/>
      <c r="S385"/>
      <c r="T385"/>
      <c r="U385"/>
      <c r="W385"/>
      <c r="X385"/>
    </row>
    <row r="386" spans="2:24" ht="15.5" x14ac:dyDescent="0.35">
      <c r="B386" s="18"/>
      <c r="C386"/>
      <c r="D386"/>
      <c r="E386"/>
      <c r="F386"/>
      <c r="G386"/>
      <c r="H386"/>
      <c r="I386"/>
      <c r="J386"/>
      <c r="K386"/>
      <c r="L386"/>
      <c r="M386"/>
      <c r="N386"/>
      <c r="O386"/>
      <c r="P386"/>
      <c r="Q386"/>
      <c r="R386"/>
      <c r="S386"/>
      <c r="T386"/>
      <c r="U386"/>
      <c r="W386"/>
      <c r="X386"/>
    </row>
    <row r="387" spans="2:24" ht="15.5" x14ac:dyDescent="0.35">
      <c r="B387" s="18"/>
      <c r="C387"/>
      <c r="D387"/>
      <c r="E387"/>
      <c r="F387"/>
      <c r="G387"/>
      <c r="H387"/>
      <c r="I387"/>
      <c r="J387"/>
      <c r="K387"/>
      <c r="L387"/>
      <c r="M387"/>
      <c r="N387"/>
      <c r="O387"/>
      <c r="P387"/>
      <c r="Q387"/>
      <c r="R387"/>
      <c r="S387"/>
      <c r="T387"/>
      <c r="U387"/>
      <c r="W387"/>
      <c r="X387"/>
    </row>
    <row r="388" spans="2:24" ht="15.5" x14ac:dyDescent="0.35">
      <c r="B388" s="18"/>
      <c r="C388"/>
      <c r="D388"/>
      <c r="E388"/>
      <c r="F388"/>
      <c r="G388"/>
      <c r="H388"/>
      <c r="I388"/>
      <c r="J388"/>
      <c r="K388"/>
      <c r="L388"/>
      <c r="M388"/>
      <c r="N388"/>
      <c r="O388"/>
      <c r="P388"/>
      <c r="Q388"/>
      <c r="R388"/>
      <c r="S388"/>
      <c r="T388"/>
      <c r="U388"/>
      <c r="W388"/>
      <c r="X388"/>
    </row>
    <row r="389" spans="2:24" ht="15.5" x14ac:dyDescent="0.35">
      <c r="B389" s="18"/>
      <c r="C389"/>
      <c r="D389"/>
      <c r="E389"/>
      <c r="F389"/>
      <c r="G389"/>
      <c r="H389"/>
      <c r="I389"/>
      <c r="J389"/>
      <c r="K389"/>
      <c r="L389"/>
      <c r="M389"/>
      <c r="N389"/>
      <c r="O389"/>
      <c r="P389"/>
      <c r="Q389"/>
      <c r="R389"/>
      <c r="S389"/>
      <c r="T389"/>
      <c r="U389"/>
      <c r="W389"/>
      <c r="X389"/>
    </row>
    <row r="390" spans="2:24" ht="15.5" x14ac:dyDescent="0.35">
      <c r="B390" s="18"/>
      <c r="C390"/>
      <c r="D390"/>
      <c r="E390"/>
      <c r="F390"/>
      <c r="G390"/>
      <c r="H390"/>
      <c r="I390"/>
      <c r="J390"/>
      <c r="K390"/>
      <c r="L390"/>
      <c r="M390"/>
      <c r="N390"/>
      <c r="O390"/>
      <c r="P390"/>
      <c r="Q390"/>
      <c r="R390"/>
      <c r="S390"/>
      <c r="T390"/>
      <c r="U390"/>
      <c r="W390"/>
      <c r="X390"/>
    </row>
    <row r="391" spans="2:24" ht="15.5" x14ac:dyDescent="0.35">
      <c r="B391" s="18"/>
      <c r="C391"/>
      <c r="D391"/>
      <c r="E391"/>
      <c r="F391"/>
      <c r="G391"/>
      <c r="H391"/>
      <c r="I391"/>
      <c r="J391"/>
      <c r="K391"/>
      <c r="L391"/>
      <c r="M391"/>
      <c r="N391"/>
      <c r="O391"/>
      <c r="P391"/>
      <c r="Q391"/>
      <c r="R391"/>
      <c r="S391"/>
      <c r="T391"/>
      <c r="U391"/>
      <c r="W391"/>
      <c r="X391"/>
    </row>
    <row r="392" spans="2:24" ht="15.5" x14ac:dyDescent="0.35">
      <c r="B392" s="18"/>
      <c r="C392"/>
      <c r="D392"/>
      <c r="E392"/>
      <c r="F392"/>
      <c r="G392"/>
      <c r="H392"/>
      <c r="I392"/>
      <c r="J392"/>
      <c r="K392"/>
      <c r="L392"/>
      <c r="M392"/>
      <c r="N392"/>
      <c r="O392"/>
      <c r="P392"/>
      <c r="Q392"/>
      <c r="R392"/>
      <c r="S392"/>
      <c r="T392"/>
      <c r="U392"/>
      <c r="W392"/>
      <c r="X392"/>
    </row>
    <row r="393" spans="2:24" ht="15.5" x14ac:dyDescent="0.35">
      <c r="B393" s="18"/>
      <c r="C393"/>
      <c r="D393"/>
      <c r="E393"/>
      <c r="F393"/>
      <c r="G393"/>
      <c r="H393"/>
      <c r="I393"/>
      <c r="J393"/>
      <c r="K393"/>
      <c r="L393"/>
      <c r="M393"/>
      <c r="N393"/>
      <c r="O393"/>
      <c r="P393"/>
      <c r="Q393"/>
      <c r="R393"/>
      <c r="S393"/>
      <c r="T393"/>
      <c r="U393"/>
      <c r="W393"/>
      <c r="X393"/>
    </row>
    <row r="394" spans="2:24" ht="15.5" x14ac:dyDescent="0.35">
      <c r="B394" s="18"/>
    </row>
    <row r="395" spans="2:24" ht="15.5" x14ac:dyDescent="0.35">
      <c r="B395" s="18"/>
    </row>
    <row r="396" spans="2:24" ht="15.5" x14ac:dyDescent="0.35">
      <c r="B396" s="18"/>
    </row>
    <row r="397" spans="2:24" ht="15.5" x14ac:dyDescent="0.35">
      <c r="B397" s="18"/>
    </row>
    <row r="398" spans="2:24" ht="15.5" x14ac:dyDescent="0.35">
      <c r="B398" s="18"/>
    </row>
    <row r="399" spans="2:24" ht="15.5" x14ac:dyDescent="0.35">
      <c r="B399" s="18"/>
    </row>
    <row r="400" spans="2:24" ht="15.5" x14ac:dyDescent="0.35">
      <c r="B400" s="18"/>
    </row>
    <row r="401" spans="2:2" ht="15.5" x14ac:dyDescent="0.35">
      <c r="B401" s="18"/>
    </row>
    <row r="402" spans="2:2" ht="15.5" x14ac:dyDescent="0.35">
      <c r="B402" s="18"/>
    </row>
    <row r="403" spans="2:2" ht="15.5" x14ac:dyDescent="0.35">
      <c r="B403" s="18"/>
    </row>
    <row r="404" spans="2:2" ht="15.5" x14ac:dyDescent="0.35">
      <c r="B404" s="18"/>
    </row>
    <row r="405" spans="2:2" ht="15.5" x14ac:dyDescent="0.35">
      <c r="B405" s="18"/>
    </row>
    <row r="406" spans="2:2" ht="15.5" x14ac:dyDescent="0.35">
      <c r="B406" s="18"/>
    </row>
    <row r="407" spans="2:2" ht="15.5" x14ac:dyDescent="0.35">
      <c r="B407" s="18"/>
    </row>
    <row r="408" spans="2:2" ht="15.5" x14ac:dyDescent="0.35">
      <c r="B408" s="18"/>
    </row>
    <row r="409" spans="2:2" ht="15.5" x14ac:dyDescent="0.35">
      <c r="B409" s="18"/>
    </row>
    <row r="410" spans="2:2" ht="15.5" x14ac:dyDescent="0.35">
      <c r="B410" s="18"/>
    </row>
    <row r="411" spans="2:2" ht="15.5" x14ac:dyDescent="0.35">
      <c r="B411" s="18"/>
    </row>
    <row r="412" spans="2:2" ht="15.5" x14ac:dyDescent="0.35">
      <c r="B412" s="18"/>
    </row>
    <row r="413" spans="2:2" ht="15.5" x14ac:dyDescent="0.35">
      <c r="B413" s="18"/>
    </row>
    <row r="414" spans="2:2" ht="15.5" x14ac:dyDescent="0.35">
      <c r="B414" s="18"/>
    </row>
    <row r="415" spans="2:2" ht="15.5" x14ac:dyDescent="0.35">
      <c r="B415" s="18"/>
    </row>
    <row r="416" spans="2:2" ht="15.5" x14ac:dyDescent="0.35">
      <c r="B416" s="18"/>
    </row>
    <row r="417" spans="2:2" ht="15.5" x14ac:dyDescent="0.35">
      <c r="B417" s="18"/>
    </row>
    <row r="418" spans="2:2" ht="15.5" x14ac:dyDescent="0.35">
      <c r="B418" s="18"/>
    </row>
    <row r="419" spans="2:2" ht="15.5" x14ac:dyDescent="0.35">
      <c r="B419" s="18"/>
    </row>
    <row r="420" spans="2:2" ht="15.5" x14ac:dyDescent="0.35">
      <c r="B420" s="18"/>
    </row>
    <row r="421" spans="2:2" ht="15.5" x14ac:dyDescent="0.35">
      <c r="B421" s="18"/>
    </row>
    <row r="422" spans="2:2" ht="15.5" x14ac:dyDescent="0.35">
      <c r="B422" s="18"/>
    </row>
    <row r="423" spans="2:2" ht="15.5" x14ac:dyDescent="0.35">
      <c r="B423" s="18"/>
    </row>
    <row r="424" spans="2:2" ht="15.5" x14ac:dyDescent="0.35">
      <c r="B424" s="18"/>
    </row>
    <row r="425" spans="2:2" ht="15.5" x14ac:dyDescent="0.35">
      <c r="B425" s="18"/>
    </row>
    <row r="426" spans="2:2" ht="15.5" x14ac:dyDescent="0.35">
      <c r="B426" s="18"/>
    </row>
    <row r="427" spans="2:2" ht="15.5" x14ac:dyDescent="0.35">
      <c r="B427" s="18"/>
    </row>
    <row r="428" spans="2:2" ht="15.5" x14ac:dyDescent="0.35">
      <c r="B428" s="18"/>
    </row>
    <row r="429" spans="2:2" ht="15.5" x14ac:dyDescent="0.35">
      <c r="B429" s="18"/>
    </row>
    <row r="430" spans="2:2" ht="15.5" x14ac:dyDescent="0.35">
      <c r="B430" s="18"/>
    </row>
    <row r="431" spans="2:2" ht="15.5" x14ac:dyDescent="0.35">
      <c r="B431" s="18"/>
    </row>
    <row r="432" spans="2:2" ht="15.5" x14ac:dyDescent="0.35">
      <c r="B432" s="18"/>
    </row>
    <row r="433" spans="2:2" ht="15.5" x14ac:dyDescent="0.35">
      <c r="B433" s="18"/>
    </row>
    <row r="434" spans="2:2" ht="15.5" x14ac:dyDescent="0.35">
      <c r="B434" s="18"/>
    </row>
    <row r="435" spans="2:2" ht="15.5" x14ac:dyDescent="0.35">
      <c r="B435" s="18"/>
    </row>
    <row r="436" spans="2:2" ht="15.5" x14ac:dyDescent="0.35">
      <c r="B436" s="18"/>
    </row>
    <row r="437" spans="2:2" ht="15.5" x14ac:dyDescent="0.35">
      <c r="B437" s="18"/>
    </row>
    <row r="438" spans="2:2" ht="15.5" x14ac:dyDescent="0.35">
      <c r="B438" s="18"/>
    </row>
    <row r="439" spans="2:2" ht="15.5" x14ac:dyDescent="0.35">
      <c r="B439" s="18"/>
    </row>
    <row r="440" spans="2:2" ht="15.5" x14ac:dyDescent="0.35">
      <c r="B440" s="18"/>
    </row>
    <row r="441" spans="2:2" ht="15.5" x14ac:dyDescent="0.35">
      <c r="B441" s="18"/>
    </row>
    <row r="442" spans="2:2" ht="15.5" x14ac:dyDescent="0.35">
      <c r="B442" s="18"/>
    </row>
    <row r="443" spans="2:2" ht="15.5" x14ac:dyDescent="0.35">
      <c r="B443" s="18"/>
    </row>
    <row r="444" spans="2:2" ht="15.5" x14ac:dyDescent="0.35">
      <c r="B444" s="18"/>
    </row>
    <row r="445" spans="2:2" ht="15.5" x14ac:dyDescent="0.35">
      <c r="B445" s="18"/>
    </row>
    <row r="446" spans="2:2" ht="15.5" x14ac:dyDescent="0.35">
      <c r="B446" s="18"/>
    </row>
    <row r="447" spans="2:2" ht="15.5" x14ac:dyDescent="0.35">
      <c r="B447" s="18"/>
    </row>
    <row r="448" spans="2:2" ht="15.5" x14ac:dyDescent="0.35">
      <c r="B448" s="18"/>
    </row>
    <row r="449" spans="2:2" ht="15.5" x14ac:dyDescent="0.35">
      <c r="B449" s="18"/>
    </row>
    <row r="450" spans="2:2" ht="15.5" x14ac:dyDescent="0.35">
      <c r="B450" s="18"/>
    </row>
    <row r="451" spans="2:2" ht="15.5" x14ac:dyDescent="0.35">
      <c r="B451" s="18"/>
    </row>
    <row r="452" spans="2:2" ht="15.5" x14ac:dyDescent="0.35">
      <c r="B452" s="18"/>
    </row>
    <row r="453" spans="2:2" ht="15.5" x14ac:dyDescent="0.35">
      <c r="B453" s="18"/>
    </row>
    <row r="454" spans="2:2" ht="15.5" x14ac:dyDescent="0.35">
      <c r="B454" s="18"/>
    </row>
    <row r="455" spans="2:2" ht="15.5" x14ac:dyDescent="0.35">
      <c r="B455" s="18"/>
    </row>
    <row r="456" spans="2:2" ht="15.5" x14ac:dyDescent="0.35">
      <c r="B456" s="18"/>
    </row>
    <row r="457" spans="2:2" ht="15.5" x14ac:dyDescent="0.35">
      <c r="B457" s="18"/>
    </row>
    <row r="458" spans="2:2" ht="15.5" x14ac:dyDescent="0.35">
      <c r="B458" s="18"/>
    </row>
    <row r="459" spans="2:2" ht="15.5" x14ac:dyDescent="0.35">
      <c r="B459" s="18"/>
    </row>
    <row r="460" spans="2:2" ht="15.5" x14ac:dyDescent="0.35">
      <c r="B460" s="18"/>
    </row>
    <row r="461" spans="2:2" ht="15.5" x14ac:dyDescent="0.35">
      <c r="B461" s="18"/>
    </row>
    <row r="462" spans="2:2" ht="15.5" x14ac:dyDescent="0.35">
      <c r="B462" s="18"/>
    </row>
    <row r="463" spans="2:2" ht="15.5" x14ac:dyDescent="0.35">
      <c r="B463" s="18"/>
    </row>
    <row r="464" spans="2:2" ht="15.5" x14ac:dyDescent="0.35">
      <c r="B464" s="18"/>
    </row>
    <row r="465" spans="2:2" ht="15.5" x14ac:dyDescent="0.35">
      <c r="B465" s="18"/>
    </row>
    <row r="466" spans="2:2" ht="15.5" x14ac:dyDescent="0.35">
      <c r="B466" s="18"/>
    </row>
    <row r="467" spans="2:2" ht="15.5" x14ac:dyDescent="0.35">
      <c r="B467" s="18"/>
    </row>
    <row r="468" spans="2:2" ht="15.5" x14ac:dyDescent="0.35">
      <c r="B468" s="18"/>
    </row>
    <row r="469" spans="2:2" ht="15.5" x14ac:dyDescent="0.35">
      <c r="B469" s="18"/>
    </row>
    <row r="470" spans="2:2" ht="15.5" x14ac:dyDescent="0.35">
      <c r="B470" s="18"/>
    </row>
    <row r="471" spans="2:2" ht="15.5" x14ac:dyDescent="0.35">
      <c r="B471" s="18"/>
    </row>
    <row r="472" spans="2:2" ht="15.5" x14ac:dyDescent="0.35">
      <c r="B472" s="18"/>
    </row>
    <row r="473" spans="2:2" ht="15.5" x14ac:dyDescent="0.35">
      <c r="B473" s="18"/>
    </row>
    <row r="474" spans="2:2" ht="15.5" x14ac:dyDescent="0.35">
      <c r="B474" s="18"/>
    </row>
    <row r="475" spans="2:2" ht="15.5" x14ac:dyDescent="0.35">
      <c r="B475" s="18"/>
    </row>
    <row r="476" spans="2:2" ht="15.5" x14ac:dyDescent="0.35">
      <c r="B476" s="18"/>
    </row>
    <row r="477" spans="2:2" ht="15.5" x14ac:dyDescent="0.35">
      <c r="B477" s="18"/>
    </row>
    <row r="478" spans="2:2" ht="15.5" x14ac:dyDescent="0.35">
      <c r="B478" s="18"/>
    </row>
    <row r="479" spans="2:2" ht="15.5" x14ac:dyDescent="0.35">
      <c r="B479" s="18"/>
    </row>
    <row r="480" spans="2:2" ht="15.5" x14ac:dyDescent="0.35">
      <c r="B480" s="18"/>
    </row>
    <row r="481" spans="2:2" ht="15.5" x14ac:dyDescent="0.35">
      <c r="B481" s="18"/>
    </row>
    <row r="482" spans="2:2" ht="15.5" x14ac:dyDescent="0.35">
      <c r="B482" s="18"/>
    </row>
    <row r="483" spans="2:2" ht="15.5" x14ac:dyDescent="0.35">
      <c r="B483" s="18"/>
    </row>
    <row r="484" spans="2:2" ht="15.5" x14ac:dyDescent="0.35">
      <c r="B484" s="18"/>
    </row>
    <row r="485" spans="2:2" ht="15.5" x14ac:dyDescent="0.35">
      <c r="B485" s="18"/>
    </row>
    <row r="486" spans="2:2" ht="15.5" x14ac:dyDescent="0.35">
      <c r="B486" s="18"/>
    </row>
    <row r="487" spans="2:2" ht="15.5" x14ac:dyDescent="0.35">
      <c r="B487" s="18"/>
    </row>
    <row r="488" spans="2:2" ht="15.5" x14ac:dyDescent="0.35">
      <c r="B488" s="18"/>
    </row>
    <row r="489" spans="2:2" ht="15.5" x14ac:dyDescent="0.35">
      <c r="B489" s="18"/>
    </row>
    <row r="490" spans="2:2" ht="15.5" x14ac:dyDescent="0.35">
      <c r="B490" s="18"/>
    </row>
    <row r="491" spans="2:2" ht="15.5" x14ac:dyDescent="0.35">
      <c r="B491" s="18"/>
    </row>
    <row r="492" spans="2:2" ht="15.5" x14ac:dyDescent="0.35">
      <c r="B492" s="18"/>
    </row>
    <row r="493" spans="2:2" ht="15.5" x14ac:dyDescent="0.35">
      <c r="B493" s="18"/>
    </row>
    <row r="494" spans="2:2" ht="15.5" x14ac:dyDescent="0.35">
      <c r="B494" s="18"/>
    </row>
    <row r="495" spans="2:2" ht="15.5" x14ac:dyDescent="0.35">
      <c r="B495" s="18"/>
    </row>
    <row r="496" spans="2:2" ht="15.5" x14ac:dyDescent="0.35">
      <c r="B496" s="18"/>
    </row>
    <row r="497" spans="2:2" ht="15.5" x14ac:dyDescent="0.35">
      <c r="B497" s="18"/>
    </row>
    <row r="498" spans="2:2" ht="15.5" x14ac:dyDescent="0.35">
      <c r="B498" s="18"/>
    </row>
    <row r="499" spans="2:2" ht="15.5" x14ac:dyDescent="0.35">
      <c r="B499" s="18"/>
    </row>
    <row r="500" spans="2:2" ht="15.5" x14ac:dyDescent="0.35">
      <c r="B500" s="18"/>
    </row>
    <row r="501" spans="2:2" ht="15.5" x14ac:dyDescent="0.35">
      <c r="B501" s="18"/>
    </row>
    <row r="502" spans="2:2" ht="15.5" x14ac:dyDescent="0.35">
      <c r="B502" s="18"/>
    </row>
    <row r="503" spans="2:2" ht="15.5" x14ac:dyDescent="0.35">
      <c r="B503" s="18"/>
    </row>
    <row r="504" spans="2:2" ht="15.5" x14ac:dyDescent="0.35">
      <c r="B504" s="18"/>
    </row>
    <row r="505" spans="2:2" ht="15.5" x14ac:dyDescent="0.35">
      <c r="B505" s="18"/>
    </row>
    <row r="506" spans="2:2" ht="15.5" x14ac:dyDescent="0.35">
      <c r="B506" s="18"/>
    </row>
    <row r="507" spans="2:2" ht="15.5" x14ac:dyDescent="0.35">
      <c r="B507" s="18"/>
    </row>
    <row r="508" spans="2:2" ht="15.5" x14ac:dyDescent="0.35">
      <c r="B508" s="18"/>
    </row>
    <row r="509" spans="2:2" ht="15.5" x14ac:dyDescent="0.35">
      <c r="B509" s="18"/>
    </row>
    <row r="510" spans="2:2" ht="15.5" x14ac:dyDescent="0.35">
      <c r="B510" s="18"/>
    </row>
    <row r="511" spans="2:2" ht="15.5" x14ac:dyDescent="0.35">
      <c r="B511" s="18"/>
    </row>
    <row r="512" spans="2:2" ht="15.5" x14ac:dyDescent="0.35">
      <c r="B512" s="18"/>
    </row>
    <row r="513" spans="2:2" ht="15.5" x14ac:dyDescent="0.35">
      <c r="B513" s="18"/>
    </row>
    <row r="514" spans="2:2" ht="15.5" x14ac:dyDescent="0.35">
      <c r="B514" s="18"/>
    </row>
    <row r="515" spans="2:2" ht="15.5" x14ac:dyDescent="0.35">
      <c r="B515" s="18"/>
    </row>
    <row r="516" spans="2:2" ht="15.5" x14ac:dyDescent="0.35">
      <c r="B516" s="18"/>
    </row>
    <row r="517" spans="2:2" ht="15.5" x14ac:dyDescent="0.35">
      <c r="B517" s="18"/>
    </row>
    <row r="518" spans="2:2" ht="15.5" x14ac:dyDescent="0.35">
      <c r="B518" s="18"/>
    </row>
    <row r="519" spans="2:2" ht="15.5" x14ac:dyDescent="0.35">
      <c r="B519" s="18"/>
    </row>
    <row r="520" spans="2:2" ht="15.5" x14ac:dyDescent="0.35">
      <c r="B520" s="18"/>
    </row>
    <row r="521" spans="2:2" ht="15.5" x14ac:dyDescent="0.35">
      <c r="B521" s="18"/>
    </row>
    <row r="522" spans="2:2" ht="15.5" x14ac:dyDescent="0.35">
      <c r="B522" s="18"/>
    </row>
    <row r="523" spans="2:2" ht="15.5" x14ac:dyDescent="0.35">
      <c r="B523" s="18"/>
    </row>
    <row r="524" spans="2:2" ht="15.5" x14ac:dyDescent="0.35">
      <c r="B524" s="18"/>
    </row>
    <row r="525" spans="2:2" ht="15.5" x14ac:dyDescent="0.35">
      <c r="B525" s="18"/>
    </row>
    <row r="526" spans="2:2" ht="15.5" x14ac:dyDescent="0.35">
      <c r="B526" s="18"/>
    </row>
    <row r="527" spans="2:2" ht="15.5" x14ac:dyDescent="0.35">
      <c r="B527" s="18"/>
    </row>
    <row r="528" spans="2:2" ht="15.5" x14ac:dyDescent="0.35">
      <c r="B528" s="18"/>
    </row>
    <row r="529" spans="2:2" ht="15.5" x14ac:dyDescent="0.35">
      <c r="B529" s="18"/>
    </row>
    <row r="530" spans="2:2" ht="15.5" x14ac:dyDescent="0.35">
      <c r="B530" s="18"/>
    </row>
    <row r="531" spans="2:2" ht="15.5" x14ac:dyDescent="0.35">
      <c r="B531" s="18"/>
    </row>
    <row r="532" spans="2:2" ht="15.5" x14ac:dyDescent="0.35">
      <c r="B532" s="18"/>
    </row>
    <row r="533" spans="2:2" ht="15.5" x14ac:dyDescent="0.35">
      <c r="B533" s="18"/>
    </row>
    <row r="534" spans="2:2" ht="15.5" x14ac:dyDescent="0.35">
      <c r="B534" s="18"/>
    </row>
    <row r="535" spans="2:2" ht="15.5" x14ac:dyDescent="0.35">
      <c r="B535" s="18"/>
    </row>
    <row r="536" spans="2:2" ht="15.5" x14ac:dyDescent="0.35">
      <c r="B536" s="18"/>
    </row>
    <row r="537" spans="2:2" ht="15.5" x14ac:dyDescent="0.35">
      <c r="B537" s="18"/>
    </row>
    <row r="538" spans="2:2" ht="15.5" x14ac:dyDescent="0.35">
      <c r="B538" s="18"/>
    </row>
    <row r="539" spans="2:2" ht="15.5" x14ac:dyDescent="0.35">
      <c r="B539" s="18"/>
    </row>
    <row r="540" spans="2:2" ht="15.5" x14ac:dyDescent="0.35">
      <c r="B540" s="18"/>
    </row>
    <row r="541" spans="2:2" ht="15.5" x14ac:dyDescent="0.35">
      <c r="B541" s="18"/>
    </row>
    <row r="542" spans="2:2" ht="15.5" x14ac:dyDescent="0.35">
      <c r="B542" s="18"/>
    </row>
    <row r="543" spans="2:2" ht="15.5" x14ac:dyDescent="0.35">
      <c r="B543" s="18"/>
    </row>
    <row r="544" spans="2:2" ht="15.5" x14ac:dyDescent="0.35">
      <c r="B544" s="18"/>
    </row>
    <row r="545" spans="2:2" ht="15.5" x14ac:dyDescent="0.35">
      <c r="B545" s="18"/>
    </row>
    <row r="546" spans="2:2" ht="15.5" x14ac:dyDescent="0.35">
      <c r="B546" s="18"/>
    </row>
    <row r="547" spans="2:2" ht="15.5" x14ac:dyDescent="0.35">
      <c r="B547" s="18"/>
    </row>
    <row r="548" spans="2:2" ht="15.5" x14ac:dyDescent="0.35">
      <c r="B548" s="18"/>
    </row>
    <row r="549" spans="2:2" ht="15.5" x14ac:dyDescent="0.35">
      <c r="B549" s="18"/>
    </row>
    <row r="550" spans="2:2" ht="15.5" x14ac:dyDescent="0.35">
      <c r="B550" s="18"/>
    </row>
    <row r="551" spans="2:2" ht="15.5" x14ac:dyDescent="0.35">
      <c r="B551" s="18"/>
    </row>
    <row r="552" spans="2:2" ht="15.5" x14ac:dyDescent="0.35">
      <c r="B552" s="18"/>
    </row>
    <row r="553" spans="2:2" ht="15.5" x14ac:dyDescent="0.35">
      <c r="B553" s="18"/>
    </row>
    <row r="554" spans="2:2" ht="15.5" x14ac:dyDescent="0.35">
      <c r="B554" s="18"/>
    </row>
    <row r="555" spans="2:2" ht="15.5" x14ac:dyDescent="0.35">
      <c r="B555" s="18"/>
    </row>
    <row r="556" spans="2:2" ht="15.5" x14ac:dyDescent="0.35">
      <c r="B556" s="18"/>
    </row>
    <row r="557" spans="2:2" ht="15.5" x14ac:dyDescent="0.35">
      <c r="B557" s="18"/>
    </row>
    <row r="558" spans="2:2" ht="15.5" x14ac:dyDescent="0.35">
      <c r="B558" s="18"/>
    </row>
    <row r="559" spans="2:2" ht="15.5" x14ac:dyDescent="0.35">
      <c r="B559" s="18"/>
    </row>
    <row r="560" spans="2:2" ht="15.5" x14ac:dyDescent="0.35">
      <c r="B560" s="18"/>
    </row>
    <row r="561" spans="2:2" ht="15.5" x14ac:dyDescent="0.35">
      <c r="B561" s="18"/>
    </row>
    <row r="562" spans="2:2" ht="15.5" x14ac:dyDescent="0.35">
      <c r="B562" s="18"/>
    </row>
    <row r="563" spans="2:2" ht="15.5" x14ac:dyDescent="0.35">
      <c r="B563" s="18"/>
    </row>
    <row r="564" spans="2:2" ht="15.5" x14ac:dyDescent="0.35">
      <c r="B564" s="18"/>
    </row>
    <row r="565" spans="2:2" ht="15.5" x14ac:dyDescent="0.35">
      <c r="B565" s="18"/>
    </row>
    <row r="566" spans="2:2" ht="15.5" x14ac:dyDescent="0.35">
      <c r="B566" s="18"/>
    </row>
    <row r="567" spans="2:2" ht="15.5" x14ac:dyDescent="0.35">
      <c r="B567" s="18"/>
    </row>
    <row r="568" spans="2:2" ht="15.5" x14ac:dyDescent="0.35">
      <c r="B568" s="18"/>
    </row>
    <row r="569" spans="2:2" ht="15.5" x14ac:dyDescent="0.35">
      <c r="B569" s="18"/>
    </row>
    <row r="570" spans="2:2" ht="15.5" x14ac:dyDescent="0.35">
      <c r="B570" s="18"/>
    </row>
    <row r="571" spans="2:2" ht="15.5" x14ac:dyDescent="0.35">
      <c r="B571" s="18"/>
    </row>
    <row r="572" spans="2:2" ht="15.5" x14ac:dyDescent="0.35">
      <c r="B572" s="18"/>
    </row>
    <row r="573" spans="2:2" ht="15.5" x14ac:dyDescent="0.35">
      <c r="B573" s="18"/>
    </row>
    <row r="574" spans="2:2" ht="15.5" x14ac:dyDescent="0.35">
      <c r="B574" s="18"/>
    </row>
    <row r="575" spans="2:2" ht="15.5" x14ac:dyDescent="0.35">
      <c r="B575" s="18"/>
    </row>
    <row r="576" spans="2:2" ht="15.5" x14ac:dyDescent="0.35">
      <c r="B576" s="18"/>
    </row>
    <row r="577" spans="2:2" ht="15.5" x14ac:dyDescent="0.35">
      <c r="B577" s="18"/>
    </row>
    <row r="578" spans="2:2" ht="15.5" x14ac:dyDescent="0.35">
      <c r="B578" s="18"/>
    </row>
    <row r="579" spans="2:2" ht="15.5" x14ac:dyDescent="0.35">
      <c r="B579" s="18"/>
    </row>
    <row r="580" spans="2:2" ht="15.5" x14ac:dyDescent="0.35">
      <c r="B580" s="18"/>
    </row>
    <row r="581" spans="2:2" ht="15.5" x14ac:dyDescent="0.35">
      <c r="B581" s="18"/>
    </row>
    <row r="582" spans="2:2" ht="15.5" x14ac:dyDescent="0.35">
      <c r="B582" s="18"/>
    </row>
    <row r="583" spans="2:2" ht="15.5" x14ac:dyDescent="0.35">
      <c r="B583" s="18"/>
    </row>
    <row r="584" spans="2:2" ht="15.5" x14ac:dyDescent="0.35">
      <c r="B584" s="18"/>
    </row>
    <row r="585" spans="2:2" ht="15.5" x14ac:dyDescent="0.35">
      <c r="B585" s="18"/>
    </row>
    <row r="586" spans="2:2" ht="15.5" x14ac:dyDescent="0.35">
      <c r="B586" s="18"/>
    </row>
    <row r="587" spans="2:2" ht="15.5" x14ac:dyDescent="0.35">
      <c r="B587" s="18"/>
    </row>
    <row r="588" spans="2:2" ht="15.5" x14ac:dyDescent="0.35">
      <c r="B588" s="18"/>
    </row>
    <row r="589" spans="2:2" ht="15.5" x14ac:dyDescent="0.35">
      <c r="B589" s="18"/>
    </row>
    <row r="590" spans="2:2" ht="15.5" x14ac:dyDescent="0.35">
      <c r="B590" s="18"/>
    </row>
    <row r="591" spans="2:2" ht="15.5" x14ac:dyDescent="0.35">
      <c r="B591" s="18"/>
    </row>
    <row r="592" spans="2:2" ht="15.5" x14ac:dyDescent="0.35">
      <c r="B592" s="18"/>
    </row>
    <row r="593" spans="2:2" ht="15.5" x14ac:dyDescent="0.35">
      <c r="B593" s="18"/>
    </row>
    <row r="594" spans="2:2" ht="15.5" x14ac:dyDescent="0.35">
      <c r="B594" s="18"/>
    </row>
    <row r="595" spans="2:2" ht="15.5" x14ac:dyDescent="0.35">
      <c r="B595" s="18"/>
    </row>
    <row r="596" spans="2:2" ht="15.5" x14ac:dyDescent="0.35">
      <c r="B596" s="18"/>
    </row>
    <row r="597" spans="2:2" ht="15.5" x14ac:dyDescent="0.35">
      <c r="B597" s="18"/>
    </row>
    <row r="598" spans="2:2" ht="15.5" x14ac:dyDescent="0.35">
      <c r="B598" s="18"/>
    </row>
    <row r="599" spans="2:2" ht="15.5" x14ac:dyDescent="0.35">
      <c r="B599" s="18"/>
    </row>
    <row r="600" spans="2:2" ht="15.5" x14ac:dyDescent="0.35">
      <c r="B600" s="18"/>
    </row>
    <row r="601" spans="2:2" ht="15.5" x14ac:dyDescent="0.35">
      <c r="B601" s="18"/>
    </row>
    <row r="602" spans="2:2" ht="15.5" x14ac:dyDescent="0.35">
      <c r="B602" s="18"/>
    </row>
    <row r="603" spans="2:2" ht="15.5" x14ac:dyDescent="0.35">
      <c r="B603" s="18"/>
    </row>
    <row r="604" spans="2:2" ht="15.5" x14ac:dyDescent="0.35">
      <c r="B604" s="18"/>
    </row>
    <row r="605" spans="2:2" ht="15.5" x14ac:dyDescent="0.35">
      <c r="B605" s="18"/>
    </row>
    <row r="606" spans="2:2" ht="15.5" x14ac:dyDescent="0.35">
      <c r="B606" s="18"/>
    </row>
    <row r="607" spans="2:2" ht="15.5" x14ac:dyDescent="0.35">
      <c r="B607" s="18"/>
    </row>
    <row r="608" spans="2:2" ht="15.5" x14ac:dyDescent="0.35">
      <c r="B608" s="18"/>
    </row>
    <row r="609" spans="2:2" ht="15.5" x14ac:dyDescent="0.35">
      <c r="B609" s="18"/>
    </row>
    <row r="610" spans="2:2" ht="15.5" x14ac:dyDescent="0.35">
      <c r="B610" s="18"/>
    </row>
    <row r="611" spans="2:2" ht="15.5" x14ac:dyDescent="0.35">
      <c r="B611" s="18"/>
    </row>
    <row r="612" spans="2:2" ht="15.5" x14ac:dyDescent="0.35">
      <c r="B612" s="18"/>
    </row>
    <row r="613" spans="2:2" ht="15.5" x14ac:dyDescent="0.35">
      <c r="B613" s="18"/>
    </row>
    <row r="614" spans="2:2" ht="15.5" x14ac:dyDescent="0.35">
      <c r="B614" s="18"/>
    </row>
    <row r="615" spans="2:2" ht="15.5" x14ac:dyDescent="0.35">
      <c r="B615" s="18"/>
    </row>
    <row r="616" spans="2:2" ht="15.5" x14ac:dyDescent="0.35">
      <c r="B616" s="18"/>
    </row>
    <row r="617" spans="2:2" ht="15.5" x14ac:dyDescent="0.35">
      <c r="B617" s="18"/>
    </row>
    <row r="618" spans="2:2" ht="15.5" x14ac:dyDescent="0.35">
      <c r="B618" s="18"/>
    </row>
    <row r="619" spans="2:2" ht="15.5" x14ac:dyDescent="0.35">
      <c r="B619" s="18"/>
    </row>
    <row r="620" spans="2:2" ht="15.5" x14ac:dyDescent="0.35">
      <c r="B620" s="18"/>
    </row>
    <row r="621" spans="2:2" ht="15.5" x14ac:dyDescent="0.35">
      <c r="B621" s="18"/>
    </row>
    <row r="622" spans="2:2" ht="15.5" x14ac:dyDescent="0.35">
      <c r="B622" s="18"/>
    </row>
    <row r="623" spans="2:2" ht="15.5" x14ac:dyDescent="0.35">
      <c r="B623" s="18"/>
    </row>
    <row r="624" spans="2:2" ht="15.5" x14ac:dyDescent="0.35">
      <c r="B624" s="18"/>
    </row>
    <row r="625" spans="2:2" ht="15.5" x14ac:dyDescent="0.35">
      <c r="B625" s="18"/>
    </row>
    <row r="626" spans="2:2" ht="15.5" x14ac:dyDescent="0.35">
      <c r="B626" s="18"/>
    </row>
    <row r="627" spans="2:2" ht="15.5" x14ac:dyDescent="0.35">
      <c r="B627" s="18"/>
    </row>
    <row r="628" spans="2:2" ht="15.5" x14ac:dyDescent="0.35">
      <c r="B628" s="18"/>
    </row>
    <row r="629" spans="2:2" ht="15.5" x14ac:dyDescent="0.35">
      <c r="B629" s="18"/>
    </row>
    <row r="630" spans="2:2" ht="15.5" x14ac:dyDescent="0.35">
      <c r="B630" s="18"/>
    </row>
    <row r="631" spans="2:2" ht="15.5" x14ac:dyDescent="0.35">
      <c r="B631" s="18"/>
    </row>
    <row r="632" spans="2:2" ht="15.5" x14ac:dyDescent="0.35">
      <c r="B632" s="18"/>
    </row>
    <row r="633" spans="2:2" ht="15.5" x14ac:dyDescent="0.35">
      <c r="B633" s="18"/>
    </row>
    <row r="634" spans="2:2" ht="15.5" x14ac:dyDescent="0.35">
      <c r="B634" s="18"/>
    </row>
    <row r="635" spans="2:2" ht="15.5" x14ac:dyDescent="0.35">
      <c r="B635" s="18"/>
    </row>
    <row r="636" spans="2:2" ht="15.5" x14ac:dyDescent="0.35">
      <c r="B636" s="18"/>
    </row>
    <row r="637" spans="2:2" ht="15.5" x14ac:dyDescent="0.35">
      <c r="B637" s="18"/>
    </row>
    <row r="638" spans="2:2" ht="15.5" x14ac:dyDescent="0.35">
      <c r="B638" s="18"/>
    </row>
    <row r="639" spans="2:2" ht="15.5" x14ac:dyDescent="0.35">
      <c r="B639" s="18"/>
    </row>
    <row r="640" spans="2:2" ht="15.5" x14ac:dyDescent="0.35">
      <c r="B640" s="18"/>
    </row>
    <row r="641" spans="2:2" ht="15.5" x14ac:dyDescent="0.35">
      <c r="B641" s="18"/>
    </row>
    <row r="642" spans="2:2" ht="15.5" x14ac:dyDescent="0.35">
      <c r="B642" s="18"/>
    </row>
    <row r="643" spans="2:2" ht="15.5" x14ac:dyDescent="0.35">
      <c r="B643" s="18"/>
    </row>
    <row r="644" spans="2:2" ht="15.5" x14ac:dyDescent="0.35">
      <c r="B644" s="18"/>
    </row>
    <row r="645" spans="2:2" ht="15.5" x14ac:dyDescent="0.35">
      <c r="B645" s="18"/>
    </row>
    <row r="646" spans="2:2" ht="15.5" x14ac:dyDescent="0.35">
      <c r="B646" s="18"/>
    </row>
    <row r="647" spans="2:2" ht="15.5" x14ac:dyDescent="0.35">
      <c r="B647" s="18"/>
    </row>
    <row r="648" spans="2:2" ht="15.5" x14ac:dyDescent="0.35">
      <c r="B648" s="18"/>
    </row>
    <row r="649" spans="2:2" ht="15.5" x14ac:dyDescent="0.35">
      <c r="B649" s="18"/>
    </row>
    <row r="650" spans="2:2" ht="15.5" x14ac:dyDescent="0.35">
      <c r="B650" s="18"/>
    </row>
    <row r="651" spans="2:2" ht="15.5" x14ac:dyDescent="0.35">
      <c r="B651" s="18"/>
    </row>
    <row r="652" spans="2:2" ht="15.5" x14ac:dyDescent="0.35">
      <c r="B652" s="18"/>
    </row>
    <row r="653" spans="2:2" ht="15.5" x14ac:dyDescent="0.35">
      <c r="B653" s="18"/>
    </row>
    <row r="654" spans="2:2" ht="15.5" x14ac:dyDescent="0.35">
      <c r="B654" s="18"/>
    </row>
    <row r="655" spans="2:2" ht="15.5" x14ac:dyDescent="0.35">
      <c r="B655" s="18"/>
    </row>
    <row r="656" spans="2:2" ht="15.5" x14ac:dyDescent="0.35">
      <c r="B656" s="18"/>
    </row>
    <row r="657" spans="2:2" ht="15.5" x14ac:dyDescent="0.35">
      <c r="B657" s="18"/>
    </row>
    <row r="658" spans="2:2" ht="15.5" x14ac:dyDescent="0.35">
      <c r="B658" s="18"/>
    </row>
    <row r="659" spans="2:2" ht="15.5" x14ac:dyDescent="0.35">
      <c r="B659" s="18"/>
    </row>
    <row r="660" spans="2:2" ht="15.5" x14ac:dyDescent="0.35">
      <c r="B660" s="18"/>
    </row>
    <row r="661" spans="2:2" ht="15.5" x14ac:dyDescent="0.35">
      <c r="B661" s="18"/>
    </row>
    <row r="662" spans="2:2" ht="15.5" x14ac:dyDescent="0.35">
      <c r="B662" s="18"/>
    </row>
    <row r="663" spans="2:2" ht="15.5" x14ac:dyDescent="0.35">
      <c r="B663" s="18"/>
    </row>
    <row r="664" spans="2:2" ht="15.5" x14ac:dyDescent="0.35">
      <c r="B664" s="18"/>
    </row>
    <row r="665" spans="2:2" ht="15.5" x14ac:dyDescent="0.35">
      <c r="B665" s="18"/>
    </row>
    <row r="666" spans="2:2" ht="15.5" x14ac:dyDescent="0.35">
      <c r="B666" s="18"/>
    </row>
    <row r="667" spans="2:2" ht="15.5" x14ac:dyDescent="0.35">
      <c r="B667" s="18"/>
    </row>
    <row r="668" spans="2:2" ht="15.5" x14ac:dyDescent="0.35">
      <c r="B668" s="18"/>
    </row>
    <row r="669" spans="2:2" ht="15.5" x14ac:dyDescent="0.35">
      <c r="B669" s="18"/>
    </row>
    <row r="670" spans="2:2" ht="15.5" x14ac:dyDescent="0.35">
      <c r="B670" s="18"/>
    </row>
    <row r="671" spans="2:2" ht="15.5" x14ac:dyDescent="0.35">
      <c r="B671" s="18"/>
    </row>
    <row r="672" spans="2:2" ht="15.5" x14ac:dyDescent="0.35">
      <c r="B672" s="18"/>
    </row>
    <row r="673" spans="2:2" ht="15.5" x14ac:dyDescent="0.35">
      <c r="B673" s="18"/>
    </row>
    <row r="674" spans="2:2" ht="15.5" x14ac:dyDescent="0.35">
      <c r="B674" s="18"/>
    </row>
    <row r="675" spans="2:2" ht="15.5" x14ac:dyDescent="0.35">
      <c r="B675" s="18"/>
    </row>
    <row r="676" spans="2:2" ht="15.5" x14ac:dyDescent="0.35">
      <c r="B676" s="18"/>
    </row>
    <row r="677" spans="2:2" ht="15.5" x14ac:dyDescent="0.35">
      <c r="B677" s="18"/>
    </row>
    <row r="678" spans="2:2" ht="15.5" x14ac:dyDescent="0.35">
      <c r="B678" s="18"/>
    </row>
    <row r="679" spans="2:2" ht="15.5" x14ac:dyDescent="0.35">
      <c r="B679" s="18"/>
    </row>
    <row r="680" spans="2:2" ht="15.5" x14ac:dyDescent="0.35">
      <c r="B680" s="18"/>
    </row>
    <row r="681" spans="2:2" ht="15.5" x14ac:dyDescent="0.35">
      <c r="B681" s="18"/>
    </row>
    <row r="682" spans="2:2" ht="15.5" x14ac:dyDescent="0.35">
      <c r="B682" s="18"/>
    </row>
    <row r="683" spans="2:2" ht="15.5" x14ac:dyDescent="0.35">
      <c r="B683" s="18"/>
    </row>
    <row r="684" spans="2:2" ht="15.5" x14ac:dyDescent="0.35">
      <c r="B684" s="18"/>
    </row>
    <row r="685" spans="2:2" ht="15.5" x14ac:dyDescent="0.35">
      <c r="B685" s="18"/>
    </row>
    <row r="686" spans="2:2" ht="15.5" x14ac:dyDescent="0.35">
      <c r="B686" s="18"/>
    </row>
    <row r="687" spans="2:2" ht="15.5" x14ac:dyDescent="0.35">
      <c r="B687" s="18"/>
    </row>
    <row r="688" spans="2:2" ht="15.5" x14ac:dyDescent="0.35">
      <c r="B688" s="18"/>
    </row>
    <row r="689" spans="2:2" ht="15.5" x14ac:dyDescent="0.35">
      <c r="B689" s="18"/>
    </row>
    <row r="690" spans="2:2" ht="15.5" x14ac:dyDescent="0.35">
      <c r="B690" s="18"/>
    </row>
    <row r="691" spans="2:2" ht="15.5" x14ac:dyDescent="0.35">
      <c r="B691" s="18"/>
    </row>
    <row r="692" spans="2:2" ht="15.5" x14ac:dyDescent="0.35">
      <c r="B692" s="18"/>
    </row>
    <row r="693" spans="2:2" ht="15.5" x14ac:dyDescent="0.35">
      <c r="B693" s="18"/>
    </row>
    <row r="694" spans="2:2" ht="15.5" x14ac:dyDescent="0.35">
      <c r="B694" s="18"/>
    </row>
    <row r="695" spans="2:2" ht="15.5" x14ac:dyDescent="0.35">
      <c r="B695" s="18"/>
    </row>
    <row r="696" spans="2:2" ht="15.5" x14ac:dyDescent="0.35">
      <c r="B696" s="18"/>
    </row>
    <row r="697" spans="2:2" ht="15.5" x14ac:dyDescent="0.35">
      <c r="B697" s="18"/>
    </row>
    <row r="698" spans="2:2" ht="15.5" x14ac:dyDescent="0.35">
      <c r="B698" s="18"/>
    </row>
    <row r="699" spans="2:2" ht="15.5" x14ac:dyDescent="0.35">
      <c r="B699" s="18"/>
    </row>
    <row r="700" spans="2:2" ht="15.5" x14ac:dyDescent="0.35">
      <c r="B700" s="18"/>
    </row>
    <row r="701" spans="2:2" ht="15.5" x14ac:dyDescent="0.35">
      <c r="B701" s="18"/>
    </row>
    <row r="702" spans="2:2" ht="15.5" x14ac:dyDescent="0.35">
      <c r="B702" s="18"/>
    </row>
    <row r="703" spans="2:2" ht="15.5" x14ac:dyDescent="0.35">
      <c r="B703" s="18"/>
    </row>
    <row r="704" spans="2:2" ht="15.5" x14ac:dyDescent="0.35">
      <c r="B704" s="18"/>
    </row>
    <row r="705" spans="2:2" ht="15.5" x14ac:dyDescent="0.35">
      <c r="B705" s="18"/>
    </row>
    <row r="706" spans="2:2" ht="15.5" x14ac:dyDescent="0.35">
      <c r="B706" s="18"/>
    </row>
    <row r="707" spans="2:2" ht="15.5" x14ac:dyDescent="0.35">
      <c r="B707" s="18"/>
    </row>
    <row r="708" spans="2:2" ht="15.5" x14ac:dyDescent="0.35">
      <c r="B708" s="18"/>
    </row>
    <row r="709" spans="2:2" ht="15.5" x14ac:dyDescent="0.35">
      <c r="B709" s="18"/>
    </row>
    <row r="710" spans="2:2" ht="15.5" x14ac:dyDescent="0.35">
      <c r="B710" s="18"/>
    </row>
    <row r="711" spans="2:2" ht="15.5" x14ac:dyDescent="0.35">
      <c r="B711" s="18"/>
    </row>
    <row r="712" spans="2:2" ht="15.5" x14ac:dyDescent="0.35">
      <c r="B712" s="18"/>
    </row>
    <row r="713" spans="2:2" ht="15.5" x14ac:dyDescent="0.35">
      <c r="B713" s="18"/>
    </row>
    <row r="714" spans="2:2" ht="15.5" x14ac:dyDescent="0.35">
      <c r="B714" s="18"/>
    </row>
    <row r="715" spans="2:2" ht="15.5" x14ac:dyDescent="0.35">
      <c r="B715" s="18"/>
    </row>
    <row r="716" spans="2:2" ht="15.5" x14ac:dyDescent="0.35">
      <c r="B716" s="18"/>
    </row>
    <row r="717" spans="2:2" ht="15.5" x14ac:dyDescent="0.35">
      <c r="B717" s="18"/>
    </row>
    <row r="718" spans="2:2" ht="15.5" x14ac:dyDescent="0.35">
      <c r="B718" s="18"/>
    </row>
    <row r="719" spans="2:2" ht="15.5" x14ac:dyDescent="0.35">
      <c r="B719" s="18"/>
    </row>
    <row r="720" spans="2:2" ht="15.5" x14ac:dyDescent="0.35">
      <c r="B720" s="18"/>
    </row>
    <row r="721" spans="2:2" ht="15.5" x14ac:dyDescent="0.35">
      <c r="B721" s="18"/>
    </row>
    <row r="722" spans="2:2" ht="15.5" x14ac:dyDescent="0.35">
      <c r="B722" s="18"/>
    </row>
    <row r="723" spans="2:2" ht="15.5" x14ac:dyDescent="0.35">
      <c r="B723" s="18"/>
    </row>
    <row r="724" spans="2:2" ht="15.5" x14ac:dyDescent="0.35">
      <c r="B724" s="18"/>
    </row>
    <row r="725" spans="2:2" ht="15.5" x14ac:dyDescent="0.35">
      <c r="B725" s="18"/>
    </row>
    <row r="726" spans="2:2" ht="15.5" x14ac:dyDescent="0.35">
      <c r="B726" s="18"/>
    </row>
    <row r="727" spans="2:2" ht="15.5" x14ac:dyDescent="0.35">
      <c r="B727" s="18"/>
    </row>
    <row r="728" spans="2:2" ht="15.5" x14ac:dyDescent="0.35">
      <c r="B728" s="18"/>
    </row>
    <row r="729" spans="2:2" ht="15.5" x14ac:dyDescent="0.35">
      <c r="B729" s="18"/>
    </row>
    <row r="730" spans="2:2" ht="15.5" x14ac:dyDescent="0.35">
      <c r="B730" s="18"/>
    </row>
    <row r="731" spans="2:2" ht="15.5" x14ac:dyDescent="0.35">
      <c r="B731" s="18"/>
    </row>
    <row r="732" spans="2:2" ht="15.5" x14ac:dyDescent="0.35">
      <c r="B732" s="18"/>
    </row>
    <row r="733" spans="2:2" ht="15.5" x14ac:dyDescent="0.35">
      <c r="B733" s="18"/>
    </row>
    <row r="734" spans="2:2" ht="15.5" x14ac:dyDescent="0.35">
      <c r="B734" s="18"/>
    </row>
    <row r="735" spans="2:2" ht="15.5" x14ac:dyDescent="0.35">
      <c r="B735" s="18"/>
    </row>
    <row r="736" spans="2:2" ht="15.5" x14ac:dyDescent="0.35">
      <c r="B736" s="18"/>
    </row>
    <row r="737" spans="2:48" ht="15.5" x14ac:dyDescent="0.35">
      <c r="B737" s="18"/>
    </row>
    <row r="738" spans="2:48" ht="15.5" x14ac:dyDescent="0.35">
      <c r="B738" s="18"/>
    </row>
    <row r="739" spans="2:48" ht="15.5" x14ac:dyDescent="0.35">
      <c r="B739" s="18"/>
    </row>
    <row r="740" spans="2:48" ht="15.5" x14ac:dyDescent="0.35">
      <c r="B740" s="18"/>
    </row>
    <row r="749" spans="2:48" x14ac:dyDescent="0.35">
      <c r="B749"/>
      <c r="C749"/>
      <c r="D749"/>
      <c r="E749"/>
      <c r="F749"/>
      <c r="G749"/>
      <c r="H749"/>
      <c r="I749"/>
      <c r="J749"/>
      <c r="K749"/>
      <c r="L749"/>
      <c r="M749"/>
      <c r="N749"/>
      <c r="O749"/>
      <c r="P749"/>
      <c r="Q749"/>
      <c r="R749"/>
      <c r="S749"/>
      <c r="T749"/>
      <c r="U749"/>
      <c r="W749"/>
      <c r="X749"/>
      <c r="Y749"/>
      <c r="Z749"/>
      <c r="AA749"/>
      <c r="AB749"/>
      <c r="AC749"/>
      <c r="AD749"/>
      <c r="AE749"/>
      <c r="AF749"/>
      <c r="AG749"/>
      <c r="AH749"/>
      <c r="AI749"/>
      <c r="AJ749"/>
      <c r="AK749"/>
      <c r="AL749"/>
      <c r="AM749"/>
      <c r="AN749"/>
      <c r="AO749"/>
      <c r="AP749"/>
      <c r="AQ749"/>
      <c r="AR749"/>
      <c r="AS749"/>
      <c r="AT749"/>
      <c r="AU749"/>
      <c r="AV749"/>
    </row>
    <row r="750" spans="2:48" x14ac:dyDescent="0.35">
      <c r="B750"/>
      <c r="C750"/>
      <c r="D750"/>
      <c r="E750"/>
      <c r="F750"/>
      <c r="G750"/>
      <c r="H750"/>
      <c r="I750"/>
      <c r="J750"/>
      <c r="K750"/>
      <c r="L750"/>
      <c r="M750"/>
      <c r="N750"/>
      <c r="O750"/>
      <c r="P750"/>
      <c r="Q750"/>
      <c r="R750"/>
      <c r="S750"/>
      <c r="T750"/>
      <c r="U750"/>
      <c r="W750"/>
      <c r="X750"/>
      <c r="Y750"/>
      <c r="Z750"/>
      <c r="AA750"/>
      <c r="AB750"/>
      <c r="AC750"/>
      <c r="AD750"/>
      <c r="AE750"/>
      <c r="AF750"/>
      <c r="AG750"/>
      <c r="AH750"/>
      <c r="AI750"/>
      <c r="AJ750"/>
      <c r="AK750"/>
      <c r="AL750"/>
      <c r="AM750"/>
      <c r="AN750"/>
      <c r="AO750"/>
      <c r="AP750"/>
      <c r="AQ750"/>
      <c r="AR750"/>
      <c r="AS750"/>
      <c r="AT750"/>
      <c r="AU750"/>
      <c r="AV750"/>
    </row>
    <row r="751" spans="2:48" x14ac:dyDescent="0.35">
      <c r="B751"/>
      <c r="C751"/>
      <c r="D751"/>
      <c r="E751"/>
      <c r="F751"/>
      <c r="G751"/>
      <c r="H751"/>
      <c r="I751"/>
      <c r="J751"/>
      <c r="K751"/>
      <c r="L751"/>
      <c r="M751"/>
      <c r="N751"/>
      <c r="O751"/>
      <c r="P751"/>
      <c r="Q751"/>
      <c r="R751"/>
      <c r="S751"/>
      <c r="T751"/>
      <c r="U751"/>
      <c r="W751"/>
      <c r="X751"/>
      <c r="Y751"/>
      <c r="Z751"/>
      <c r="AA751"/>
      <c r="AB751"/>
      <c r="AC751"/>
      <c r="AD751"/>
      <c r="AE751"/>
      <c r="AF751"/>
      <c r="AG751"/>
      <c r="AH751"/>
      <c r="AI751"/>
      <c r="AJ751"/>
      <c r="AK751"/>
      <c r="AL751"/>
      <c r="AM751"/>
      <c r="AN751"/>
      <c r="AO751"/>
      <c r="AP751"/>
      <c r="AQ751"/>
      <c r="AR751"/>
      <c r="AS751"/>
      <c r="AT751"/>
      <c r="AU751"/>
      <c r="AV751"/>
    </row>
    <row r="752" spans="2:48" x14ac:dyDescent="0.35">
      <c r="B752" s="14"/>
      <c r="C752" s="14"/>
      <c r="D752" s="14"/>
      <c r="E752" s="14"/>
      <c r="F752" s="14"/>
      <c r="G752" s="14"/>
      <c r="H752" s="14"/>
      <c r="I752" s="14"/>
      <c r="J752" s="14"/>
      <c r="K752" s="14"/>
      <c r="L752" s="14"/>
      <c r="M752" s="14"/>
      <c r="N752" s="14"/>
      <c r="O752" s="14"/>
      <c r="P752" s="14"/>
      <c r="Q752" s="14"/>
      <c r="R752" s="14"/>
      <c r="S752" s="14"/>
      <c r="T752" s="14"/>
      <c r="U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row>
    <row r="753" spans="2:48" x14ac:dyDescent="0.35">
      <c r="B753" s="14"/>
      <c r="C753" s="14"/>
      <c r="D753" s="14"/>
      <c r="E753" s="14"/>
      <c r="F753" s="14"/>
      <c r="G753" s="14"/>
      <c r="H753" s="14"/>
      <c r="I753" s="14"/>
      <c r="J753" s="14"/>
      <c r="K753" s="14"/>
      <c r="L753" s="14"/>
      <c r="M753" s="14"/>
      <c r="N753" s="14"/>
      <c r="O753" s="14"/>
      <c r="P753" s="14"/>
      <c r="Q753" s="14"/>
      <c r="R753" s="14"/>
      <c r="S753" s="14"/>
      <c r="T753" s="14"/>
      <c r="U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row>
    <row r="754" spans="2:48" x14ac:dyDescent="0.35">
      <c r="B754" s="14"/>
      <c r="C754" s="14"/>
      <c r="D754" s="14"/>
      <c r="E754" s="14"/>
      <c r="F754" s="14"/>
      <c r="G754" s="14"/>
      <c r="H754" s="14"/>
      <c r="I754" s="14"/>
      <c r="J754" s="14"/>
      <c r="K754" s="14"/>
      <c r="L754" s="14"/>
      <c r="M754" s="14"/>
      <c r="N754" s="14"/>
      <c r="O754" s="14"/>
      <c r="P754" s="14"/>
      <c r="Q754" s="14"/>
      <c r="R754" s="14"/>
      <c r="S754" s="14"/>
      <c r="T754" s="14"/>
      <c r="U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row>
    <row r="763" spans="2:48" x14ac:dyDescent="0.35">
      <c r="B763"/>
      <c r="C763"/>
      <c r="D763"/>
      <c r="E763"/>
      <c r="F763"/>
      <c r="G763"/>
      <c r="H763"/>
      <c r="I763"/>
      <c r="J763"/>
      <c r="K763"/>
      <c r="L763"/>
      <c r="M763"/>
      <c r="N763"/>
      <c r="O763"/>
      <c r="P763"/>
      <c r="Q763"/>
      <c r="R763"/>
      <c r="S763"/>
      <c r="T763"/>
      <c r="U763"/>
      <c r="W763"/>
      <c r="X763"/>
      <c r="Y763"/>
      <c r="Z763"/>
      <c r="AA763"/>
      <c r="AB763"/>
      <c r="AC763"/>
      <c r="AD763"/>
      <c r="AE763"/>
      <c r="AF763"/>
      <c r="AG763"/>
      <c r="AH763"/>
      <c r="AI763"/>
      <c r="AJ763"/>
      <c r="AK763"/>
      <c r="AL763"/>
      <c r="AM763"/>
      <c r="AN763"/>
      <c r="AO763"/>
      <c r="AP763"/>
      <c r="AQ763"/>
      <c r="AR763"/>
      <c r="AS763"/>
      <c r="AT763"/>
      <c r="AU763"/>
      <c r="AV763"/>
    </row>
    <row r="764" spans="2:48" x14ac:dyDescent="0.35">
      <c r="B764"/>
      <c r="C764"/>
      <c r="D764"/>
      <c r="E764"/>
      <c r="F764"/>
      <c r="G764"/>
      <c r="H764"/>
      <c r="I764"/>
      <c r="J764"/>
      <c r="K764"/>
      <c r="L764"/>
      <c r="M764"/>
      <c r="N764"/>
      <c r="O764"/>
      <c r="P764"/>
      <c r="Q764"/>
      <c r="R764"/>
      <c r="S764"/>
      <c r="T764"/>
      <c r="U764"/>
      <c r="W764"/>
      <c r="X764"/>
      <c r="Y764"/>
      <c r="Z764"/>
      <c r="AA764"/>
      <c r="AB764"/>
      <c r="AC764"/>
      <c r="AD764"/>
      <c r="AE764"/>
      <c r="AF764"/>
      <c r="AG764"/>
      <c r="AH764"/>
      <c r="AI764"/>
      <c r="AJ764"/>
      <c r="AK764"/>
      <c r="AL764"/>
      <c r="AM764"/>
      <c r="AN764"/>
      <c r="AO764"/>
      <c r="AP764"/>
      <c r="AQ764"/>
      <c r="AR764"/>
      <c r="AS764"/>
      <c r="AT764"/>
      <c r="AU764"/>
      <c r="AV764"/>
    </row>
    <row r="765" spans="2:48" x14ac:dyDescent="0.35">
      <c r="B765"/>
      <c r="C765"/>
      <c r="D765"/>
      <c r="E765"/>
      <c r="F765"/>
      <c r="G765"/>
      <c r="H765"/>
      <c r="I765"/>
      <c r="J765"/>
      <c r="K765"/>
      <c r="L765"/>
      <c r="M765"/>
      <c r="N765"/>
      <c r="O765"/>
      <c r="P765"/>
      <c r="Q765"/>
      <c r="R765"/>
      <c r="S765"/>
      <c r="T765"/>
      <c r="U765"/>
      <c r="W765"/>
      <c r="X765"/>
      <c r="Y765"/>
      <c r="Z765"/>
      <c r="AA765"/>
      <c r="AB765"/>
      <c r="AC765"/>
      <c r="AD765"/>
      <c r="AE765"/>
      <c r="AF765"/>
      <c r="AG765"/>
      <c r="AH765"/>
      <c r="AI765"/>
      <c r="AJ765"/>
      <c r="AK765"/>
      <c r="AL765"/>
      <c r="AM765"/>
      <c r="AN765"/>
      <c r="AO765"/>
      <c r="AP765"/>
      <c r="AQ765"/>
      <c r="AR765"/>
      <c r="AS765"/>
      <c r="AT765"/>
      <c r="AU765"/>
      <c r="AV765"/>
    </row>
    <row r="766" spans="2:48" x14ac:dyDescent="0.35">
      <c r="B766" s="14"/>
      <c r="C766" s="14"/>
      <c r="D766" s="14"/>
      <c r="E766" s="14"/>
      <c r="F766" s="14"/>
      <c r="G766" s="14"/>
      <c r="H766" s="14"/>
      <c r="I766" s="14"/>
      <c r="J766" s="14"/>
      <c r="K766" s="14"/>
      <c r="L766" s="14"/>
      <c r="M766" s="14"/>
      <c r="N766" s="14"/>
      <c r="O766" s="14"/>
      <c r="P766" s="14"/>
      <c r="Q766" s="14"/>
      <c r="R766" s="14"/>
      <c r="S766" s="14"/>
      <c r="T766" s="14"/>
      <c r="U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row>
    <row r="767" spans="2:48" x14ac:dyDescent="0.35">
      <c r="B767" s="14"/>
      <c r="C767" s="14"/>
      <c r="D767" s="14"/>
      <c r="E767" s="14"/>
      <c r="F767" s="14"/>
      <c r="G767" s="14"/>
      <c r="H767" s="14"/>
      <c r="I767" s="14"/>
      <c r="J767" s="14"/>
      <c r="K767" s="14"/>
      <c r="L767" s="14"/>
      <c r="M767" s="14"/>
      <c r="N767" s="14"/>
      <c r="O767" s="14"/>
      <c r="P767" s="14"/>
      <c r="Q767" s="14"/>
      <c r="R767" s="14"/>
      <c r="S767" s="14"/>
      <c r="T767" s="14"/>
      <c r="U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row>
    <row r="768" spans="2:48" x14ac:dyDescent="0.35">
      <c r="B768" s="14"/>
      <c r="C768" s="14"/>
      <c r="D768" s="14"/>
      <c r="E768" s="14"/>
      <c r="F768" s="14"/>
      <c r="G768" s="14"/>
      <c r="H768" s="14"/>
      <c r="I768" s="14"/>
      <c r="J768" s="14"/>
      <c r="K768" s="14"/>
      <c r="L768" s="14"/>
      <c r="M768" s="14"/>
      <c r="N768" s="14"/>
      <c r="O768" s="14"/>
      <c r="P768" s="14"/>
      <c r="Q768" s="14"/>
      <c r="R768" s="14"/>
      <c r="S768" s="14"/>
      <c r="T768" s="14"/>
      <c r="U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row>
    <row r="777" spans="2:48" x14ac:dyDescent="0.35">
      <c r="B777"/>
      <c r="C777"/>
      <c r="D777"/>
      <c r="E777"/>
      <c r="F777"/>
      <c r="G777"/>
      <c r="H777"/>
      <c r="I777"/>
      <c r="J777"/>
      <c r="K777"/>
      <c r="L777"/>
      <c r="M777"/>
      <c r="N777"/>
      <c r="O777"/>
      <c r="P777"/>
      <c r="Q777"/>
      <c r="R777"/>
      <c r="S777"/>
      <c r="T777"/>
      <c r="U777"/>
      <c r="W777"/>
      <c r="X777"/>
      <c r="Y777"/>
      <c r="Z777"/>
      <c r="AA777"/>
      <c r="AB777"/>
      <c r="AC777"/>
      <c r="AD777"/>
      <c r="AE777"/>
      <c r="AF777"/>
      <c r="AG777"/>
      <c r="AH777"/>
      <c r="AI777"/>
      <c r="AJ777"/>
      <c r="AK777"/>
      <c r="AL777"/>
      <c r="AM777"/>
      <c r="AN777"/>
      <c r="AO777"/>
      <c r="AP777"/>
      <c r="AQ777"/>
      <c r="AR777"/>
      <c r="AS777"/>
      <c r="AT777"/>
      <c r="AU777"/>
      <c r="AV777"/>
    </row>
    <row r="778" spans="2:48" x14ac:dyDescent="0.35">
      <c r="B778"/>
      <c r="C778"/>
      <c r="D778"/>
      <c r="E778"/>
      <c r="F778"/>
      <c r="G778"/>
      <c r="H778"/>
      <c r="I778"/>
      <c r="J778"/>
      <c r="K778"/>
      <c r="L778"/>
      <c r="M778"/>
      <c r="N778"/>
      <c r="O778"/>
      <c r="P778"/>
      <c r="Q778"/>
      <c r="R778"/>
      <c r="S778"/>
      <c r="T778"/>
      <c r="U778"/>
      <c r="W778"/>
      <c r="X778"/>
      <c r="Y778"/>
      <c r="Z778"/>
      <c r="AA778"/>
      <c r="AB778"/>
      <c r="AC778"/>
      <c r="AD778"/>
      <c r="AE778"/>
      <c r="AF778"/>
      <c r="AG778"/>
      <c r="AH778"/>
      <c r="AI778"/>
      <c r="AJ778"/>
      <c r="AK778"/>
      <c r="AL778"/>
      <c r="AM778"/>
      <c r="AN778"/>
      <c r="AO778"/>
      <c r="AP778"/>
      <c r="AQ778"/>
      <c r="AR778"/>
      <c r="AS778"/>
      <c r="AT778"/>
      <c r="AU778"/>
      <c r="AV778"/>
    </row>
    <row r="779" spans="2:48" x14ac:dyDescent="0.35">
      <c r="B779"/>
      <c r="C779"/>
      <c r="D779"/>
      <c r="E779"/>
      <c r="F779"/>
      <c r="G779"/>
      <c r="H779"/>
      <c r="I779"/>
      <c r="J779"/>
      <c r="K779"/>
      <c r="L779"/>
      <c r="M779"/>
      <c r="N779"/>
      <c r="O779"/>
      <c r="P779"/>
      <c r="Q779"/>
      <c r="R779"/>
      <c r="S779"/>
      <c r="T779"/>
      <c r="U779"/>
      <c r="W779"/>
      <c r="X779"/>
      <c r="Y779"/>
      <c r="Z779"/>
      <c r="AA779"/>
      <c r="AB779"/>
      <c r="AC779"/>
      <c r="AD779"/>
      <c r="AE779"/>
      <c r="AF779"/>
      <c r="AG779"/>
      <c r="AH779"/>
      <c r="AI779"/>
      <c r="AJ779"/>
      <c r="AK779"/>
      <c r="AL779"/>
      <c r="AM779"/>
      <c r="AN779"/>
      <c r="AO779"/>
      <c r="AP779"/>
      <c r="AQ779"/>
      <c r="AR779"/>
      <c r="AS779"/>
      <c r="AT779"/>
      <c r="AU779"/>
      <c r="AV779"/>
    </row>
    <row r="780" spans="2:48" x14ac:dyDescent="0.35">
      <c r="B780" s="14"/>
      <c r="C780" s="14"/>
      <c r="D780" s="14"/>
      <c r="E780" s="14"/>
      <c r="F780" s="14"/>
      <c r="G780" s="14"/>
      <c r="H780" s="14"/>
      <c r="I780" s="14"/>
      <c r="J780" s="14"/>
      <c r="K780" s="14"/>
      <c r="L780" s="14"/>
      <c r="M780" s="14"/>
      <c r="N780" s="14"/>
      <c r="O780" s="14"/>
      <c r="P780" s="14"/>
      <c r="Q780" s="14"/>
      <c r="R780" s="14"/>
      <c r="S780" s="14"/>
      <c r="T780" s="14"/>
      <c r="U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row>
    <row r="781" spans="2:48" x14ac:dyDescent="0.35">
      <c r="B781" s="14"/>
      <c r="C781" s="14"/>
      <c r="D781" s="14"/>
      <c r="E781" s="14"/>
      <c r="F781" s="14"/>
      <c r="G781" s="14"/>
      <c r="H781" s="14"/>
      <c r="I781" s="14"/>
      <c r="J781" s="14"/>
      <c r="K781" s="14"/>
      <c r="L781" s="14"/>
      <c r="M781" s="14"/>
      <c r="N781" s="14"/>
      <c r="O781" s="14"/>
      <c r="P781" s="14"/>
      <c r="Q781" s="14"/>
      <c r="R781" s="14"/>
      <c r="S781" s="14"/>
      <c r="T781" s="14"/>
      <c r="U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row>
    <row r="782" spans="2:48" x14ac:dyDescent="0.35">
      <c r="B782" s="14"/>
      <c r="C782" s="14"/>
      <c r="D782" s="14"/>
      <c r="E782" s="14"/>
      <c r="F782" s="14"/>
      <c r="G782" s="14"/>
      <c r="H782" s="14"/>
      <c r="I782" s="14"/>
      <c r="J782" s="14"/>
      <c r="K782" s="14"/>
      <c r="L782" s="14"/>
      <c r="M782" s="14"/>
      <c r="N782" s="14"/>
      <c r="O782" s="14"/>
      <c r="P782" s="14"/>
      <c r="Q782" s="14"/>
      <c r="R782" s="14"/>
      <c r="S782" s="14"/>
      <c r="T782" s="14"/>
      <c r="U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row>
    <row r="791" spans="2:48" x14ac:dyDescent="0.35">
      <c r="B791"/>
      <c r="C791"/>
      <c r="D791"/>
      <c r="E791"/>
      <c r="F791"/>
      <c r="G791"/>
      <c r="H791"/>
      <c r="I791"/>
      <c r="J791"/>
      <c r="K791"/>
      <c r="L791"/>
      <c r="M791"/>
      <c r="N791"/>
      <c r="O791"/>
      <c r="P791"/>
      <c r="Q791"/>
      <c r="R791"/>
      <c r="S791"/>
      <c r="T791"/>
      <c r="U791"/>
      <c r="W791"/>
      <c r="X791"/>
      <c r="Y791"/>
      <c r="Z791"/>
      <c r="AA791"/>
      <c r="AB791"/>
      <c r="AC791"/>
      <c r="AD791"/>
      <c r="AE791"/>
      <c r="AF791"/>
      <c r="AG791"/>
      <c r="AH791"/>
      <c r="AI791"/>
      <c r="AJ791"/>
      <c r="AK791"/>
      <c r="AL791"/>
      <c r="AM791"/>
      <c r="AN791"/>
      <c r="AO791"/>
      <c r="AP791"/>
      <c r="AQ791"/>
      <c r="AR791"/>
      <c r="AS791"/>
      <c r="AT791"/>
      <c r="AU791"/>
      <c r="AV791"/>
    </row>
    <row r="792" spans="2:48" x14ac:dyDescent="0.35">
      <c r="B792"/>
      <c r="C792"/>
      <c r="D792"/>
      <c r="E792"/>
      <c r="F792"/>
      <c r="G792"/>
      <c r="H792"/>
      <c r="I792"/>
      <c r="J792"/>
      <c r="K792"/>
      <c r="L792"/>
      <c r="M792"/>
      <c r="N792"/>
      <c r="O792"/>
      <c r="P792"/>
      <c r="Q792"/>
      <c r="R792"/>
      <c r="S792"/>
      <c r="T792"/>
      <c r="U792"/>
      <c r="W792"/>
      <c r="X792"/>
      <c r="Y792"/>
      <c r="Z792"/>
      <c r="AA792"/>
      <c r="AB792"/>
      <c r="AC792"/>
      <c r="AD792"/>
      <c r="AE792"/>
      <c r="AF792"/>
      <c r="AG792"/>
      <c r="AH792"/>
      <c r="AI792"/>
      <c r="AJ792"/>
      <c r="AK792"/>
      <c r="AL792"/>
      <c r="AM792"/>
      <c r="AN792"/>
      <c r="AO792"/>
      <c r="AP792"/>
      <c r="AQ792"/>
      <c r="AR792"/>
      <c r="AS792"/>
      <c r="AT792"/>
      <c r="AU792"/>
      <c r="AV792"/>
    </row>
    <row r="793" spans="2:48" x14ac:dyDescent="0.35">
      <c r="B793"/>
      <c r="C793"/>
      <c r="D793"/>
      <c r="E793"/>
      <c r="F793"/>
      <c r="G793"/>
      <c r="H793"/>
      <c r="I793"/>
      <c r="J793"/>
      <c r="K793"/>
      <c r="L793"/>
      <c r="M793"/>
      <c r="N793"/>
      <c r="O793"/>
      <c r="P793"/>
      <c r="Q793"/>
      <c r="R793"/>
      <c r="S793"/>
      <c r="T793"/>
      <c r="U793"/>
      <c r="W793"/>
      <c r="X793"/>
      <c r="Y793"/>
      <c r="Z793"/>
      <c r="AA793"/>
      <c r="AB793"/>
      <c r="AC793"/>
      <c r="AD793"/>
      <c r="AE793"/>
      <c r="AF793"/>
      <c r="AG793"/>
      <c r="AH793"/>
      <c r="AI793"/>
      <c r="AJ793"/>
      <c r="AK793"/>
      <c r="AL793"/>
      <c r="AM793"/>
      <c r="AN793"/>
      <c r="AO793"/>
      <c r="AP793"/>
      <c r="AQ793"/>
      <c r="AR793"/>
      <c r="AS793"/>
      <c r="AT793"/>
      <c r="AU793"/>
      <c r="AV793"/>
    </row>
    <row r="794" spans="2:48" x14ac:dyDescent="0.35">
      <c r="B794" s="14"/>
      <c r="C794" s="14"/>
      <c r="D794" s="14"/>
      <c r="E794" s="14"/>
      <c r="F794" s="14"/>
      <c r="G794" s="14"/>
      <c r="H794" s="14"/>
      <c r="I794" s="14"/>
      <c r="J794" s="14"/>
      <c r="K794" s="14"/>
      <c r="L794" s="14"/>
      <c r="M794" s="14"/>
      <c r="N794" s="14"/>
      <c r="O794" s="14"/>
      <c r="P794" s="14"/>
      <c r="Q794" s="14"/>
      <c r="R794" s="14"/>
      <c r="S794" s="14"/>
      <c r="T794" s="14"/>
      <c r="U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row>
    <row r="795" spans="2:48" x14ac:dyDescent="0.35">
      <c r="B795" s="14"/>
      <c r="C795" s="14"/>
      <c r="D795" s="14"/>
      <c r="E795" s="14"/>
      <c r="F795" s="14"/>
      <c r="G795" s="14"/>
      <c r="H795" s="14"/>
      <c r="I795" s="14"/>
      <c r="J795" s="14"/>
      <c r="K795" s="14"/>
      <c r="L795" s="14"/>
      <c r="M795" s="14"/>
      <c r="N795" s="14"/>
      <c r="O795" s="14"/>
      <c r="P795" s="14"/>
      <c r="Q795" s="14"/>
      <c r="R795" s="14"/>
      <c r="S795" s="14"/>
      <c r="T795" s="14"/>
      <c r="U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row>
    <row r="796" spans="2:48" x14ac:dyDescent="0.35">
      <c r="B796" s="14"/>
      <c r="C796" s="14"/>
      <c r="D796" s="14"/>
      <c r="E796" s="14"/>
      <c r="F796" s="14"/>
      <c r="G796" s="14"/>
      <c r="H796" s="14"/>
      <c r="I796" s="14"/>
      <c r="J796" s="14"/>
      <c r="K796" s="14"/>
      <c r="L796" s="14"/>
      <c r="M796" s="14"/>
      <c r="N796" s="14"/>
      <c r="O796" s="14"/>
      <c r="P796" s="14"/>
      <c r="Q796" s="14"/>
      <c r="R796" s="14"/>
      <c r="S796" s="14"/>
      <c r="T796" s="14"/>
      <c r="U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row>
    <row r="805" spans="2:48" x14ac:dyDescent="0.35">
      <c r="B805"/>
      <c r="C805"/>
      <c r="D805"/>
      <c r="E805"/>
      <c r="F805"/>
      <c r="G805"/>
      <c r="H805"/>
      <c r="I805"/>
      <c r="J805"/>
      <c r="K805"/>
      <c r="L805"/>
      <c r="M805"/>
      <c r="N805"/>
      <c r="O805"/>
      <c r="P805"/>
      <c r="Q805"/>
      <c r="R805"/>
      <c r="S805"/>
      <c r="T805"/>
      <c r="U805"/>
      <c r="W805"/>
      <c r="X805"/>
      <c r="Y805"/>
      <c r="Z805"/>
      <c r="AA805"/>
      <c r="AB805"/>
      <c r="AC805"/>
      <c r="AD805"/>
      <c r="AE805"/>
      <c r="AF805"/>
      <c r="AG805"/>
      <c r="AH805"/>
      <c r="AI805"/>
      <c r="AJ805"/>
      <c r="AK805"/>
      <c r="AL805"/>
      <c r="AM805"/>
      <c r="AN805"/>
      <c r="AO805"/>
      <c r="AP805"/>
      <c r="AQ805"/>
      <c r="AR805"/>
      <c r="AS805"/>
      <c r="AT805"/>
      <c r="AU805"/>
      <c r="AV805"/>
    </row>
    <row r="806" spans="2:48" x14ac:dyDescent="0.35">
      <c r="B806"/>
      <c r="C806"/>
      <c r="D806"/>
      <c r="E806"/>
      <c r="F806"/>
      <c r="G806"/>
      <c r="H806"/>
      <c r="I806"/>
      <c r="J806"/>
      <c r="K806"/>
      <c r="L806"/>
      <c r="M806"/>
      <c r="N806"/>
      <c r="O806"/>
      <c r="P806"/>
      <c r="Q806"/>
      <c r="R806"/>
      <c r="S806"/>
      <c r="T806"/>
      <c r="U806"/>
      <c r="W806"/>
      <c r="X806"/>
      <c r="Y806"/>
      <c r="Z806"/>
      <c r="AA806"/>
      <c r="AB806"/>
      <c r="AC806"/>
      <c r="AD806"/>
      <c r="AE806"/>
      <c r="AF806"/>
      <c r="AG806"/>
      <c r="AH806"/>
      <c r="AI806"/>
      <c r="AJ806"/>
      <c r="AK806"/>
      <c r="AL806"/>
      <c r="AM806"/>
      <c r="AN806"/>
      <c r="AO806"/>
      <c r="AP806"/>
      <c r="AQ806"/>
      <c r="AR806"/>
      <c r="AS806"/>
      <c r="AT806"/>
      <c r="AU806"/>
      <c r="AV806"/>
    </row>
    <row r="807" spans="2:48" x14ac:dyDescent="0.35">
      <c r="B807"/>
      <c r="C807"/>
      <c r="D807"/>
      <c r="E807"/>
      <c r="F807"/>
      <c r="G807"/>
      <c r="H807"/>
      <c r="I807"/>
      <c r="J807"/>
      <c r="K807"/>
      <c r="L807"/>
      <c r="M807"/>
      <c r="N807"/>
      <c r="O807"/>
      <c r="P807"/>
      <c r="Q807"/>
      <c r="R807"/>
      <c r="S807"/>
      <c r="T807"/>
      <c r="U807"/>
      <c r="W807"/>
      <c r="X807"/>
      <c r="Y807"/>
      <c r="Z807"/>
      <c r="AA807"/>
      <c r="AB807"/>
      <c r="AC807"/>
      <c r="AD807"/>
      <c r="AE807"/>
      <c r="AF807"/>
      <c r="AG807"/>
      <c r="AH807"/>
      <c r="AI807"/>
      <c r="AJ807"/>
      <c r="AK807"/>
      <c r="AL807"/>
      <c r="AM807"/>
      <c r="AN807"/>
      <c r="AO807"/>
      <c r="AP807"/>
      <c r="AQ807"/>
      <c r="AR807"/>
      <c r="AS807"/>
      <c r="AT807"/>
      <c r="AU807"/>
      <c r="AV807"/>
    </row>
    <row r="808" spans="2:48" x14ac:dyDescent="0.35">
      <c r="B808" s="14"/>
      <c r="C808" s="14"/>
      <c r="D808" s="14"/>
      <c r="E808" s="14"/>
      <c r="F808" s="14"/>
      <c r="G808" s="14"/>
      <c r="H808" s="14"/>
      <c r="I808" s="14"/>
      <c r="J808" s="14"/>
      <c r="K808" s="14"/>
      <c r="L808" s="14"/>
      <c r="M808" s="14"/>
      <c r="N808" s="14"/>
      <c r="O808" s="14"/>
      <c r="P808" s="14"/>
      <c r="Q808" s="14"/>
      <c r="R808" s="14"/>
      <c r="S808" s="14"/>
      <c r="T808" s="14"/>
      <c r="U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row>
    <row r="809" spans="2:48" x14ac:dyDescent="0.35">
      <c r="B809" s="14"/>
      <c r="C809" s="14"/>
      <c r="D809" s="14"/>
      <c r="E809" s="14"/>
      <c r="F809" s="14"/>
      <c r="G809" s="14"/>
      <c r="H809" s="14"/>
      <c r="I809" s="14"/>
      <c r="J809" s="14"/>
      <c r="K809" s="14"/>
      <c r="L809" s="14"/>
      <c r="M809" s="14"/>
      <c r="N809" s="14"/>
      <c r="O809" s="14"/>
      <c r="P809" s="14"/>
      <c r="Q809" s="14"/>
      <c r="R809" s="14"/>
      <c r="S809" s="14"/>
      <c r="T809" s="14"/>
      <c r="U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row>
    <row r="810" spans="2:48" x14ac:dyDescent="0.35">
      <c r="B810" s="14"/>
      <c r="C810" s="14"/>
      <c r="D810" s="14"/>
      <c r="E810" s="14"/>
      <c r="F810" s="14"/>
      <c r="G810" s="14"/>
      <c r="H810" s="14"/>
      <c r="I810" s="14"/>
      <c r="J810" s="14"/>
      <c r="K810" s="14"/>
      <c r="L810" s="14"/>
      <c r="M810" s="14"/>
      <c r="N810" s="14"/>
      <c r="O810" s="14"/>
      <c r="P810" s="14"/>
      <c r="Q810" s="14"/>
      <c r="R810" s="14"/>
      <c r="S810" s="14"/>
      <c r="T810" s="14"/>
      <c r="U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row>
    <row r="819" spans="2:48" x14ac:dyDescent="0.35">
      <c r="B819"/>
      <c r="C819"/>
      <c r="D819"/>
      <c r="E819"/>
      <c r="F819"/>
      <c r="G819"/>
      <c r="H819"/>
      <c r="I819"/>
      <c r="J819"/>
      <c r="K819"/>
      <c r="L819"/>
      <c r="M819"/>
      <c r="N819"/>
      <c r="O819"/>
      <c r="P819"/>
      <c r="Q819"/>
      <c r="R819"/>
      <c r="S819"/>
      <c r="T819"/>
      <c r="U819"/>
      <c r="W819"/>
      <c r="X819"/>
      <c r="Y819"/>
      <c r="Z819"/>
      <c r="AA819"/>
      <c r="AB819"/>
      <c r="AC819"/>
      <c r="AD819"/>
      <c r="AE819"/>
      <c r="AF819"/>
      <c r="AG819"/>
      <c r="AH819"/>
      <c r="AI819"/>
      <c r="AJ819"/>
      <c r="AK819"/>
      <c r="AL819"/>
      <c r="AM819"/>
      <c r="AN819"/>
      <c r="AO819"/>
      <c r="AP819"/>
      <c r="AQ819"/>
      <c r="AR819"/>
      <c r="AS819"/>
      <c r="AT819"/>
      <c r="AU819"/>
      <c r="AV819"/>
    </row>
    <row r="820" spans="2:48" x14ac:dyDescent="0.35">
      <c r="B820"/>
      <c r="C820"/>
      <c r="D820"/>
      <c r="E820"/>
      <c r="F820"/>
      <c r="G820"/>
      <c r="H820"/>
      <c r="I820"/>
      <c r="J820"/>
      <c r="K820"/>
      <c r="L820"/>
      <c r="M820"/>
      <c r="N820"/>
      <c r="O820"/>
      <c r="P820"/>
      <c r="Q820"/>
      <c r="R820"/>
      <c r="S820"/>
      <c r="T820"/>
      <c r="U820"/>
      <c r="W820"/>
      <c r="X820"/>
      <c r="Y820"/>
      <c r="Z820"/>
      <c r="AA820"/>
      <c r="AB820"/>
      <c r="AC820"/>
      <c r="AD820"/>
      <c r="AE820"/>
      <c r="AF820"/>
      <c r="AG820"/>
      <c r="AH820"/>
      <c r="AI820"/>
      <c r="AJ820"/>
      <c r="AK820"/>
      <c r="AL820"/>
      <c r="AM820"/>
      <c r="AN820"/>
      <c r="AO820"/>
      <c r="AP820"/>
      <c r="AQ820"/>
      <c r="AR820"/>
      <c r="AS820"/>
      <c r="AT820"/>
      <c r="AU820"/>
      <c r="AV820"/>
    </row>
    <row r="821" spans="2:48" x14ac:dyDescent="0.35">
      <c r="B821"/>
      <c r="C821"/>
      <c r="D821"/>
      <c r="E821"/>
      <c r="F821"/>
      <c r="G821"/>
      <c r="H821"/>
      <c r="I821"/>
      <c r="J821"/>
      <c r="K821"/>
      <c r="L821"/>
      <c r="M821"/>
      <c r="N821"/>
      <c r="O821"/>
      <c r="P821"/>
      <c r="Q821"/>
      <c r="R821"/>
      <c r="S821"/>
      <c r="T821"/>
      <c r="U821"/>
      <c r="W821"/>
      <c r="X821"/>
      <c r="Y821"/>
      <c r="Z821"/>
      <c r="AA821"/>
      <c r="AB821"/>
      <c r="AC821"/>
      <c r="AD821"/>
      <c r="AE821"/>
      <c r="AF821"/>
      <c r="AG821"/>
      <c r="AH821"/>
      <c r="AI821"/>
      <c r="AJ821"/>
      <c r="AK821"/>
      <c r="AL821"/>
      <c r="AM821"/>
      <c r="AN821"/>
      <c r="AO821"/>
      <c r="AP821"/>
      <c r="AQ821"/>
      <c r="AR821"/>
      <c r="AS821"/>
      <c r="AT821"/>
      <c r="AU821"/>
      <c r="AV821"/>
    </row>
    <row r="822" spans="2:48" x14ac:dyDescent="0.35">
      <c r="B822" s="14"/>
      <c r="C822" s="14"/>
      <c r="D822" s="14"/>
      <c r="E822" s="14"/>
      <c r="F822" s="14"/>
      <c r="G822" s="14"/>
      <c r="H822" s="14"/>
      <c r="I822" s="14"/>
      <c r="J822" s="14"/>
      <c r="K822" s="14"/>
      <c r="L822" s="14"/>
      <c r="M822" s="14"/>
      <c r="N822" s="14"/>
      <c r="O822" s="14"/>
      <c r="P822" s="14"/>
      <c r="Q822" s="14"/>
      <c r="R822" s="14"/>
      <c r="S822" s="14"/>
      <c r="T822" s="14"/>
      <c r="U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row>
    <row r="823" spans="2:48" x14ac:dyDescent="0.35">
      <c r="B823" s="14"/>
      <c r="C823" s="14"/>
      <c r="D823" s="14"/>
      <c r="E823" s="14"/>
      <c r="F823" s="14"/>
      <c r="G823" s="14"/>
      <c r="H823" s="14"/>
      <c r="I823" s="14"/>
      <c r="J823" s="14"/>
      <c r="K823" s="14"/>
      <c r="L823" s="14"/>
      <c r="M823" s="14"/>
      <c r="N823" s="14"/>
      <c r="O823" s="14"/>
      <c r="P823" s="14"/>
      <c r="Q823" s="14"/>
      <c r="R823" s="14"/>
      <c r="S823" s="14"/>
      <c r="T823" s="14"/>
      <c r="U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row>
    <row r="824" spans="2:48" x14ac:dyDescent="0.35">
      <c r="B824" s="14"/>
      <c r="C824" s="14"/>
      <c r="D824" s="14"/>
      <c r="E824" s="14"/>
      <c r="F824" s="14"/>
      <c r="G824" s="14"/>
      <c r="H824" s="14"/>
      <c r="I824" s="14"/>
      <c r="J824" s="14"/>
      <c r="K824" s="14"/>
      <c r="L824" s="14"/>
      <c r="M824" s="14"/>
      <c r="N824" s="14"/>
      <c r="O824" s="14"/>
      <c r="P824" s="14"/>
      <c r="Q824" s="14"/>
      <c r="R824" s="14"/>
      <c r="S824" s="14"/>
      <c r="T824" s="14"/>
      <c r="U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row>
    <row r="833" spans="2:48" x14ac:dyDescent="0.35">
      <c r="B833"/>
      <c r="C833"/>
      <c r="D833"/>
      <c r="E833"/>
      <c r="F833"/>
      <c r="G833"/>
      <c r="H833"/>
      <c r="I833"/>
      <c r="J833"/>
      <c r="K833"/>
      <c r="L833"/>
      <c r="M833"/>
      <c r="N833"/>
      <c r="O833"/>
      <c r="P833"/>
      <c r="Q833"/>
      <c r="R833"/>
      <c r="S833"/>
      <c r="T833"/>
      <c r="U833"/>
      <c r="W833"/>
      <c r="X833"/>
      <c r="Y833"/>
      <c r="Z833"/>
      <c r="AA833"/>
      <c r="AB833"/>
      <c r="AC833"/>
      <c r="AD833"/>
      <c r="AE833"/>
      <c r="AF833"/>
      <c r="AG833"/>
      <c r="AH833"/>
      <c r="AI833"/>
      <c r="AJ833"/>
      <c r="AK833"/>
      <c r="AL833"/>
      <c r="AM833"/>
      <c r="AN833"/>
      <c r="AO833"/>
      <c r="AP833"/>
      <c r="AQ833"/>
      <c r="AR833"/>
      <c r="AS833"/>
      <c r="AT833"/>
      <c r="AU833"/>
      <c r="AV833"/>
    </row>
    <row r="834" spans="2:48" x14ac:dyDescent="0.35">
      <c r="B834"/>
      <c r="C834"/>
      <c r="D834"/>
      <c r="E834"/>
      <c r="F834"/>
      <c r="G834"/>
      <c r="H834"/>
      <c r="I834"/>
      <c r="J834"/>
      <c r="K834"/>
      <c r="L834"/>
      <c r="M834"/>
      <c r="N834"/>
      <c r="O834"/>
      <c r="P834"/>
      <c r="Q834"/>
      <c r="R834"/>
      <c r="S834"/>
      <c r="T834"/>
      <c r="U834"/>
      <c r="W834"/>
      <c r="X834"/>
      <c r="Y834"/>
      <c r="Z834"/>
      <c r="AA834"/>
      <c r="AB834"/>
      <c r="AC834"/>
      <c r="AD834"/>
      <c r="AE834"/>
      <c r="AF834"/>
      <c r="AG834"/>
      <c r="AH834"/>
      <c r="AI834"/>
      <c r="AJ834"/>
      <c r="AK834"/>
      <c r="AL834"/>
      <c r="AM834"/>
      <c r="AN834"/>
      <c r="AO834"/>
      <c r="AP834"/>
      <c r="AQ834"/>
      <c r="AR834"/>
      <c r="AS834"/>
      <c r="AT834"/>
      <c r="AU834"/>
      <c r="AV834"/>
    </row>
    <row r="835" spans="2:48" x14ac:dyDescent="0.35">
      <c r="B835"/>
      <c r="C835"/>
      <c r="D835"/>
      <c r="E835"/>
      <c r="F835"/>
      <c r="G835"/>
      <c r="H835"/>
      <c r="I835"/>
      <c r="J835"/>
      <c r="K835"/>
      <c r="L835"/>
      <c r="M835"/>
      <c r="N835"/>
      <c r="O835"/>
      <c r="P835"/>
      <c r="Q835"/>
      <c r="R835"/>
      <c r="S835"/>
      <c r="T835"/>
      <c r="U835"/>
      <c r="W835"/>
      <c r="X835"/>
      <c r="Y835"/>
      <c r="Z835"/>
      <c r="AA835"/>
      <c r="AB835"/>
      <c r="AC835"/>
      <c r="AD835"/>
      <c r="AE835"/>
      <c r="AF835"/>
      <c r="AG835"/>
      <c r="AH835"/>
      <c r="AI835"/>
      <c r="AJ835"/>
      <c r="AK835"/>
      <c r="AL835"/>
      <c r="AM835"/>
      <c r="AN835"/>
      <c r="AO835"/>
      <c r="AP835"/>
      <c r="AQ835"/>
      <c r="AR835"/>
      <c r="AS835"/>
      <c r="AT835"/>
      <c r="AU835"/>
      <c r="AV835"/>
    </row>
    <row r="836" spans="2:48" x14ac:dyDescent="0.35">
      <c r="B836" s="14"/>
      <c r="C836" s="14"/>
      <c r="D836" s="14"/>
      <c r="E836" s="14"/>
      <c r="F836" s="14"/>
      <c r="G836" s="14"/>
      <c r="H836" s="14"/>
      <c r="I836" s="14"/>
      <c r="J836" s="14"/>
      <c r="K836" s="14"/>
      <c r="L836" s="14"/>
      <c r="M836" s="14"/>
      <c r="N836" s="14"/>
      <c r="O836" s="14"/>
      <c r="P836" s="14"/>
      <c r="Q836" s="14"/>
      <c r="R836" s="14"/>
      <c r="S836" s="14"/>
      <c r="T836" s="14"/>
      <c r="U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row>
    <row r="837" spans="2:48" x14ac:dyDescent="0.35">
      <c r="B837" s="14"/>
      <c r="C837" s="14"/>
      <c r="D837" s="14"/>
      <c r="E837" s="14"/>
      <c r="F837" s="14"/>
      <c r="G837" s="14"/>
      <c r="H837" s="14"/>
      <c r="I837" s="14"/>
      <c r="J837" s="14"/>
      <c r="K837" s="14"/>
      <c r="L837" s="14"/>
      <c r="M837" s="14"/>
      <c r="N837" s="14"/>
      <c r="O837" s="14"/>
      <c r="P837" s="14"/>
      <c r="Q837" s="14"/>
      <c r="R837" s="14"/>
      <c r="S837" s="14"/>
      <c r="T837" s="14"/>
      <c r="U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row>
    <row r="838" spans="2:48" x14ac:dyDescent="0.35">
      <c r="B838" s="14"/>
      <c r="C838" s="14"/>
      <c r="D838" s="14"/>
      <c r="E838" s="14"/>
      <c r="F838" s="14"/>
      <c r="G838" s="14"/>
      <c r="H838" s="14"/>
      <c r="I838" s="14"/>
      <c r="J838" s="14"/>
      <c r="K838" s="14"/>
      <c r="L838" s="14"/>
      <c r="M838" s="14"/>
      <c r="N838" s="14"/>
      <c r="O838" s="14"/>
      <c r="P838" s="14"/>
      <c r="Q838" s="14"/>
      <c r="R838" s="14"/>
      <c r="S838" s="14"/>
      <c r="T838" s="14"/>
      <c r="U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row>
    <row r="847" spans="2:48" x14ac:dyDescent="0.35">
      <c r="B847"/>
      <c r="C847"/>
      <c r="D847"/>
      <c r="E847"/>
      <c r="F847"/>
      <c r="G847"/>
      <c r="H847"/>
      <c r="I847"/>
      <c r="J847"/>
      <c r="K847"/>
      <c r="L847"/>
      <c r="M847"/>
      <c r="N847"/>
      <c r="O847"/>
      <c r="P847"/>
      <c r="Q847"/>
      <c r="R847"/>
      <c r="S847"/>
      <c r="T847"/>
      <c r="U847"/>
      <c r="W847"/>
      <c r="X847"/>
      <c r="Y847"/>
      <c r="Z847"/>
      <c r="AA847"/>
      <c r="AB847"/>
      <c r="AC847"/>
      <c r="AD847"/>
      <c r="AE847"/>
      <c r="AF847"/>
      <c r="AG847"/>
      <c r="AH847"/>
      <c r="AI847"/>
      <c r="AJ847"/>
      <c r="AK847"/>
      <c r="AL847"/>
      <c r="AM847"/>
      <c r="AN847"/>
      <c r="AO847"/>
      <c r="AP847"/>
      <c r="AQ847"/>
      <c r="AR847"/>
      <c r="AS847"/>
      <c r="AT847"/>
      <c r="AU847"/>
      <c r="AV847"/>
    </row>
    <row r="848" spans="2:48" x14ac:dyDescent="0.35">
      <c r="B848"/>
      <c r="C848"/>
      <c r="D848"/>
      <c r="E848"/>
      <c r="F848"/>
      <c r="G848"/>
      <c r="H848"/>
      <c r="I848"/>
      <c r="J848"/>
      <c r="K848"/>
      <c r="L848"/>
      <c r="M848"/>
      <c r="N848"/>
      <c r="O848"/>
      <c r="P848"/>
      <c r="Q848"/>
      <c r="R848"/>
      <c r="S848"/>
      <c r="T848"/>
      <c r="U848"/>
      <c r="W848"/>
      <c r="X848"/>
      <c r="Y848"/>
      <c r="Z848"/>
      <c r="AA848"/>
      <c r="AB848"/>
      <c r="AC848"/>
      <c r="AD848"/>
      <c r="AE848"/>
      <c r="AF848"/>
      <c r="AG848"/>
      <c r="AH848"/>
      <c r="AI848"/>
      <c r="AJ848"/>
      <c r="AK848"/>
      <c r="AL848"/>
      <c r="AM848"/>
      <c r="AN848"/>
      <c r="AO848"/>
      <c r="AP848"/>
      <c r="AQ848"/>
      <c r="AR848"/>
      <c r="AS848"/>
      <c r="AT848"/>
      <c r="AU848"/>
      <c r="AV848"/>
    </row>
    <row r="849" spans="2:48" x14ac:dyDescent="0.35">
      <c r="B849"/>
      <c r="C849"/>
      <c r="D849"/>
      <c r="E849"/>
      <c r="F849"/>
      <c r="G849"/>
      <c r="H849"/>
      <c r="I849"/>
      <c r="J849"/>
      <c r="K849"/>
      <c r="L849"/>
      <c r="M849"/>
      <c r="N849"/>
      <c r="O849"/>
      <c r="P849"/>
      <c r="Q849"/>
      <c r="R849"/>
      <c r="S849"/>
      <c r="T849"/>
      <c r="U849"/>
      <c r="W849"/>
      <c r="X849"/>
      <c r="Y849"/>
      <c r="Z849"/>
      <c r="AA849"/>
      <c r="AB849"/>
      <c r="AC849"/>
      <c r="AD849"/>
      <c r="AE849"/>
      <c r="AF849"/>
      <c r="AG849"/>
      <c r="AH849"/>
      <c r="AI849"/>
      <c r="AJ849"/>
      <c r="AK849"/>
      <c r="AL849"/>
      <c r="AM849"/>
      <c r="AN849"/>
      <c r="AO849"/>
      <c r="AP849"/>
      <c r="AQ849"/>
      <c r="AR849"/>
      <c r="AS849"/>
      <c r="AT849"/>
      <c r="AU849"/>
      <c r="AV849"/>
    </row>
    <row r="850" spans="2:48" x14ac:dyDescent="0.35">
      <c r="B850" s="14"/>
      <c r="C850" s="14"/>
      <c r="D850" s="14"/>
      <c r="E850" s="14"/>
      <c r="F850" s="14"/>
      <c r="G850" s="14"/>
      <c r="H850" s="14"/>
      <c r="I850" s="14"/>
      <c r="J850" s="14"/>
      <c r="K850" s="14"/>
      <c r="L850" s="14"/>
      <c r="M850" s="14"/>
      <c r="N850" s="14"/>
      <c r="O850" s="14"/>
      <c r="P850" s="14"/>
      <c r="Q850" s="14"/>
      <c r="R850" s="14"/>
      <c r="S850" s="14"/>
      <c r="T850" s="14"/>
      <c r="U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row>
    <row r="851" spans="2:48" x14ac:dyDescent="0.35">
      <c r="B851" s="14"/>
      <c r="C851" s="14"/>
      <c r="D851" s="14"/>
      <c r="E851" s="14"/>
      <c r="F851" s="14"/>
      <c r="G851" s="14"/>
      <c r="H851" s="14"/>
      <c r="I851" s="14"/>
      <c r="J851" s="14"/>
      <c r="K851" s="14"/>
      <c r="L851" s="14"/>
      <c r="M851" s="14"/>
      <c r="N851" s="14"/>
      <c r="O851" s="14"/>
      <c r="P851" s="14"/>
      <c r="Q851" s="14"/>
      <c r="R851" s="14"/>
      <c r="S851" s="14"/>
      <c r="T851" s="14"/>
      <c r="U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row>
    <row r="852" spans="2:48" x14ac:dyDescent="0.35">
      <c r="B852" s="14"/>
      <c r="C852" s="14"/>
      <c r="D852" s="14"/>
      <c r="E852" s="14"/>
      <c r="F852" s="14"/>
      <c r="G852" s="14"/>
      <c r="H852" s="14"/>
      <c r="I852" s="14"/>
      <c r="J852" s="14"/>
      <c r="K852" s="14"/>
      <c r="L852" s="14"/>
      <c r="M852" s="14"/>
      <c r="N852" s="14"/>
      <c r="O852" s="14"/>
      <c r="P852" s="14"/>
      <c r="Q852" s="14"/>
      <c r="R852" s="14"/>
      <c r="S852" s="14"/>
      <c r="T852" s="14"/>
      <c r="U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row>
    <row r="861" spans="2:48" x14ac:dyDescent="0.35">
      <c r="B861"/>
      <c r="C861"/>
      <c r="D861"/>
      <c r="E861"/>
      <c r="F861"/>
      <c r="G861"/>
      <c r="H861"/>
      <c r="I861"/>
      <c r="J861"/>
      <c r="K861"/>
      <c r="L861"/>
      <c r="M861"/>
      <c r="N861"/>
      <c r="O861"/>
      <c r="P861"/>
      <c r="Q861"/>
      <c r="R861"/>
      <c r="S861"/>
      <c r="T861"/>
      <c r="U861"/>
      <c r="W861"/>
      <c r="X861"/>
      <c r="Y861"/>
      <c r="Z861"/>
      <c r="AA861"/>
      <c r="AB861"/>
      <c r="AC861"/>
      <c r="AD861"/>
      <c r="AE861"/>
      <c r="AF861"/>
      <c r="AG861"/>
      <c r="AH861"/>
      <c r="AI861"/>
      <c r="AJ861"/>
      <c r="AK861"/>
      <c r="AL861"/>
      <c r="AM861"/>
      <c r="AN861"/>
      <c r="AO861"/>
      <c r="AP861"/>
      <c r="AQ861"/>
      <c r="AR861"/>
      <c r="AS861"/>
      <c r="AT861"/>
      <c r="AU861"/>
      <c r="AV861"/>
    </row>
    <row r="862" spans="2:48" x14ac:dyDescent="0.35">
      <c r="B862"/>
      <c r="C862"/>
      <c r="D862"/>
      <c r="E862"/>
      <c r="F862"/>
      <c r="G862"/>
      <c r="H862"/>
      <c r="I862"/>
      <c r="J862"/>
      <c r="K862"/>
      <c r="L862"/>
      <c r="M862"/>
      <c r="N862"/>
      <c r="O862"/>
      <c r="P862"/>
      <c r="Q862"/>
      <c r="R862"/>
      <c r="S862"/>
      <c r="T862"/>
      <c r="U862"/>
      <c r="W862"/>
      <c r="X862"/>
      <c r="Y862"/>
      <c r="Z862"/>
      <c r="AA862"/>
      <c r="AB862"/>
      <c r="AC862"/>
      <c r="AD862"/>
      <c r="AE862"/>
      <c r="AF862"/>
      <c r="AG862"/>
      <c r="AH862"/>
      <c r="AI862"/>
      <c r="AJ862"/>
      <c r="AK862"/>
      <c r="AL862"/>
      <c r="AM862"/>
      <c r="AN862"/>
      <c r="AO862"/>
      <c r="AP862"/>
      <c r="AQ862"/>
      <c r="AR862"/>
      <c r="AS862"/>
      <c r="AT862"/>
      <c r="AU862"/>
      <c r="AV862"/>
    </row>
    <row r="863" spans="2:48" x14ac:dyDescent="0.35">
      <c r="B863"/>
      <c r="C863"/>
      <c r="D863"/>
      <c r="E863"/>
      <c r="F863"/>
      <c r="G863"/>
      <c r="H863"/>
      <c r="I863"/>
      <c r="J863"/>
      <c r="K863"/>
      <c r="L863"/>
      <c r="M863"/>
      <c r="N863"/>
      <c r="O863"/>
      <c r="P863"/>
      <c r="Q863"/>
      <c r="R863"/>
      <c r="S863"/>
      <c r="T863"/>
      <c r="U863"/>
      <c r="W863"/>
      <c r="X863"/>
      <c r="Y863"/>
      <c r="Z863"/>
      <c r="AA863"/>
      <c r="AB863"/>
      <c r="AC863"/>
      <c r="AD863"/>
      <c r="AE863"/>
      <c r="AF863"/>
      <c r="AG863"/>
      <c r="AH863"/>
      <c r="AI863"/>
      <c r="AJ863"/>
      <c r="AK863"/>
      <c r="AL863"/>
      <c r="AM863"/>
      <c r="AN863"/>
      <c r="AO863"/>
      <c r="AP863"/>
      <c r="AQ863"/>
      <c r="AR863"/>
      <c r="AS863"/>
      <c r="AT863"/>
      <c r="AU863"/>
      <c r="AV863"/>
    </row>
    <row r="864" spans="2:48" x14ac:dyDescent="0.35">
      <c r="B864" s="14"/>
      <c r="C864" s="14"/>
      <c r="D864" s="14"/>
      <c r="E864" s="14"/>
      <c r="F864" s="14"/>
      <c r="G864" s="14"/>
      <c r="H864" s="14"/>
      <c r="I864" s="14"/>
      <c r="J864" s="14"/>
      <c r="K864" s="14"/>
      <c r="L864" s="14"/>
      <c r="M864" s="14"/>
      <c r="N864" s="14"/>
      <c r="O864" s="14"/>
      <c r="P864" s="14"/>
      <c r="Q864" s="14"/>
      <c r="R864" s="14"/>
      <c r="S864" s="14"/>
      <c r="T864" s="14"/>
      <c r="U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row>
    <row r="865" spans="2:48" x14ac:dyDescent="0.35">
      <c r="B865" s="14"/>
      <c r="C865" s="14"/>
      <c r="D865" s="14"/>
      <c r="E865" s="14"/>
      <c r="F865" s="14"/>
      <c r="G865" s="14"/>
      <c r="H865" s="14"/>
      <c r="I865" s="14"/>
      <c r="J865" s="14"/>
      <c r="K865" s="14"/>
      <c r="L865" s="14"/>
      <c r="M865" s="14"/>
      <c r="N865" s="14"/>
      <c r="O865" s="14"/>
      <c r="P865" s="14"/>
      <c r="Q865" s="14"/>
      <c r="R865" s="14"/>
      <c r="S865" s="14"/>
      <c r="T865" s="14"/>
      <c r="U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row>
    <row r="866" spans="2:48" x14ac:dyDescent="0.35">
      <c r="B866" s="14"/>
      <c r="C866" s="14"/>
      <c r="D866" s="14"/>
      <c r="E866" s="14"/>
      <c r="F866" s="14"/>
      <c r="G866" s="14"/>
      <c r="H866" s="14"/>
      <c r="I866" s="14"/>
      <c r="J866" s="14"/>
      <c r="K866" s="14"/>
      <c r="L866" s="14"/>
      <c r="M866" s="14"/>
      <c r="N866" s="14"/>
      <c r="O866" s="14"/>
      <c r="P866" s="14"/>
      <c r="Q866" s="14"/>
      <c r="R866" s="14"/>
      <c r="S866" s="14"/>
      <c r="T866" s="14"/>
      <c r="U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row>
    <row r="875" spans="2:48" x14ac:dyDescent="0.35">
      <c r="B875"/>
      <c r="C875"/>
      <c r="D875"/>
      <c r="E875"/>
      <c r="F875"/>
      <c r="G875"/>
      <c r="H875"/>
      <c r="I875"/>
      <c r="J875"/>
      <c r="K875"/>
      <c r="L875"/>
      <c r="M875"/>
      <c r="N875"/>
      <c r="O875"/>
      <c r="P875"/>
      <c r="Q875"/>
      <c r="R875"/>
      <c r="S875"/>
      <c r="T875"/>
      <c r="U875"/>
      <c r="W875"/>
      <c r="X875"/>
      <c r="Y875"/>
      <c r="Z875"/>
      <c r="AA875"/>
      <c r="AB875"/>
      <c r="AC875"/>
      <c r="AD875"/>
      <c r="AE875"/>
      <c r="AF875"/>
      <c r="AG875"/>
      <c r="AH875"/>
      <c r="AI875"/>
      <c r="AJ875"/>
      <c r="AK875"/>
      <c r="AL875"/>
      <c r="AM875"/>
      <c r="AN875"/>
      <c r="AO875"/>
      <c r="AP875"/>
      <c r="AQ875"/>
      <c r="AR875"/>
      <c r="AS875"/>
      <c r="AT875"/>
      <c r="AU875"/>
      <c r="AV875"/>
    </row>
    <row r="876" spans="2:48" x14ac:dyDescent="0.35">
      <c r="B876"/>
      <c r="C876"/>
      <c r="D876"/>
      <c r="E876"/>
      <c r="F876"/>
      <c r="G876"/>
      <c r="H876"/>
      <c r="I876"/>
      <c r="J876"/>
      <c r="K876"/>
      <c r="L876"/>
      <c r="M876"/>
      <c r="N876"/>
      <c r="O876"/>
      <c r="P876"/>
      <c r="Q876"/>
      <c r="R876"/>
      <c r="S876"/>
      <c r="T876"/>
      <c r="U876"/>
      <c r="W876"/>
      <c r="X876"/>
      <c r="Y876"/>
      <c r="Z876"/>
      <c r="AA876"/>
      <c r="AB876"/>
      <c r="AC876"/>
      <c r="AD876"/>
      <c r="AE876"/>
      <c r="AF876"/>
      <c r="AG876"/>
      <c r="AH876"/>
      <c r="AI876"/>
      <c r="AJ876"/>
      <c r="AK876"/>
      <c r="AL876"/>
      <c r="AM876"/>
      <c r="AN876"/>
      <c r="AO876"/>
      <c r="AP876"/>
      <c r="AQ876"/>
      <c r="AR876"/>
      <c r="AS876"/>
      <c r="AT876"/>
      <c r="AU876"/>
      <c r="AV876"/>
    </row>
    <row r="877" spans="2:48" x14ac:dyDescent="0.35">
      <c r="B877"/>
      <c r="C877"/>
      <c r="D877"/>
      <c r="E877"/>
      <c r="F877"/>
      <c r="G877"/>
      <c r="H877"/>
      <c r="I877"/>
      <c r="J877"/>
      <c r="K877"/>
      <c r="L877"/>
      <c r="M877"/>
      <c r="N877"/>
      <c r="O877"/>
      <c r="P877"/>
      <c r="Q877"/>
      <c r="R877"/>
      <c r="S877"/>
      <c r="T877"/>
      <c r="U877"/>
      <c r="W877"/>
      <c r="X877"/>
      <c r="Y877"/>
      <c r="Z877"/>
      <c r="AA877"/>
      <c r="AB877"/>
      <c r="AC877"/>
      <c r="AD877"/>
      <c r="AE877"/>
      <c r="AF877"/>
      <c r="AG877"/>
      <c r="AH877"/>
      <c r="AI877"/>
      <c r="AJ877"/>
      <c r="AK877"/>
      <c r="AL877"/>
      <c r="AM877"/>
      <c r="AN877"/>
      <c r="AO877"/>
      <c r="AP877"/>
      <c r="AQ877"/>
      <c r="AR877"/>
      <c r="AS877"/>
      <c r="AT877"/>
      <c r="AU877"/>
      <c r="AV877"/>
    </row>
    <row r="878" spans="2:48" x14ac:dyDescent="0.35">
      <c r="B878" s="14"/>
      <c r="C878" s="14"/>
      <c r="D878" s="14"/>
      <c r="E878" s="14"/>
      <c r="F878" s="14"/>
      <c r="G878" s="14"/>
      <c r="H878" s="14"/>
      <c r="I878" s="14"/>
      <c r="J878" s="14"/>
      <c r="K878" s="14"/>
      <c r="L878" s="14"/>
      <c r="M878" s="14"/>
      <c r="N878" s="14"/>
      <c r="O878" s="14"/>
      <c r="P878" s="14"/>
      <c r="Q878" s="14"/>
      <c r="R878" s="14"/>
      <c r="S878" s="14"/>
      <c r="T878" s="14"/>
      <c r="U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row>
    <row r="879" spans="2:48" x14ac:dyDescent="0.35">
      <c r="B879" s="14"/>
      <c r="C879" s="14"/>
      <c r="D879" s="14"/>
      <c r="E879" s="14"/>
      <c r="F879" s="14"/>
      <c r="G879" s="14"/>
      <c r="H879" s="14"/>
      <c r="I879" s="14"/>
      <c r="J879" s="14"/>
      <c r="K879" s="14"/>
      <c r="L879" s="14"/>
      <c r="M879" s="14"/>
      <c r="N879" s="14"/>
      <c r="O879" s="14"/>
      <c r="P879" s="14"/>
      <c r="Q879" s="14"/>
      <c r="R879" s="14"/>
      <c r="S879" s="14"/>
      <c r="T879" s="14"/>
      <c r="U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row>
    <row r="880" spans="2:48" x14ac:dyDescent="0.35">
      <c r="B880" s="14"/>
      <c r="C880" s="14"/>
      <c r="D880" s="14"/>
      <c r="E880" s="14"/>
      <c r="F880" s="14"/>
      <c r="G880" s="14"/>
      <c r="H880" s="14"/>
      <c r="I880" s="14"/>
      <c r="J880" s="14"/>
      <c r="K880" s="14"/>
      <c r="L880" s="14"/>
      <c r="M880" s="14"/>
      <c r="N880" s="14"/>
      <c r="O880" s="14"/>
      <c r="P880" s="14"/>
      <c r="Q880" s="14"/>
      <c r="R880" s="14"/>
      <c r="S880" s="14"/>
      <c r="T880" s="14"/>
      <c r="U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row>
    <row r="885" spans="2:2" ht="15.5" x14ac:dyDescent="0.35">
      <c r="B885" s="18"/>
    </row>
    <row r="886" spans="2:2" ht="15.5" x14ac:dyDescent="0.35">
      <c r="B886" s="18"/>
    </row>
    <row r="887" spans="2:2" ht="15.5" x14ac:dyDescent="0.35">
      <c r="B887" s="18"/>
    </row>
    <row r="888" spans="2:2" ht="15.5" x14ac:dyDescent="0.35">
      <c r="B888" s="18"/>
    </row>
    <row r="889" spans="2:2" ht="15.5" x14ac:dyDescent="0.35">
      <c r="B889" s="18"/>
    </row>
    <row r="890" spans="2:2" ht="15.5" x14ac:dyDescent="0.35">
      <c r="B890" s="18"/>
    </row>
    <row r="891" spans="2:2" ht="15.5" x14ac:dyDescent="0.35">
      <c r="B891" s="18"/>
    </row>
    <row r="892" spans="2:2" ht="15.5" x14ac:dyDescent="0.35">
      <c r="B892" s="18"/>
    </row>
    <row r="893" spans="2:2" ht="15.5" x14ac:dyDescent="0.35">
      <c r="B893" s="18"/>
    </row>
    <row r="894" spans="2:2" ht="15.5" x14ac:dyDescent="0.35">
      <c r="B894" s="18"/>
    </row>
    <row r="895" spans="2:2" ht="15.5" x14ac:dyDescent="0.35">
      <c r="B895" s="18"/>
    </row>
    <row r="896" spans="2:2" ht="15.5" x14ac:dyDescent="0.35">
      <c r="B896" s="18"/>
    </row>
    <row r="897" spans="2:2" ht="15.5" x14ac:dyDescent="0.35">
      <c r="B897" s="18"/>
    </row>
    <row r="898" spans="2:2" ht="15.5" x14ac:dyDescent="0.35">
      <c r="B898" s="18"/>
    </row>
    <row r="899" spans="2:2" ht="15.5" x14ac:dyDescent="0.35">
      <c r="B899" s="18"/>
    </row>
    <row r="900" spans="2:2" ht="15.5" x14ac:dyDescent="0.35">
      <c r="B900" s="18"/>
    </row>
    <row r="901" spans="2:2" ht="15.5" x14ac:dyDescent="0.35">
      <c r="B901" s="18"/>
    </row>
    <row r="902" spans="2:2" ht="15.5" x14ac:dyDescent="0.35">
      <c r="B902" s="18"/>
    </row>
    <row r="903" spans="2:2" ht="15.5" x14ac:dyDescent="0.35">
      <c r="B903" s="18"/>
    </row>
    <row r="904" spans="2:2" ht="15.5" x14ac:dyDescent="0.35">
      <c r="B904" s="18"/>
    </row>
    <row r="905" spans="2:2" ht="15.5" x14ac:dyDescent="0.35">
      <c r="B905" s="18"/>
    </row>
    <row r="906" spans="2:2" ht="15.5" x14ac:dyDescent="0.35">
      <c r="B906" s="18"/>
    </row>
    <row r="907" spans="2:2" ht="15.5" x14ac:dyDescent="0.35">
      <c r="B907" s="18"/>
    </row>
    <row r="908" spans="2:2" ht="15.5" x14ac:dyDescent="0.35">
      <c r="B908" s="18"/>
    </row>
    <row r="909" spans="2:2" ht="15.5" x14ac:dyDescent="0.35">
      <c r="B909" s="18"/>
    </row>
    <row r="910" spans="2:2" ht="15.5" x14ac:dyDescent="0.35">
      <c r="B910" s="18"/>
    </row>
    <row r="911" spans="2:2" ht="15.5" x14ac:dyDescent="0.35">
      <c r="B911" s="18"/>
    </row>
    <row r="912" spans="2:2" ht="15.5" x14ac:dyDescent="0.35">
      <c r="B912" s="18"/>
    </row>
    <row r="913" spans="2:2" ht="15.5" x14ac:dyDescent="0.35">
      <c r="B913" s="18"/>
    </row>
    <row r="914" spans="2:2" ht="15.5" x14ac:dyDescent="0.35">
      <c r="B914" s="18"/>
    </row>
    <row r="915" spans="2:2" ht="15.5" x14ac:dyDescent="0.35">
      <c r="B915" s="18"/>
    </row>
    <row r="916" spans="2:2" ht="15.5" x14ac:dyDescent="0.35">
      <c r="B916" s="18"/>
    </row>
    <row r="917" spans="2:2" ht="15.5" x14ac:dyDescent="0.35">
      <c r="B917" s="18"/>
    </row>
    <row r="918" spans="2:2" ht="15.5" x14ac:dyDescent="0.35">
      <c r="B918" s="18"/>
    </row>
    <row r="919" spans="2:2" ht="15.5" x14ac:dyDescent="0.35">
      <c r="B919" s="18"/>
    </row>
    <row r="920" spans="2:2" ht="15.5" x14ac:dyDescent="0.35">
      <c r="B920" s="18"/>
    </row>
    <row r="921" spans="2:2" ht="15.5" x14ac:dyDescent="0.35">
      <c r="B921" s="18"/>
    </row>
    <row r="922" spans="2:2" ht="15.5" x14ac:dyDescent="0.35">
      <c r="B922" s="18"/>
    </row>
    <row r="923" spans="2:2" ht="15.5" x14ac:dyDescent="0.35">
      <c r="B923" s="18"/>
    </row>
    <row r="924" spans="2:2" ht="15.5" x14ac:dyDescent="0.35">
      <c r="B924" s="18"/>
    </row>
    <row r="925" spans="2:2" ht="15.5" x14ac:dyDescent="0.35">
      <c r="B925" s="18"/>
    </row>
    <row r="926" spans="2:2" ht="15.5" x14ac:dyDescent="0.35">
      <c r="B926" s="18"/>
    </row>
    <row r="927" spans="2:2" ht="15.5" x14ac:dyDescent="0.35">
      <c r="B927" s="18"/>
    </row>
    <row r="928" spans="2:2" ht="15.5" x14ac:dyDescent="0.35">
      <c r="B928" s="18"/>
    </row>
    <row r="929" spans="2:2" ht="15.5" x14ac:dyDescent="0.35">
      <c r="B929" s="18"/>
    </row>
    <row r="930" spans="2:2" ht="15.5" x14ac:dyDescent="0.35">
      <c r="B930" s="18"/>
    </row>
    <row r="931" spans="2:2" ht="15.5" x14ac:dyDescent="0.35">
      <c r="B931" s="18"/>
    </row>
    <row r="932" spans="2:2" ht="15.5" x14ac:dyDescent="0.35">
      <c r="B932" s="18"/>
    </row>
    <row r="933" spans="2:2" ht="15.5" x14ac:dyDescent="0.35">
      <c r="B933" s="18"/>
    </row>
    <row r="934" spans="2:2" ht="15.5" x14ac:dyDescent="0.35">
      <c r="B934" s="18"/>
    </row>
    <row r="935" spans="2:2" ht="15.5" x14ac:dyDescent="0.35">
      <c r="B935" s="18"/>
    </row>
    <row r="936" spans="2:2" ht="15.5" x14ac:dyDescent="0.35">
      <c r="B936" s="18"/>
    </row>
    <row r="937" spans="2:2" ht="15.5" x14ac:dyDescent="0.35">
      <c r="B937" s="18"/>
    </row>
    <row r="938" spans="2:2" ht="15.5" x14ac:dyDescent="0.35">
      <c r="B938" s="18"/>
    </row>
    <row r="939" spans="2:2" ht="15.5" x14ac:dyDescent="0.35">
      <c r="B939" s="18"/>
    </row>
    <row r="940" spans="2:2" ht="15.5" x14ac:dyDescent="0.35">
      <c r="B940" s="18"/>
    </row>
    <row r="941" spans="2:2" ht="15.5" x14ac:dyDescent="0.35">
      <c r="B941" s="18"/>
    </row>
    <row r="942" spans="2:2" ht="15.5" x14ac:dyDescent="0.35">
      <c r="B942" s="18"/>
    </row>
    <row r="943" spans="2:2" ht="15.5" x14ac:dyDescent="0.35">
      <c r="B943" s="18"/>
    </row>
    <row r="944" spans="2:2" ht="15.5" x14ac:dyDescent="0.35">
      <c r="B944" s="18"/>
    </row>
    <row r="945" spans="2:2" ht="15.5" x14ac:dyDescent="0.35">
      <c r="B945" s="18"/>
    </row>
    <row r="946" spans="2:2" ht="15.5" x14ac:dyDescent="0.35">
      <c r="B946" s="18"/>
    </row>
    <row r="947" spans="2:2" ht="15.5" x14ac:dyDescent="0.35">
      <c r="B947" s="18"/>
    </row>
    <row r="948" spans="2:2" ht="15.5" x14ac:dyDescent="0.35">
      <c r="B948" s="18"/>
    </row>
    <row r="949" spans="2:2" ht="15.5" x14ac:dyDescent="0.35">
      <c r="B949" s="18"/>
    </row>
    <row r="950" spans="2:2" ht="15.5" x14ac:dyDescent="0.35">
      <c r="B950" s="18"/>
    </row>
    <row r="951" spans="2:2" ht="15.5" x14ac:dyDescent="0.35">
      <c r="B951" s="18"/>
    </row>
    <row r="952" spans="2:2" ht="15.5" x14ac:dyDescent="0.35">
      <c r="B952" s="18"/>
    </row>
    <row r="953" spans="2:2" ht="15.5" x14ac:dyDescent="0.35">
      <c r="B953" s="18"/>
    </row>
    <row r="954" spans="2:2" ht="15.5" x14ac:dyDescent="0.35">
      <c r="B954" s="18"/>
    </row>
    <row r="955" spans="2:2" ht="15.5" x14ac:dyDescent="0.35">
      <c r="B955" s="18"/>
    </row>
    <row r="956" spans="2:2" ht="15.5" x14ac:dyDescent="0.35">
      <c r="B956" s="18"/>
    </row>
    <row r="957" spans="2:2" ht="15.5" x14ac:dyDescent="0.35">
      <c r="B957" s="18"/>
    </row>
    <row r="958" spans="2:2" ht="15.5" x14ac:dyDescent="0.35">
      <c r="B958" s="18"/>
    </row>
    <row r="959" spans="2:2" ht="15.5" x14ac:dyDescent="0.35">
      <c r="B959" s="18"/>
    </row>
    <row r="960" spans="2:2" ht="15.5" x14ac:dyDescent="0.35">
      <c r="B960" s="18"/>
    </row>
    <row r="961" spans="2:2" ht="15.5" x14ac:dyDescent="0.35">
      <c r="B961" s="18"/>
    </row>
    <row r="962" spans="2:2" ht="15.5" x14ac:dyDescent="0.35">
      <c r="B962" s="18"/>
    </row>
    <row r="963" spans="2:2" ht="15.5" x14ac:dyDescent="0.35">
      <c r="B963" s="18"/>
    </row>
    <row r="964" spans="2:2" ht="15.5" x14ac:dyDescent="0.35">
      <c r="B964" s="18"/>
    </row>
    <row r="965" spans="2:2" ht="15.5" x14ac:dyDescent="0.35">
      <c r="B965" s="18"/>
    </row>
    <row r="966" spans="2:2" ht="15.5" x14ac:dyDescent="0.35">
      <c r="B966" s="18"/>
    </row>
    <row r="967" spans="2:2" ht="15.5" x14ac:dyDescent="0.35">
      <c r="B967" s="18"/>
    </row>
    <row r="968" spans="2:2" ht="15.5" x14ac:dyDescent="0.35">
      <c r="B968" s="18"/>
    </row>
    <row r="969" spans="2:2" ht="15.5" x14ac:dyDescent="0.35">
      <c r="B969" s="18"/>
    </row>
    <row r="970" spans="2:2" ht="15.5" x14ac:dyDescent="0.35">
      <c r="B970" s="18"/>
    </row>
    <row r="971" spans="2:2" ht="15.5" x14ac:dyDescent="0.35">
      <c r="B971" s="18"/>
    </row>
    <row r="972" spans="2:2" ht="15.5" x14ac:dyDescent="0.35">
      <c r="B972" s="18"/>
    </row>
    <row r="973" spans="2:2" ht="15.5" x14ac:dyDescent="0.35">
      <c r="B973" s="18"/>
    </row>
    <row r="974" spans="2:2" ht="15.5" x14ac:dyDescent="0.35">
      <c r="B974" s="18"/>
    </row>
    <row r="975" spans="2:2" ht="15.5" x14ac:dyDescent="0.35">
      <c r="B975" s="18"/>
    </row>
    <row r="976" spans="2:2" ht="15.5" x14ac:dyDescent="0.35">
      <c r="B976" s="18"/>
    </row>
    <row r="977" spans="2:2" ht="15.5" x14ac:dyDescent="0.35">
      <c r="B977" s="18"/>
    </row>
    <row r="978" spans="2:2" ht="15.5" x14ac:dyDescent="0.35">
      <c r="B978" s="18"/>
    </row>
    <row r="979" spans="2:2" ht="15.5" x14ac:dyDescent="0.35">
      <c r="B979" s="18"/>
    </row>
    <row r="980" spans="2:2" ht="15.5" x14ac:dyDescent="0.35">
      <c r="B980" s="18"/>
    </row>
    <row r="981" spans="2:2" ht="15.5" x14ac:dyDescent="0.35">
      <c r="B981" s="18"/>
    </row>
    <row r="982" spans="2:2" ht="15.5" x14ac:dyDescent="0.35">
      <c r="B982" s="18"/>
    </row>
    <row r="983" spans="2:2" ht="15.5" x14ac:dyDescent="0.35">
      <c r="B983" s="18"/>
    </row>
    <row r="984" spans="2:2" ht="15.5" x14ac:dyDescent="0.35">
      <c r="B984" s="18"/>
    </row>
    <row r="985" spans="2:2" ht="15.5" x14ac:dyDescent="0.35">
      <c r="B985" s="18"/>
    </row>
    <row r="986" spans="2:2" ht="15.5" x14ac:dyDescent="0.35">
      <c r="B986" s="18"/>
    </row>
    <row r="987" spans="2:2" ht="15.5" x14ac:dyDescent="0.35">
      <c r="B987" s="18"/>
    </row>
    <row r="988" spans="2:2" ht="15.5" x14ac:dyDescent="0.35">
      <c r="B988" s="18"/>
    </row>
    <row r="989" spans="2:2" ht="15.5" x14ac:dyDescent="0.35">
      <c r="B989" s="18"/>
    </row>
    <row r="990" spans="2:2" ht="15.5" x14ac:dyDescent="0.35">
      <c r="B990" s="18"/>
    </row>
    <row r="991" spans="2:2" ht="15.5" x14ac:dyDescent="0.35">
      <c r="B991" s="18"/>
    </row>
    <row r="992" spans="2:2" ht="15.5" x14ac:dyDescent="0.35">
      <c r="B992" s="18"/>
    </row>
    <row r="993" spans="2:2" ht="15.5" x14ac:dyDescent="0.35">
      <c r="B993" s="18"/>
    </row>
    <row r="994" spans="2:2" ht="15.5" x14ac:dyDescent="0.35">
      <c r="B994" s="18"/>
    </row>
    <row r="995" spans="2:2" ht="15.5" x14ac:dyDescent="0.35">
      <c r="B995" s="18"/>
    </row>
    <row r="996" spans="2:2" ht="15.5" x14ac:dyDescent="0.35">
      <c r="B996" s="18"/>
    </row>
    <row r="997" spans="2:2" ht="15.5" x14ac:dyDescent="0.35">
      <c r="B997" s="18"/>
    </row>
    <row r="998" spans="2:2" ht="15.5" x14ac:dyDescent="0.35">
      <c r="B998" s="18"/>
    </row>
    <row r="999" spans="2:2" ht="15.5" x14ac:dyDescent="0.35">
      <c r="B999" s="18"/>
    </row>
    <row r="1000" spans="2:2" ht="15.5" x14ac:dyDescent="0.35">
      <c r="B1000" s="18"/>
    </row>
    <row r="1001" spans="2:2" ht="15.5" x14ac:dyDescent="0.35">
      <c r="B1001" s="18"/>
    </row>
    <row r="1002" spans="2:2" ht="15.5" x14ac:dyDescent="0.35">
      <c r="B1002" s="18"/>
    </row>
    <row r="1003" spans="2:2" ht="15.5" x14ac:dyDescent="0.35">
      <c r="B1003" s="18"/>
    </row>
    <row r="1004" spans="2:2" ht="15.5" x14ac:dyDescent="0.35">
      <c r="B1004" s="18"/>
    </row>
    <row r="1005" spans="2:2" ht="15.5" x14ac:dyDescent="0.35">
      <c r="B1005" s="18"/>
    </row>
    <row r="1006" spans="2:2" ht="15.5" x14ac:dyDescent="0.35">
      <c r="B1006" s="18"/>
    </row>
    <row r="1007" spans="2:2" ht="15.5" x14ac:dyDescent="0.35">
      <c r="B1007" s="18"/>
    </row>
    <row r="1008" spans="2:2" ht="15.5" x14ac:dyDescent="0.35">
      <c r="B1008" s="18"/>
    </row>
    <row r="1009" spans="2:2" ht="15.5" x14ac:dyDescent="0.35">
      <c r="B1009" s="18"/>
    </row>
    <row r="1010" spans="2:2" ht="15.5" x14ac:dyDescent="0.35">
      <c r="B1010" s="18"/>
    </row>
    <row r="1011" spans="2:2" ht="15.5" x14ac:dyDescent="0.35">
      <c r="B1011" s="18"/>
    </row>
    <row r="1012" spans="2:2" ht="15.5" x14ac:dyDescent="0.35">
      <c r="B1012" s="18"/>
    </row>
    <row r="1013" spans="2:2" ht="15.5" x14ac:dyDescent="0.35">
      <c r="B1013" s="18"/>
    </row>
    <row r="1014" spans="2:2" ht="15.5" x14ac:dyDescent="0.35">
      <c r="B1014" s="18"/>
    </row>
    <row r="1015" spans="2:2" ht="15.5" x14ac:dyDescent="0.35">
      <c r="B1015" s="18"/>
    </row>
    <row r="1016" spans="2:2" ht="15.5" x14ac:dyDescent="0.35">
      <c r="B1016" s="18"/>
    </row>
    <row r="1017" spans="2:2" ht="15.5" x14ac:dyDescent="0.35">
      <c r="B1017" s="18"/>
    </row>
    <row r="1018" spans="2:2" ht="15.5" x14ac:dyDescent="0.35">
      <c r="B1018" s="18"/>
    </row>
    <row r="1019" spans="2:2" ht="15.5" x14ac:dyDescent="0.35">
      <c r="B1019" s="18"/>
    </row>
    <row r="1020" spans="2:2" ht="15.5" x14ac:dyDescent="0.35">
      <c r="B1020" s="18"/>
    </row>
    <row r="1021" spans="2:2" ht="15.5" x14ac:dyDescent="0.35">
      <c r="B1021" s="18"/>
    </row>
    <row r="1022" spans="2:2" ht="15.5" x14ac:dyDescent="0.35">
      <c r="B1022" s="18"/>
    </row>
    <row r="1023" spans="2:2" ht="15.5" x14ac:dyDescent="0.35">
      <c r="B1023" s="18"/>
    </row>
    <row r="1024" spans="2:2" ht="15.5" x14ac:dyDescent="0.35">
      <c r="B1024" s="18"/>
    </row>
    <row r="1025" spans="2:22" x14ac:dyDescent="0.35">
      <c r="B1025"/>
      <c r="C1025"/>
      <c r="D1025"/>
      <c r="E1025"/>
      <c r="F1025"/>
      <c r="G1025"/>
      <c r="H1025"/>
      <c r="I1025"/>
      <c r="J1025"/>
      <c r="K1025"/>
      <c r="L1025"/>
      <c r="M1025"/>
      <c r="N1025"/>
    </row>
    <row r="1026" spans="2:22" x14ac:dyDescent="0.35">
      <c r="B1026"/>
      <c r="C1026"/>
      <c r="D1026"/>
      <c r="E1026"/>
      <c r="F1026"/>
      <c r="G1026"/>
      <c r="H1026"/>
      <c r="I1026"/>
      <c r="J1026"/>
      <c r="K1026"/>
      <c r="L1026"/>
      <c r="M1026"/>
      <c r="N1026"/>
    </row>
    <row r="1027" spans="2:22" x14ac:dyDescent="0.35">
      <c r="B1027"/>
      <c r="C1027"/>
      <c r="D1027"/>
      <c r="E1027"/>
      <c r="F1027"/>
      <c r="G1027"/>
      <c r="H1027"/>
      <c r="I1027"/>
      <c r="J1027"/>
      <c r="K1027"/>
      <c r="L1027"/>
      <c r="M1027"/>
      <c r="N1027"/>
    </row>
    <row r="1028" spans="2:22" x14ac:dyDescent="0.35">
      <c r="B1028"/>
      <c r="C1028"/>
      <c r="D1028"/>
      <c r="E1028"/>
      <c r="F1028"/>
      <c r="G1028"/>
      <c r="H1028"/>
      <c r="I1028"/>
      <c r="J1028"/>
      <c r="K1028"/>
      <c r="L1028"/>
      <c r="M1028"/>
      <c r="N1028"/>
    </row>
    <row r="1029" spans="2:22" x14ac:dyDescent="0.35">
      <c r="B1029"/>
      <c r="C1029"/>
      <c r="D1029"/>
      <c r="E1029"/>
      <c r="F1029"/>
      <c r="G1029"/>
      <c r="H1029"/>
      <c r="I1029"/>
      <c r="J1029"/>
      <c r="K1029"/>
      <c r="L1029"/>
      <c r="M1029"/>
      <c r="N1029"/>
    </row>
    <row r="1030" spans="2:22" x14ac:dyDescent="0.35">
      <c r="B1030"/>
      <c r="C1030"/>
      <c r="D1030"/>
      <c r="E1030"/>
      <c r="F1030"/>
      <c r="G1030"/>
      <c r="H1030"/>
      <c r="I1030"/>
      <c r="J1030"/>
      <c r="K1030"/>
      <c r="L1030"/>
      <c r="M1030"/>
      <c r="N1030"/>
    </row>
    <row r="1031" spans="2:22" x14ac:dyDescent="0.35">
      <c r="B1031"/>
      <c r="C1031"/>
      <c r="D1031"/>
      <c r="E1031"/>
      <c r="F1031"/>
      <c r="G1031"/>
      <c r="H1031"/>
      <c r="I1031"/>
      <c r="J1031"/>
      <c r="K1031"/>
      <c r="L1031"/>
      <c r="M1031"/>
      <c r="N1031"/>
    </row>
    <row r="1032" spans="2:22" x14ac:dyDescent="0.35">
      <c r="B1032"/>
      <c r="C1032"/>
      <c r="D1032"/>
      <c r="E1032"/>
      <c r="F1032"/>
      <c r="G1032"/>
      <c r="H1032"/>
      <c r="I1032"/>
      <c r="J1032"/>
      <c r="K1032"/>
      <c r="L1032"/>
      <c r="M1032"/>
      <c r="N1032"/>
    </row>
    <row r="1033" spans="2:22" s="14" customFormat="1" x14ac:dyDescent="0.35">
      <c r="B1033"/>
      <c r="C1033"/>
      <c r="D1033"/>
      <c r="E1033"/>
      <c r="F1033"/>
      <c r="G1033"/>
      <c r="H1033"/>
      <c r="I1033"/>
      <c r="J1033"/>
      <c r="K1033"/>
      <c r="L1033"/>
      <c r="M1033"/>
      <c r="N1033"/>
      <c r="V1033"/>
    </row>
    <row r="1034" spans="2:22" s="14" customFormat="1" x14ac:dyDescent="0.35">
      <c r="B1034"/>
      <c r="C1034"/>
      <c r="D1034"/>
      <c r="E1034"/>
      <c r="F1034"/>
      <c r="G1034"/>
      <c r="H1034"/>
      <c r="I1034"/>
      <c r="J1034"/>
      <c r="K1034"/>
      <c r="L1034"/>
      <c r="M1034"/>
      <c r="N1034"/>
      <c r="V1034"/>
    </row>
    <row r="1035" spans="2:22" s="14" customFormat="1" x14ac:dyDescent="0.35">
      <c r="B1035"/>
      <c r="C1035"/>
      <c r="D1035"/>
      <c r="E1035"/>
      <c r="F1035"/>
      <c r="G1035"/>
      <c r="H1035"/>
      <c r="I1035"/>
      <c r="J1035"/>
      <c r="K1035"/>
      <c r="L1035"/>
      <c r="M1035"/>
      <c r="N1035"/>
      <c r="V1035"/>
    </row>
    <row r="1036" spans="2:22" s="14" customFormat="1" x14ac:dyDescent="0.35">
      <c r="B1036"/>
      <c r="C1036"/>
      <c r="D1036"/>
      <c r="E1036"/>
      <c r="F1036"/>
      <c r="G1036"/>
      <c r="H1036"/>
      <c r="I1036"/>
      <c r="J1036"/>
      <c r="K1036"/>
      <c r="L1036"/>
      <c r="M1036"/>
      <c r="N1036"/>
      <c r="V1036"/>
    </row>
    <row r="1037" spans="2:22" s="14" customFormat="1" x14ac:dyDescent="0.35">
      <c r="B1037"/>
      <c r="C1037"/>
      <c r="D1037"/>
      <c r="E1037"/>
      <c r="F1037"/>
      <c r="G1037"/>
      <c r="H1037"/>
      <c r="I1037"/>
      <c r="J1037"/>
      <c r="K1037"/>
      <c r="L1037"/>
      <c r="M1037"/>
      <c r="N1037"/>
      <c r="V1037"/>
    </row>
    <row r="1038" spans="2:22" s="14" customFormat="1" x14ac:dyDescent="0.35">
      <c r="B1038"/>
      <c r="C1038"/>
      <c r="D1038"/>
      <c r="E1038"/>
      <c r="F1038"/>
      <c r="G1038"/>
      <c r="H1038"/>
      <c r="I1038"/>
      <c r="J1038"/>
      <c r="K1038"/>
      <c r="L1038"/>
      <c r="M1038"/>
      <c r="N1038"/>
      <c r="V1038"/>
    </row>
    <row r="1039" spans="2:22" s="14" customFormat="1" x14ac:dyDescent="0.35">
      <c r="B1039"/>
      <c r="C1039"/>
      <c r="D1039"/>
      <c r="E1039"/>
      <c r="F1039"/>
      <c r="G1039"/>
      <c r="H1039"/>
      <c r="I1039"/>
      <c r="J1039"/>
      <c r="K1039"/>
      <c r="L1039"/>
      <c r="M1039"/>
      <c r="N1039"/>
      <c r="V1039"/>
    </row>
    <row r="1040" spans="2:22" s="14" customFormat="1" x14ac:dyDescent="0.35">
      <c r="B1040"/>
      <c r="C1040"/>
      <c r="D1040"/>
      <c r="E1040"/>
      <c r="F1040"/>
      <c r="G1040"/>
      <c r="H1040"/>
      <c r="I1040"/>
      <c r="J1040"/>
      <c r="K1040"/>
      <c r="L1040"/>
      <c r="M1040"/>
      <c r="N1040"/>
      <c r="V1040"/>
    </row>
    <row r="1041" spans="2:22" s="14" customFormat="1" x14ac:dyDescent="0.35">
      <c r="B1041"/>
      <c r="C1041"/>
      <c r="D1041"/>
      <c r="E1041"/>
      <c r="F1041"/>
      <c r="G1041"/>
      <c r="H1041"/>
      <c r="I1041"/>
      <c r="J1041"/>
      <c r="K1041"/>
      <c r="L1041"/>
      <c r="M1041"/>
      <c r="N1041"/>
      <c r="V1041"/>
    </row>
    <row r="1042" spans="2:22" s="14" customFormat="1" x14ac:dyDescent="0.35">
      <c r="B1042"/>
      <c r="C1042"/>
      <c r="D1042"/>
      <c r="E1042"/>
      <c r="F1042"/>
      <c r="G1042"/>
      <c r="H1042"/>
      <c r="I1042"/>
      <c r="J1042"/>
      <c r="K1042"/>
      <c r="L1042"/>
      <c r="M1042"/>
      <c r="N1042"/>
      <c r="V1042"/>
    </row>
    <row r="1043" spans="2:22" s="14" customFormat="1" x14ac:dyDescent="0.35">
      <c r="B1043"/>
      <c r="C1043"/>
      <c r="D1043"/>
      <c r="E1043"/>
      <c r="F1043"/>
      <c r="G1043"/>
      <c r="H1043"/>
      <c r="I1043"/>
      <c r="J1043"/>
      <c r="K1043"/>
      <c r="L1043"/>
      <c r="M1043"/>
      <c r="N1043"/>
      <c r="V1043"/>
    </row>
    <row r="1044" spans="2:22" s="14" customFormat="1" x14ac:dyDescent="0.35">
      <c r="B1044" s="3"/>
      <c r="C1044" s="3"/>
      <c r="D1044" s="3"/>
      <c r="E1044" s="3"/>
      <c r="F1044" s="3"/>
      <c r="G1044" s="3"/>
      <c r="V1044"/>
    </row>
    <row r="1045" spans="2:22" s="14" customFormat="1" x14ac:dyDescent="0.35">
      <c r="B1045" s="3"/>
      <c r="C1045" s="3"/>
      <c r="D1045" s="3"/>
      <c r="E1045" s="3"/>
      <c r="F1045" s="3"/>
      <c r="G1045" s="3"/>
      <c r="V1045"/>
    </row>
    <row r="1046" spans="2:22" s="14" customFormat="1" x14ac:dyDescent="0.35">
      <c r="B1046" s="3"/>
      <c r="C1046" s="3"/>
      <c r="D1046" s="3"/>
      <c r="E1046" s="3"/>
      <c r="F1046" s="3"/>
      <c r="G1046" s="3"/>
      <c r="V1046"/>
    </row>
    <row r="1047" spans="2:22" s="14" customFormat="1" x14ac:dyDescent="0.35">
      <c r="B1047" s="3"/>
      <c r="C1047" s="3"/>
      <c r="D1047" s="3"/>
      <c r="E1047" s="3"/>
      <c r="F1047" s="3"/>
      <c r="G1047" s="3"/>
      <c r="V1047"/>
    </row>
  </sheetData>
  <conditionalFormatting sqref="B129:T180">
    <cfRule type="expression" dxfId="9" priority="9">
      <formula>+ISODD($B129)</formula>
    </cfRule>
  </conditionalFormatting>
  <conditionalFormatting sqref="V182:V323">
    <cfRule type="expression" dxfId="8" priority="8">
      <formula>ISODD($B182)</formula>
    </cfRule>
  </conditionalFormatting>
  <conditionalFormatting sqref="V325:V376">
    <cfRule type="expression" dxfId="7" priority="35">
      <formula>ISODD($B129)</formula>
    </cfRule>
  </conditionalFormatting>
  <conditionalFormatting sqref="Z129:AB148 V129:X181 V324">
    <cfRule type="expression" dxfId="6" priority="27">
      <formula>ISODD(#REF!)</formula>
    </cfRule>
  </conditionalFormatting>
  <conditionalFormatting sqref="AU129:AX148">
    <cfRule type="expression" dxfId="5" priority="1">
      <formula>ISODD(#REF!)</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0919F-87B6-432C-A77C-AC4EBD5447F8}">
  <sheetPr codeName="Sheet6"/>
  <dimension ref="B1:BJ1039"/>
  <sheetViews>
    <sheetView showGridLines="0" tabSelected="1" zoomScaleNormal="100" workbookViewId="0"/>
  </sheetViews>
  <sheetFormatPr defaultColWidth="8.453125" defaultRowHeight="14" x14ac:dyDescent="0.3"/>
  <cols>
    <col min="1" max="1" width="1.453125" style="3" customWidth="1"/>
    <col min="2" max="2" width="25.453125" style="3" customWidth="1"/>
    <col min="3" max="8" width="17.453125" style="3" customWidth="1"/>
    <col min="9" max="17" width="13.453125" style="3" customWidth="1"/>
    <col min="18" max="20" width="11.6328125" style="3" customWidth="1"/>
    <col min="21" max="21" width="8.6328125" style="3" customWidth="1"/>
    <col min="22" max="23" width="15.453125" style="3" customWidth="1"/>
    <col min="24" max="24" width="21.453125" style="3" customWidth="1"/>
    <col min="25" max="25" width="8.6328125" style="3" bestFit="1" customWidth="1"/>
    <col min="26" max="28" width="17.453125" style="3" customWidth="1"/>
    <col min="29" max="30" width="18.453125" style="3" customWidth="1"/>
    <col min="31" max="46" width="8.453125" style="3" bestFit="1"/>
    <col min="47" max="50" width="13.6328125" style="3" customWidth="1"/>
    <col min="51" max="16384" width="8.453125" style="3"/>
  </cols>
  <sheetData>
    <row r="1" spans="2:16" ht="13" customHeight="1" x14ac:dyDescent="0.35">
      <c r="J1"/>
      <c r="K1"/>
      <c r="L1"/>
      <c r="M1"/>
      <c r="N1"/>
      <c r="O1"/>
      <c r="P1"/>
    </row>
    <row r="2" spans="2:16" ht="13" customHeight="1" x14ac:dyDescent="0.35">
      <c r="J2"/>
      <c r="K2"/>
      <c r="L2"/>
      <c r="M2"/>
      <c r="N2"/>
      <c r="O2"/>
      <c r="P2"/>
    </row>
    <row r="3" spans="2:16" ht="20" customHeight="1" x14ac:dyDescent="0.4">
      <c r="B3" s="83" t="s">
        <v>28</v>
      </c>
      <c r="J3"/>
      <c r="K3"/>
      <c r="L3"/>
      <c r="M3"/>
      <c r="N3"/>
      <c r="O3"/>
      <c r="P3"/>
    </row>
    <row r="4" spans="2:16" ht="13" customHeight="1" x14ac:dyDescent="0.35">
      <c r="J4"/>
      <c r="K4"/>
      <c r="L4"/>
      <c r="M4"/>
      <c r="N4"/>
      <c r="O4"/>
      <c r="P4"/>
    </row>
    <row r="5" spans="2:16" ht="13" customHeight="1" x14ac:dyDescent="0.35">
      <c r="B5" s="80"/>
      <c r="C5"/>
      <c r="D5" s="3" t="s">
        <v>29</v>
      </c>
      <c r="J5"/>
      <c r="K5"/>
      <c r="L5"/>
      <c r="M5"/>
      <c r="N5"/>
      <c r="O5"/>
      <c r="P5"/>
    </row>
    <row r="6" spans="2:16" ht="13" customHeight="1" x14ac:dyDescent="0.35">
      <c r="B6" s="79"/>
      <c r="D6" s="3" t="s">
        <v>30</v>
      </c>
      <c r="J6"/>
      <c r="K6"/>
      <c r="L6"/>
      <c r="M6"/>
      <c r="N6"/>
      <c r="O6"/>
      <c r="P6"/>
    </row>
    <row r="7" spans="2:16" ht="13" customHeight="1" x14ac:dyDescent="0.35">
      <c r="B7"/>
      <c r="J7"/>
      <c r="K7"/>
      <c r="L7"/>
      <c r="M7"/>
      <c r="N7"/>
      <c r="O7"/>
      <c r="P7"/>
    </row>
    <row r="8" spans="2:16" ht="13" customHeight="1" x14ac:dyDescent="0.35">
      <c r="J8"/>
      <c r="K8"/>
      <c r="L8"/>
      <c r="M8"/>
      <c r="N8"/>
      <c r="O8"/>
      <c r="P8"/>
    </row>
    <row r="9" spans="2:16" ht="18" x14ac:dyDescent="0.4">
      <c r="B9" s="41" t="s">
        <v>31</v>
      </c>
    </row>
    <row r="11" spans="2:16" x14ac:dyDescent="0.3">
      <c r="B11" s="3" t="s">
        <v>32</v>
      </c>
      <c r="C11" s="5">
        <v>45657</v>
      </c>
    </row>
    <row r="13" spans="2:16" x14ac:dyDescent="0.3">
      <c r="B13" s="3" t="s">
        <v>33</v>
      </c>
      <c r="C13" s="5">
        <f>+EOMONTH($C$11,'ZCB rates'!C$3)</f>
        <v>45747</v>
      </c>
      <c r="D13" s="5">
        <f>+EOMONTH($C$11,'ZCB rates'!D$3)</f>
        <v>45838</v>
      </c>
      <c r="E13" s="5">
        <f>+EOMONTH($C$11,'ZCB rates'!E$3)</f>
        <v>46022</v>
      </c>
      <c r="F13" s="5">
        <f>+EOMONTH($C$11,'ZCB rates'!F$3)</f>
        <v>46387</v>
      </c>
      <c r="G13" s="5">
        <f>+EOMONTH($C$11,'ZCB rates'!G$3)</f>
        <v>47483</v>
      </c>
    </row>
    <row r="14" spans="2:16" x14ac:dyDescent="0.3">
      <c r="B14" s="3" t="s">
        <v>34</v>
      </c>
      <c r="C14" s="8">
        <f>+C13-$C$11</f>
        <v>90</v>
      </c>
      <c r="D14" s="8">
        <f>+D13-$C$11</f>
        <v>181</v>
      </c>
      <c r="E14" s="8">
        <f t="shared" ref="E14:G14" si="0">+E13-$C$11</f>
        <v>365</v>
      </c>
      <c r="F14" s="8">
        <f t="shared" si="0"/>
        <v>730</v>
      </c>
      <c r="G14" s="8">
        <f t="shared" si="0"/>
        <v>1826</v>
      </c>
    </row>
    <row r="15" spans="2:16" x14ac:dyDescent="0.3">
      <c r="B15" s="5"/>
      <c r="C15" s="5"/>
      <c r="D15" s="5"/>
      <c r="E15" s="5"/>
      <c r="F15" s="5"/>
      <c r="G15" s="5"/>
    </row>
    <row r="16" spans="2:16" x14ac:dyDescent="0.3">
      <c r="B16" s="5"/>
      <c r="C16" s="5"/>
      <c r="D16" s="5"/>
      <c r="E16" s="5"/>
      <c r="F16" s="5"/>
      <c r="G16" s="5"/>
    </row>
    <row r="17" spans="2:7" ht="18" x14ac:dyDescent="0.4">
      <c r="B17" s="42" t="s">
        <v>35</v>
      </c>
      <c r="C17" s="5"/>
      <c r="D17" s="5"/>
      <c r="E17" s="5"/>
      <c r="F17" s="5"/>
      <c r="G17" s="5"/>
    </row>
    <row r="18" spans="2:7" x14ac:dyDescent="0.3">
      <c r="B18" s="5"/>
      <c r="C18" s="5"/>
      <c r="D18" s="5"/>
      <c r="E18" s="5"/>
      <c r="F18" s="5"/>
      <c r="G18" s="5"/>
    </row>
    <row r="19" spans="2:7" x14ac:dyDescent="0.3">
      <c r="B19" s="32"/>
      <c r="C19" s="34">
        <f>+'ZCB rates'!C3</f>
        <v>3</v>
      </c>
      <c r="D19" s="34">
        <f>+'ZCB rates'!D3</f>
        <v>6</v>
      </c>
      <c r="E19" s="34">
        <f>+'ZCB rates'!E3</f>
        <v>12</v>
      </c>
      <c r="F19" s="34">
        <f>+'ZCB rates'!F3</f>
        <v>24</v>
      </c>
      <c r="G19" s="34">
        <f>+'ZCB rates'!G3</f>
        <v>60</v>
      </c>
    </row>
    <row r="20" spans="2:7" x14ac:dyDescent="0.3">
      <c r="B20" s="5">
        <f>+C11</f>
        <v>45657</v>
      </c>
      <c r="C20" s="15">
        <f>'ZCB rates'!R265</f>
        <v>2.7300204186085031E-2</v>
      </c>
      <c r="D20" s="15">
        <f>'ZCB rates'!S265</f>
        <v>2.5143066578352746E-2</v>
      </c>
      <c r="E20" s="15">
        <f>'ZCB rates'!T265</f>
        <v>2.2922953641697941E-2</v>
      </c>
      <c r="F20" s="15">
        <f>'ZCB rates'!U265</f>
        <v>2.2246200376103697E-2</v>
      </c>
      <c r="G20" s="15">
        <f>'ZCB rates'!V265</f>
        <v>2.5693480331779872E-2</v>
      </c>
    </row>
    <row r="21" spans="2:7" x14ac:dyDescent="0.3">
      <c r="B21" s="5"/>
      <c r="C21" s="5"/>
      <c r="D21" s="5"/>
      <c r="E21" s="5"/>
      <c r="F21" s="5"/>
      <c r="G21" s="5"/>
    </row>
    <row r="22" spans="2:7" x14ac:dyDescent="0.3">
      <c r="B22" s="5"/>
      <c r="C22" s="5"/>
      <c r="D22" s="5"/>
      <c r="E22" s="5"/>
      <c r="F22" s="5"/>
      <c r="G22" s="5"/>
    </row>
    <row r="23" spans="2:7" ht="20" x14ac:dyDescent="0.4">
      <c r="B23" s="47" t="s">
        <v>16</v>
      </c>
    </row>
    <row r="24" spans="2:7" customFormat="1" ht="17" customHeight="1" x14ac:dyDescent="0.35"/>
    <row r="25" spans="2:7" ht="17" customHeight="1" x14ac:dyDescent="0.3">
      <c r="B25" s="9"/>
      <c r="D25" s="5"/>
      <c r="E25" s="5"/>
      <c r="F25" s="5"/>
      <c r="G25" s="5"/>
    </row>
    <row r="26" spans="2:7" ht="17" customHeight="1" x14ac:dyDescent="0.3">
      <c r="B26" s="32"/>
      <c r="C26" s="6">
        <f>+Assumptions!F7</f>
        <v>45838</v>
      </c>
      <c r="D26" s="6">
        <f>+Assumptions!G7</f>
        <v>46022</v>
      </c>
      <c r="E26" s="6">
        <f>+Assumptions!H7</f>
        <v>46203</v>
      </c>
      <c r="F26" s="6">
        <f>+Assumptions!I7</f>
        <v>46387</v>
      </c>
    </row>
    <row r="27" spans="2:7" ht="17" customHeight="1" x14ac:dyDescent="0.3">
      <c r="B27" s="5" t="s">
        <v>36</v>
      </c>
      <c r="C27" s="79">
        <f>+(C26-$C$11)/365</f>
        <v>0.49589041095890413</v>
      </c>
      <c r="D27" s="79">
        <f>+(D26-$C$11)/365</f>
        <v>1</v>
      </c>
      <c r="E27" s="80">
        <f>+(E26-$C$11)/365</f>
        <v>1.4958904109589042</v>
      </c>
      <c r="F27" s="79">
        <f>+(F26-$C$11)/365</f>
        <v>2</v>
      </c>
    </row>
    <row r="28" spans="2:7" ht="17" customHeight="1" x14ac:dyDescent="0.3">
      <c r="B28" s="3" t="s">
        <v>37</v>
      </c>
      <c r="C28" s="15"/>
      <c r="D28" s="15"/>
      <c r="E28" s="15">
        <f>+_xlfn.LET(_xlpm.t_rem,E27,_xlpm.r_m1,E20,_xlpm.r_m2,F20,_xlpm.mone,E19,_xlpm.mtwo,F19,_xlpm.r_m1+(_xlpm.r_m2-_xlpm.r_m1)/(_xlpm.mtwo/month_in_a_year-_xlpm.mone/month_in_a_year)*(_xlpm.t_rem-_xlpm.mone/month_in_a_year))</f>
        <v>2.2587358186704633E-2</v>
      </c>
      <c r="F28" s="15"/>
    </row>
    <row r="29" spans="2:7" ht="17" customHeight="1" x14ac:dyDescent="0.3">
      <c r="B29" s="10" t="s">
        <v>38</v>
      </c>
      <c r="C29" s="12"/>
      <c r="D29" s="12"/>
      <c r="E29" s="12">
        <f>+E27/(1+E28)</f>
        <v>1.4628485272998881</v>
      </c>
      <c r="F29" s="12"/>
    </row>
    <row r="30" spans="2:7" ht="17" customHeight="1" x14ac:dyDescent="0.3"/>
    <row r="31" spans="2:7" ht="17" customHeight="1" x14ac:dyDescent="0.3">
      <c r="B31" s="45" t="s">
        <v>39</v>
      </c>
      <c r="C31" s="44" t="s">
        <v>105</v>
      </c>
      <c r="D31" s="44" t="s">
        <v>106</v>
      </c>
      <c r="E31" s="44" t="s">
        <v>41</v>
      </c>
      <c r="F31" s="44" t="s">
        <v>107</v>
      </c>
    </row>
    <row r="32" spans="2:7" ht="17" customHeight="1" x14ac:dyDescent="0.3">
      <c r="B32" s="3" t="s">
        <v>43</v>
      </c>
      <c r="C32" s="8"/>
      <c r="D32" s="8"/>
      <c r="E32" s="8">
        <f>+(E$19/month_in_a_year)/(1+E$20)</f>
        <v>0.97759073294807775</v>
      </c>
      <c r="F32" s="8"/>
    </row>
    <row r="33" spans="2:7" ht="17" customHeight="1" x14ac:dyDescent="0.3">
      <c r="B33" s="3" t="s">
        <v>44</v>
      </c>
      <c r="C33" s="8"/>
      <c r="D33" s="8"/>
      <c r="E33" s="8">
        <f>+(F$19/month_in_a_year)/(1+F$20)</f>
        <v>1.9564758462923728</v>
      </c>
      <c r="F33" s="8"/>
    </row>
    <row r="34" spans="2:7" ht="17" customHeight="1" x14ac:dyDescent="0.3">
      <c r="C34" s="8"/>
      <c r="D34" s="8"/>
      <c r="E34" s="8"/>
      <c r="F34" s="8"/>
    </row>
    <row r="35" spans="2:7" ht="17" customHeight="1" x14ac:dyDescent="0.3">
      <c r="B35" s="3" t="s">
        <v>45</v>
      </c>
      <c r="C35" s="8">
        <f>Assumptions!F8/(1+D20)^C27</f>
        <v>197.55229351852356</v>
      </c>
      <c r="D35" s="8">
        <f>Assumptions!G8/(1+E20)^D27</f>
        <v>195.51814658961555</v>
      </c>
      <c r="E35" s="8">
        <f>+Assumptions!H8/(1+E28)^E27</f>
        <v>193.42795097529927</v>
      </c>
      <c r="F35" s="8">
        <f>Assumptions!I8/(1+F20)^F27</f>
        <v>9760.8842296699149</v>
      </c>
    </row>
    <row r="36" spans="2:7" ht="17" customHeight="1" x14ac:dyDescent="0.3">
      <c r="C36" s="8"/>
      <c r="D36" s="8"/>
      <c r="E36" s="8"/>
      <c r="F36" s="8"/>
    </row>
    <row r="37" spans="2:7" ht="17" customHeight="1" x14ac:dyDescent="0.3">
      <c r="B37" s="3" t="s">
        <v>46</v>
      </c>
      <c r="C37" s="8"/>
      <c r="D37" s="8"/>
      <c r="E37" s="8">
        <f>+_xlfn.LET(_xlpm.MDvirt1,E32,_xlpm.MDvirt2,E33,_xlpm.MDreal,E29,_xlpm.Mvreal,E35,(_xlpm.MDvirt2-_xlpm.MDreal)/(_xlpm.MDvirt2-_xlpm.MDvirt1)*_xlpm.Mvreal)</f>
        <v>97.540885601928537</v>
      </c>
      <c r="F37" s="8"/>
    </row>
    <row r="38" spans="2:7" ht="17" customHeight="1" x14ac:dyDescent="0.3">
      <c r="B38" s="3" t="s">
        <v>47</v>
      </c>
      <c r="C38" s="8"/>
      <c r="D38" s="8"/>
      <c r="E38" s="8">
        <f>+E35-E37</f>
        <v>95.887065373370731</v>
      </c>
      <c r="F38" s="8"/>
    </row>
    <row r="39" spans="2:7" ht="17" customHeight="1" x14ac:dyDescent="0.3">
      <c r="C39" s="8"/>
      <c r="D39" s="8"/>
      <c r="E39" s="8"/>
      <c r="F39" s="8"/>
    </row>
    <row r="40" spans="2:7" ht="17" customHeight="1" x14ac:dyDescent="0.3">
      <c r="B40" s="3" t="s">
        <v>48</v>
      </c>
      <c r="C40" s="138">
        <f>Assumptions!F8</f>
        <v>200</v>
      </c>
      <c r="D40" s="133">
        <f>Assumptions!G8</f>
        <v>200</v>
      </c>
      <c r="E40" s="133">
        <f>+E37*(1+E20)^(E19/month_in_a_year)</f>
        <v>99.776810800751704</v>
      </c>
      <c r="F40" s="134">
        <f>Assumptions!I8</f>
        <v>10200</v>
      </c>
    </row>
    <row r="41" spans="2:7" ht="17" customHeight="1" x14ac:dyDescent="0.3">
      <c r="B41" s="3" t="s">
        <v>49</v>
      </c>
      <c r="C41" s="137"/>
      <c r="D41" s="135"/>
      <c r="E41" s="135">
        <f>+E38*(1+F20)^(F19/month_in_a_year)</f>
        <v>100.20076499170365</v>
      </c>
      <c r="F41" s="136"/>
    </row>
    <row r="42" spans="2:7" ht="17" customHeight="1" x14ac:dyDescent="0.3"/>
    <row r="43" spans="2:7" ht="17" customHeight="1" x14ac:dyDescent="0.3">
      <c r="B43" s="3" t="s">
        <v>50</v>
      </c>
      <c r="C43" s="11"/>
      <c r="D43" s="11"/>
      <c r="E43" s="11">
        <f>+E29-E32*E37/E35-E33*E38/E35</f>
        <v>0</v>
      </c>
      <c r="F43" s="11"/>
    </row>
    <row r="46" spans="2:7" ht="17" customHeight="1" x14ac:dyDescent="0.3"/>
    <row r="47" spans="2:7" ht="17" customHeight="1" x14ac:dyDescent="0.4">
      <c r="B47" s="47" t="s">
        <v>19</v>
      </c>
    </row>
    <row r="48" spans="2:7" ht="17" customHeight="1" x14ac:dyDescent="0.35">
      <c r="C48"/>
      <c r="D48"/>
      <c r="E48"/>
      <c r="F48"/>
      <c r="G48" s="11"/>
    </row>
    <row r="49" spans="2:10" ht="17" customHeight="1" x14ac:dyDescent="0.3">
      <c r="C49" s="11"/>
      <c r="D49" s="11"/>
      <c r="E49" s="11"/>
      <c r="F49" s="11"/>
      <c r="G49" s="11"/>
    </row>
    <row r="50" spans="2:10" ht="17" customHeight="1" x14ac:dyDescent="0.35">
      <c r="B50" s="32"/>
      <c r="C50" s="6">
        <f>+Assumptions!E10</f>
        <v>45747</v>
      </c>
      <c r="D50" s="6">
        <f>+Assumptions!F10</f>
        <v>45838</v>
      </c>
      <c r="E50" s="6">
        <f>+Assumptions!G10</f>
        <v>46022</v>
      </c>
      <c r="F50" s="6">
        <f>+Assumptions!H10</f>
        <v>46203</v>
      </c>
      <c r="G50"/>
    </row>
    <row r="51" spans="2:10" ht="17" customHeight="1" x14ac:dyDescent="0.35">
      <c r="B51" s="5" t="s">
        <v>36</v>
      </c>
      <c r="C51" s="79">
        <f>+(C50-$C$11)/365</f>
        <v>0.24657534246575341</v>
      </c>
      <c r="D51" s="79">
        <f>+(D50-$C$11)/365</f>
        <v>0.49589041095890413</v>
      </c>
      <c r="E51" s="79">
        <f>+(E50-$C$11)/365</f>
        <v>1</v>
      </c>
      <c r="F51" s="80">
        <f>+(F50-$C$11)/365</f>
        <v>1.4958904109589042</v>
      </c>
      <c r="G51"/>
    </row>
    <row r="52" spans="2:10" ht="17" customHeight="1" x14ac:dyDescent="0.35">
      <c r="B52" s="3" t="s">
        <v>37</v>
      </c>
      <c r="C52" s="46"/>
      <c r="D52" s="81"/>
      <c r="E52" s="81"/>
      <c r="F52" s="82">
        <f>+_xlfn.LET(_xlpm.t_rem,F51,_xlpm.r_m1,E20,_xlpm.r_m2,F20,_xlpm.mone,E19,_xlpm.mtwo,F19,_xlpm.r_m1+(_xlpm.r_m2-_xlpm.r_m1)/(_xlpm.mtwo/month_in_a_year-_xlpm.mone/month_in_a_year)*(_xlpm.t_rem-_xlpm.mone/month_in_a_year))</f>
        <v>2.2587358186704633E-2</v>
      </c>
      <c r="G52"/>
    </row>
    <row r="53" spans="2:10" ht="17" customHeight="1" x14ac:dyDescent="0.35">
      <c r="B53" s="10" t="s">
        <v>38</v>
      </c>
      <c r="C53" s="12"/>
      <c r="E53" s="78"/>
      <c r="F53" s="78">
        <f t="shared" ref="F53" si="1">+F51/(1+F52)</f>
        <v>1.4628485272998881</v>
      </c>
      <c r="G53"/>
    </row>
    <row r="54" spans="2:10" ht="17" customHeight="1" x14ac:dyDescent="0.3">
      <c r="C54" s="8"/>
      <c r="E54" s="8"/>
      <c r="F54" s="8"/>
    </row>
    <row r="55" spans="2:10" ht="17" customHeight="1" x14ac:dyDescent="0.35">
      <c r="B55" s="45" t="s">
        <v>39</v>
      </c>
      <c r="C55" s="44" t="s">
        <v>104</v>
      </c>
      <c r="D55" s="44" t="s">
        <v>105</v>
      </c>
      <c r="E55" s="44" t="s">
        <v>106</v>
      </c>
      <c r="F55" s="44" t="s">
        <v>41</v>
      </c>
      <c r="G55"/>
    </row>
    <row r="56" spans="2:10" ht="17" customHeight="1" x14ac:dyDescent="0.3">
      <c r="B56" s="3" t="s">
        <v>43</v>
      </c>
      <c r="C56" s="8"/>
      <c r="E56" s="8"/>
      <c r="F56" s="8">
        <f>+(E$19/12)/(1+E$20)</f>
        <v>0.97759073294807775</v>
      </c>
    </row>
    <row r="57" spans="2:10" ht="17" customHeight="1" x14ac:dyDescent="0.35">
      <c r="B57" s="3" t="s">
        <v>44</v>
      </c>
      <c r="C57" s="8"/>
      <c r="D57"/>
      <c r="E57" s="8"/>
      <c r="F57" s="8">
        <f>+(F$19/12)/(1+F$20)</f>
        <v>1.9564758462923728</v>
      </c>
      <c r="G57"/>
    </row>
    <row r="58" spans="2:10" ht="17" customHeight="1" x14ac:dyDescent="0.35">
      <c r="C58" s="8"/>
      <c r="D58"/>
      <c r="E58" s="8"/>
      <c r="F58" s="8"/>
      <c r="H58"/>
      <c r="I58"/>
      <c r="J58"/>
    </row>
    <row r="59" spans="2:10" ht="17" customHeight="1" x14ac:dyDescent="0.35">
      <c r="B59" s="3" t="s">
        <v>45</v>
      </c>
      <c r="C59" s="8">
        <f>Assumptions!E11/(1+C20)^C51</f>
        <v>149.00710427506104</v>
      </c>
      <c r="D59" s="8">
        <f>Assumptions!F11/(1+D20)^D51</f>
        <v>148.16422013889266</v>
      </c>
      <c r="E59" s="8">
        <f>Assumptions!G11/(1+E20)^E51</f>
        <v>146.63860994221164</v>
      </c>
      <c r="F59" s="8">
        <f>+Assumptions!H$11/(1+F52)^F51</f>
        <v>4980.7697376139567</v>
      </c>
      <c r="H59"/>
      <c r="I59"/>
      <c r="J59"/>
    </row>
    <row r="60" spans="2:10" ht="17" customHeight="1" x14ac:dyDescent="0.3">
      <c r="C60" s="8"/>
      <c r="E60" s="8"/>
      <c r="F60" s="8"/>
    </row>
    <row r="61" spans="2:10" ht="17" customHeight="1" x14ac:dyDescent="0.35">
      <c r="B61" s="3" t="s">
        <v>46</v>
      </c>
      <c r="C61" s="8"/>
      <c r="E61" s="8"/>
      <c r="F61" s="8">
        <f>+_xlfn.LET(_xlpm.MDvirt1,F56,_xlpm.MDvirt2,F57,_xlpm.MDreal,F53,_xlpm.Mvreal,F59,(_xlpm.MDvirt2-_xlpm.MDreal)/(_xlpm.MDvirt2-_xlpm.MDvirt1)*_xlpm.Mvreal)</f>
        <v>2511.6778042496603</v>
      </c>
      <c r="G61"/>
    </row>
    <row r="62" spans="2:10" ht="17" customHeight="1" x14ac:dyDescent="0.35">
      <c r="B62" s="3" t="s">
        <v>47</v>
      </c>
      <c r="C62" s="8"/>
      <c r="E62" s="8"/>
      <c r="F62" s="8">
        <f>+F59-F61</f>
        <v>2469.0919333642964</v>
      </c>
      <c r="G62"/>
    </row>
    <row r="63" spans="2:10" ht="17" customHeight="1" x14ac:dyDescent="0.35">
      <c r="C63" s="8"/>
      <c r="E63" s="8"/>
      <c r="F63" s="8"/>
      <c r="G63"/>
    </row>
    <row r="64" spans="2:10" ht="17" customHeight="1" x14ac:dyDescent="0.35">
      <c r="B64" s="3" t="s">
        <v>48</v>
      </c>
      <c r="C64" s="138">
        <f>Assumptions!E11</f>
        <v>150</v>
      </c>
      <c r="D64" s="133">
        <f>Assumptions!F11</f>
        <v>150</v>
      </c>
      <c r="E64" s="133">
        <f>Assumptions!G11</f>
        <v>150</v>
      </c>
      <c r="F64" s="134">
        <f>+F61*(1+E20)^(E19/month_in_a_year)</f>
        <v>2569.2528781193569</v>
      </c>
      <c r="G64"/>
    </row>
    <row r="65" spans="2:10" ht="17" customHeight="1" x14ac:dyDescent="0.35">
      <c r="B65" s="3" t="s">
        <v>49</v>
      </c>
      <c r="C65" s="137"/>
      <c r="D65" s="135"/>
      <c r="E65" s="135"/>
      <c r="F65" s="136">
        <f>+F62*(1+F20)^(F19/month_in_a_year)</f>
        <v>2580.1696985363692</v>
      </c>
      <c r="G65"/>
    </row>
    <row r="66" spans="2:10" ht="17" customHeight="1" x14ac:dyDescent="0.35">
      <c r="D66"/>
      <c r="F66"/>
      <c r="G66"/>
    </row>
    <row r="67" spans="2:10" ht="17" customHeight="1" x14ac:dyDescent="0.35">
      <c r="B67" s="3" t="s">
        <v>50</v>
      </c>
      <c r="C67" s="11"/>
      <c r="D67"/>
      <c r="E67" s="11"/>
      <c r="F67" s="11">
        <f>+F53-F56*F61/F59-F57*F62/F59</f>
        <v>0</v>
      </c>
      <c r="G67"/>
    </row>
    <row r="68" spans="2:10" ht="17" customHeight="1" x14ac:dyDescent="0.3">
      <c r="C68" s="11"/>
      <c r="D68" s="11"/>
      <c r="E68" s="11"/>
      <c r="F68" s="11"/>
      <c r="G68" s="11"/>
    </row>
    <row r="69" spans="2:10" ht="17" customHeight="1" x14ac:dyDescent="0.4">
      <c r="B69" s="47" t="s">
        <v>51</v>
      </c>
    </row>
    <row r="70" spans="2:10" ht="17" customHeight="1" x14ac:dyDescent="0.3">
      <c r="C70" s="11"/>
      <c r="D70" s="11"/>
      <c r="E70" s="11"/>
      <c r="F70" s="11"/>
      <c r="G70" s="11"/>
    </row>
    <row r="71" spans="2:10" ht="17" customHeight="1" x14ac:dyDescent="0.3">
      <c r="C71" s="11">
        <f>+C72-$C$11</f>
        <v>90</v>
      </c>
      <c r="D71" s="11">
        <f>+D72-$C$11</f>
        <v>181</v>
      </c>
      <c r="E71" s="11">
        <f>+E72-$C$11</f>
        <v>365</v>
      </c>
      <c r="F71" s="11">
        <f>+F72-$C$11</f>
        <v>730</v>
      </c>
      <c r="G71" s="11">
        <f>+G72-$C$11</f>
        <v>1826</v>
      </c>
    </row>
    <row r="72" spans="2:10" ht="17" customHeight="1" x14ac:dyDescent="0.3">
      <c r="B72" s="32"/>
      <c r="C72" s="6">
        <f>+C13</f>
        <v>45747</v>
      </c>
      <c r="D72" s="6">
        <f>+D13</f>
        <v>45838</v>
      </c>
      <c r="E72" s="6">
        <f>+E13</f>
        <v>46022</v>
      </c>
      <c r="F72" s="6">
        <f>+F13</f>
        <v>46387</v>
      </c>
      <c r="G72" s="6">
        <f>+G13</f>
        <v>47483</v>
      </c>
    </row>
    <row r="73" spans="2:10" ht="17" customHeight="1" x14ac:dyDescent="0.3">
      <c r="B73" s="3" t="s">
        <v>52</v>
      </c>
      <c r="C73" s="210">
        <f>C64</f>
        <v>150</v>
      </c>
      <c r="D73" s="210">
        <f>C40+D64</f>
        <v>350</v>
      </c>
      <c r="E73" s="210">
        <f>E40+D40+E64+F64</f>
        <v>3019.0296889201086</v>
      </c>
      <c r="F73" s="210">
        <f>F40+F65+E41</f>
        <v>12880.370463528072</v>
      </c>
      <c r="G73" s="13">
        <f>F41</f>
        <v>0</v>
      </c>
    </row>
    <row r="74" spans="2:10" ht="17" customHeight="1" x14ac:dyDescent="0.3">
      <c r="B74" s="3" t="s">
        <v>53</v>
      </c>
      <c r="C74" s="8">
        <f>+'ZCB rates'!H265</f>
        <v>0.99328906954937002</v>
      </c>
      <c r="D74" s="8">
        <f>+'ZCB rates'!I265</f>
        <v>0.98766067162393045</v>
      </c>
      <c r="E74" s="8">
        <f>+'ZCB rates'!J265</f>
        <v>0.97759073294807775</v>
      </c>
      <c r="F74" s="8">
        <f>+'ZCB rates'!K265</f>
        <v>0.95694943428136414</v>
      </c>
      <c r="G74" s="8">
        <f>+'ZCB rates'!L265</f>
        <v>0.8808704171143461</v>
      </c>
    </row>
    <row r="75" spans="2:10" ht="17" customHeight="1" x14ac:dyDescent="0.3">
      <c r="C75" s="8">
        <f>1/(1+C20)^(C71/365)</f>
        <v>0.99338069516707361</v>
      </c>
      <c r="D75" s="8">
        <f>1/(1+D20)^(D71/365)</f>
        <v>0.98776146759261774</v>
      </c>
      <c r="E75" s="8">
        <f>1/(1+E20)^(E71/365)</f>
        <v>0.97759073294807775</v>
      </c>
      <c r="F75" s="8">
        <f>1/(1+F20)^(F71/365)</f>
        <v>0.95694943428136414</v>
      </c>
      <c r="G75" s="8">
        <f>1/(1+G20)^(G71/365)</f>
        <v>0.88080919524861412</v>
      </c>
    </row>
    <row r="76" spans="2:10" ht="17" customHeight="1" x14ac:dyDescent="0.3">
      <c r="C76" s="8"/>
      <c r="D76" s="8"/>
      <c r="E76" s="8"/>
      <c r="F76" s="8"/>
      <c r="G76" s="8"/>
    </row>
    <row r="77" spans="2:10" ht="17" customHeight="1" x14ac:dyDescent="0.35">
      <c r="B77"/>
      <c r="C77"/>
      <c r="D77"/>
      <c r="E77"/>
      <c r="F77"/>
      <c r="G77"/>
      <c r="H77"/>
    </row>
    <row r="78" spans="2:10" ht="17" customHeight="1" x14ac:dyDescent="0.35">
      <c r="B78" s="3" t="s">
        <v>54</v>
      </c>
      <c r="C78" s="13">
        <f>+C73*C74</f>
        <v>148.9933604324055</v>
      </c>
      <c r="D78" s="13">
        <f>+D73*D74</f>
        <v>345.68123506837566</v>
      </c>
      <c r="E78" s="13">
        <f>+E73*E74</f>
        <v>2951.3754463834161</v>
      </c>
      <c r="F78" s="13">
        <f>+F73*F74</f>
        <v>12325.863228407581</v>
      </c>
      <c r="G78" s="13">
        <f>+G73*G74</f>
        <v>0</v>
      </c>
      <c r="H78"/>
    </row>
    <row r="79" spans="2:10" ht="17" customHeight="1" x14ac:dyDescent="0.3">
      <c r="B79" s="3" t="s">
        <v>101</v>
      </c>
      <c r="C79" s="13"/>
      <c r="D79" s="13"/>
      <c r="E79" s="13"/>
      <c r="F79" s="13"/>
      <c r="G79" s="13">
        <f>Assumptions!E8</f>
        <v>200</v>
      </c>
    </row>
    <row r="80" spans="2:10" ht="17" customHeight="1" x14ac:dyDescent="0.3">
      <c r="B80" s="3" t="s">
        <v>55</v>
      </c>
      <c r="C80" s="13"/>
      <c r="D80" s="13"/>
      <c r="E80" s="13"/>
      <c r="F80" s="13"/>
      <c r="G80" s="11">
        <f>+SUM(C78:G78)+G79</f>
        <v>15971.913270291778</v>
      </c>
      <c r="I80" s="3" t="s">
        <v>50</v>
      </c>
      <c r="J80" s="11">
        <f>ROUND(SUM(C59:F59)+SUM(C35:F35)+G79-G80,1)</f>
        <v>0</v>
      </c>
    </row>
    <row r="81" spans="2:16" ht="17" customHeight="1" x14ac:dyDescent="0.3">
      <c r="C81" s="13"/>
      <c r="D81" s="13"/>
      <c r="E81" s="13"/>
      <c r="F81" s="13"/>
      <c r="G81" s="13"/>
    </row>
    <row r="82" spans="2:16" ht="25" x14ac:dyDescent="0.5">
      <c r="B82" s="50" t="s">
        <v>56</v>
      </c>
      <c r="C82" s="49"/>
      <c r="D82" s="49"/>
      <c r="E82" s="49"/>
      <c r="F82" s="49"/>
      <c r="G82" s="49"/>
    </row>
    <row r="83" spans="2:16" ht="17" customHeight="1" x14ac:dyDescent="0.35">
      <c r="B83" s="18"/>
    </row>
    <row r="84" spans="2:16" ht="17" customHeight="1" x14ac:dyDescent="0.3">
      <c r="B84" s="32"/>
      <c r="C84" s="6">
        <f>+C72</f>
        <v>45747</v>
      </c>
      <c r="D84" s="6">
        <f>+D72</f>
        <v>45838</v>
      </c>
      <c r="E84" s="6">
        <f>+E72</f>
        <v>46022</v>
      </c>
      <c r="F84" s="6">
        <f>+F72</f>
        <v>46387</v>
      </c>
      <c r="G84" s="6">
        <f>+G72</f>
        <v>47483</v>
      </c>
    </row>
    <row r="85" spans="2:16" ht="17" customHeight="1" x14ac:dyDescent="0.3">
      <c r="B85" s="4" t="s">
        <v>57</v>
      </c>
      <c r="C85" s="53">
        <f>C78</f>
        <v>148.9933604324055</v>
      </c>
      <c r="D85" s="54">
        <f>D78</f>
        <v>345.68123506837566</v>
      </c>
      <c r="E85" s="54">
        <f>E78</f>
        <v>2951.3754463834161</v>
      </c>
      <c r="F85" s="54">
        <f>F78</f>
        <v>12325.863228407581</v>
      </c>
      <c r="G85" s="55">
        <f>G78</f>
        <v>0</v>
      </c>
      <c r="H85" s="5"/>
    </row>
    <row r="86" spans="2:16" ht="17" customHeight="1" x14ac:dyDescent="0.3">
      <c r="C86" s="11"/>
      <c r="D86" s="11"/>
      <c r="E86" s="11"/>
      <c r="F86" s="11"/>
      <c r="G86" s="11"/>
      <c r="I86" s="11"/>
    </row>
    <row r="87" spans="2:16" ht="17" customHeight="1" x14ac:dyDescent="0.3">
      <c r="B87" s="4" t="s">
        <v>58</v>
      </c>
      <c r="C87" s="205" cm="1">
        <f t="array" ref="C87:C91">+TRANSPOSE(C85:G85)</f>
        <v>148.9933604324055</v>
      </c>
      <c r="D87" s="11"/>
      <c r="E87" s="11"/>
      <c r="F87" s="11"/>
      <c r="G87" s="11"/>
    </row>
    <row r="88" spans="2:16" ht="17" customHeight="1" x14ac:dyDescent="0.3">
      <c r="C88" s="206">
        <v>345.68123506837566</v>
      </c>
      <c r="D88" s="11"/>
      <c r="E88" s="11"/>
      <c r="F88" s="11"/>
      <c r="G88" s="11"/>
    </row>
    <row r="89" spans="2:16" ht="17" customHeight="1" x14ac:dyDescent="0.3">
      <c r="C89" s="206">
        <v>2951.3754463834161</v>
      </c>
      <c r="D89" s="11"/>
      <c r="E89" s="11"/>
      <c r="F89" s="11"/>
      <c r="G89" s="11"/>
    </row>
    <row r="90" spans="2:16" customFormat="1" ht="17" customHeight="1" x14ac:dyDescent="0.35">
      <c r="B90" s="3"/>
      <c r="C90" s="206">
        <v>12325.863228407581</v>
      </c>
      <c r="D90" s="11"/>
      <c r="E90" s="11"/>
      <c r="F90" s="11"/>
      <c r="G90" s="11"/>
    </row>
    <row r="91" spans="2:16" ht="17" customHeight="1" x14ac:dyDescent="0.3">
      <c r="C91" s="207">
        <v>0</v>
      </c>
      <c r="D91" s="11"/>
      <c r="E91" s="11"/>
      <c r="F91" s="11"/>
      <c r="G91" s="11"/>
    </row>
    <row r="92" spans="2:16" ht="17" customHeight="1" x14ac:dyDescent="0.3">
      <c r="C92" s="11"/>
      <c r="D92" s="11"/>
      <c r="E92" s="11"/>
      <c r="F92" s="11"/>
      <c r="G92" s="11"/>
    </row>
    <row r="93" spans="2:16" ht="17" customHeight="1" x14ac:dyDescent="0.3">
      <c r="C93" s="11"/>
      <c r="D93" s="11"/>
      <c r="E93" s="11"/>
      <c r="F93" s="11"/>
      <c r="G93" s="11"/>
    </row>
    <row r="94" spans="2:16" ht="17" customHeight="1" x14ac:dyDescent="0.3">
      <c r="C94" s="107" t="s">
        <v>102</v>
      </c>
      <c r="D94" s="107"/>
      <c r="E94" s="107"/>
      <c r="F94" s="107"/>
      <c r="G94" s="107"/>
      <c r="L94" s="107" t="s">
        <v>103</v>
      </c>
      <c r="M94" s="107"/>
      <c r="N94" s="107"/>
      <c r="O94" s="107"/>
      <c r="P94" s="107"/>
    </row>
    <row r="95" spans="2:16" ht="17" customHeight="1" x14ac:dyDescent="0.3">
      <c r="C95" s="11"/>
      <c r="D95" s="11"/>
      <c r="E95" s="11"/>
      <c r="F95" s="11"/>
      <c r="G95" s="11"/>
      <c r="I95" s="11"/>
    </row>
    <row r="96" spans="2:16" s="157" customFormat="1" ht="17" customHeight="1" x14ac:dyDescent="0.35">
      <c r="B96" s="174" t="s">
        <v>59</v>
      </c>
      <c r="C96" s="175" cm="1">
        <f t="array" ref="C96:G100">+EWMACovMatrix('ZCB rates'!M214:Q265,Lambda)</f>
        <v>7.9351125203859314E-9</v>
      </c>
      <c r="D96" s="176">
        <v>1.2468538586715631E-8</v>
      </c>
      <c r="E96" s="176">
        <v>1.9530884099316844E-8</v>
      </c>
      <c r="F96" s="176">
        <v>4.151910465993308E-8</v>
      </c>
      <c r="G96" s="177">
        <v>1.3095533767879916E-7</v>
      </c>
      <c r="I96" s="178"/>
      <c r="L96" s="171" cm="1">
        <f t="array" ref="L96:P100">CovarianceMatrix('ZCB rates'!M214:Q265)</f>
        <v>6.5790947764454681E-9</v>
      </c>
      <c r="M96" s="179">
        <v>1.2034997356302641E-8</v>
      </c>
      <c r="N96" s="179">
        <v>2.2454837366027467E-8</v>
      </c>
      <c r="O96" s="179">
        <v>4.6991908133207417E-8</v>
      </c>
      <c r="P96" s="180">
        <v>1.2993773762820874E-7</v>
      </c>
    </row>
    <row r="97" spans="2:16" s="157" customFormat="1" ht="17" customHeight="1" x14ac:dyDescent="0.35">
      <c r="C97" s="181">
        <v>1.2468538586715631E-8</v>
      </c>
      <c r="D97" s="182">
        <v>3.0845010187791081E-8</v>
      </c>
      <c r="E97" s="182">
        <v>7.923374569783857E-8</v>
      </c>
      <c r="F97" s="182">
        <v>1.9114832745953563E-7</v>
      </c>
      <c r="G97" s="183">
        <v>4.5067252010592727E-7</v>
      </c>
      <c r="I97" s="178"/>
      <c r="L97" s="172">
        <v>1.2034997356302641E-8</v>
      </c>
      <c r="M97" s="184">
        <v>3.1600982645395391E-8</v>
      </c>
      <c r="N97" s="184">
        <v>8.4027207327201004E-8</v>
      </c>
      <c r="O97" s="184">
        <v>2.0361857407242037E-7</v>
      </c>
      <c r="P97" s="185">
        <v>4.6899839930729227E-7</v>
      </c>
    </row>
    <row r="98" spans="2:16" s="186" customFormat="1" ht="17" customHeight="1" x14ac:dyDescent="0.35">
      <c r="B98" s="157"/>
      <c r="C98" s="181">
        <v>1.9530884099316844E-8</v>
      </c>
      <c r="D98" s="182">
        <v>7.923374569783857E-8</v>
      </c>
      <c r="E98" s="182">
        <v>2.6733517255153764E-7</v>
      </c>
      <c r="F98" s="182">
        <v>7.1068433631187125E-7</v>
      </c>
      <c r="G98" s="183">
        <v>1.6136287003669961E-6</v>
      </c>
      <c r="L98" s="172">
        <v>2.2454837366027467E-8</v>
      </c>
      <c r="M98" s="184">
        <v>8.4027207327201004E-8</v>
      </c>
      <c r="N98" s="184">
        <v>2.7408662033899938E-7</v>
      </c>
      <c r="O98" s="184">
        <v>7.2269810064761129E-7</v>
      </c>
      <c r="P98" s="185">
        <v>1.6192081494620712E-6</v>
      </c>
    </row>
    <row r="99" spans="2:16" s="157" customFormat="1" ht="17" customHeight="1" x14ac:dyDescent="0.35">
      <c r="C99" s="181">
        <v>4.151910465993308E-8</v>
      </c>
      <c r="D99" s="182">
        <v>1.911483274595356E-7</v>
      </c>
      <c r="E99" s="182">
        <v>7.1068433631187125E-7</v>
      </c>
      <c r="F99" s="182">
        <v>2.0744329960749233E-6</v>
      </c>
      <c r="G99" s="183">
        <v>5.1622772370477862E-6</v>
      </c>
      <c r="L99" s="172">
        <v>4.6991908133207417E-8</v>
      </c>
      <c r="M99" s="184">
        <v>2.0361857407242037E-7</v>
      </c>
      <c r="N99" s="184">
        <v>7.2269810064761129E-7</v>
      </c>
      <c r="O99" s="184">
        <v>2.0355675055289731E-6</v>
      </c>
      <c r="P99" s="185">
        <v>4.8674614319764485E-6</v>
      </c>
    </row>
    <row r="100" spans="2:16" s="157" customFormat="1" ht="17" customHeight="1" x14ac:dyDescent="0.35">
      <c r="C100" s="187">
        <v>1.3095533767879916E-7</v>
      </c>
      <c r="D100" s="188">
        <v>4.5067252010592722E-7</v>
      </c>
      <c r="E100" s="188">
        <v>1.6136287003669961E-6</v>
      </c>
      <c r="F100" s="188">
        <v>5.1622772370477854E-6</v>
      </c>
      <c r="G100" s="189">
        <v>1.560489028250522E-5</v>
      </c>
      <c r="L100" s="173">
        <v>1.2993773762820874E-7</v>
      </c>
      <c r="M100" s="190">
        <v>4.6899839930729227E-7</v>
      </c>
      <c r="N100" s="190">
        <v>1.6192081494620712E-6</v>
      </c>
      <c r="O100" s="190">
        <v>4.8674614319764485E-6</v>
      </c>
      <c r="P100" s="191">
        <v>1.3983873090944684E-5</v>
      </c>
    </row>
    <row r="101" spans="2:16" ht="17" customHeight="1" x14ac:dyDescent="0.3">
      <c r="C101" s="11"/>
      <c r="D101" s="11"/>
      <c r="E101" s="11"/>
      <c r="F101" s="11"/>
      <c r="G101" s="11"/>
    </row>
    <row r="102" spans="2:16" ht="17" customHeight="1" x14ac:dyDescent="0.3">
      <c r="D102" s="11"/>
      <c r="E102" s="11"/>
      <c r="F102" s="11"/>
      <c r="G102" s="11"/>
    </row>
    <row r="103" spans="2:16" ht="17" customHeight="1" x14ac:dyDescent="0.45">
      <c r="B103" s="4" t="s">
        <v>60</v>
      </c>
      <c r="C103" s="166" cm="1">
        <f t="array" ref="C103">+MMULT(TRANSPOSE(_xlfn.ANCHORARRAY(C87)),MMULT(_xlfn.ANCHORARRAY(C96),_xlfn.ANCHORARRAY(C87)))</f>
        <v>371.16313438231572</v>
      </c>
      <c r="D103" s="11"/>
      <c r="E103" s="11"/>
      <c r="F103" s="11"/>
      <c r="G103" s="11"/>
      <c r="K103" s="4" t="s">
        <v>60</v>
      </c>
      <c r="L103" s="166" cm="1">
        <f t="array" ref="L103">+MMULT(TRANSPOSE(_xlfn.ANCHORARRAY(C87)),MMULT(_xlfn.ANCHORARRAY(L96),_xlfn.ANCHORARRAY(C87)))</f>
        <v>366.33004570445701</v>
      </c>
    </row>
    <row r="104" spans="2:16" ht="17" customHeight="1" x14ac:dyDescent="0.3">
      <c r="B104" s="4"/>
      <c r="C104" s="17"/>
      <c r="D104" s="11"/>
      <c r="E104" s="11"/>
      <c r="F104" s="11"/>
      <c r="G104" s="11"/>
    </row>
    <row r="105" spans="2:16" ht="17" customHeight="1" x14ac:dyDescent="0.35">
      <c r="B105" s="4" t="s">
        <v>5</v>
      </c>
      <c r="C105" s="59">
        <v>0.95</v>
      </c>
      <c r="D105" s="60">
        <v>0.99</v>
      </c>
      <c r="E105" s="11"/>
      <c r="F105" s="11"/>
      <c r="G105" s="11"/>
      <c r="K105" s="4" t="s">
        <v>5</v>
      </c>
      <c r="L105" s="59">
        <v>0.95</v>
      </c>
      <c r="M105" s="60">
        <v>0.99</v>
      </c>
    </row>
    <row r="106" spans="2:16" ht="17" customHeight="1" x14ac:dyDescent="0.4">
      <c r="B106" s="4" t="s">
        <v>61</v>
      </c>
      <c r="C106" s="61">
        <f>+SQRT($C$103)*(-1)*_xlfn.NORM.S.INV(1-C105)</f>
        <v>31.689083114372519</v>
      </c>
      <c r="D106" s="62">
        <f>+SQRT($C$103)*(-1)*_xlfn.NORM.S.INV(1-D105)</f>
        <v>44.818474984947088</v>
      </c>
      <c r="E106" s="11"/>
      <c r="F106" s="11"/>
      <c r="G106" s="11"/>
      <c r="K106" s="4" t="s">
        <v>61</v>
      </c>
      <c r="L106" s="61">
        <f>+SQRT($L$103)*(-1)*_xlfn.NORM.S.INV(1-L105)</f>
        <v>31.482087878572575</v>
      </c>
      <c r="M106" s="62">
        <f>+SQRT($L$103)*(-1)*_xlfn.NORM.S.INV(1-M105)</f>
        <v>44.52571767277685</v>
      </c>
    </row>
    <row r="107" spans="2:16" ht="14.5" x14ac:dyDescent="0.35">
      <c r="B107" s="16"/>
      <c r="D107" s="11"/>
      <c r="E107" s="11"/>
      <c r="F107" s="11"/>
      <c r="G107" s="11"/>
    </row>
    <row r="109" spans="2:16" ht="17" customHeight="1" x14ac:dyDescent="0.35">
      <c r="B109" s="18"/>
    </row>
    <row r="110" spans="2:16" ht="25" x14ac:dyDescent="0.5">
      <c r="B110" s="50" t="s">
        <v>62</v>
      </c>
      <c r="C110" s="49"/>
      <c r="D110" s="49"/>
      <c r="E110" s="49"/>
      <c r="F110" s="49"/>
      <c r="G110" s="49"/>
    </row>
    <row r="111" spans="2:16" ht="17" customHeight="1" x14ac:dyDescent="0.35">
      <c r="B111"/>
      <c r="C111"/>
      <c r="D111"/>
      <c r="E111"/>
      <c r="F111"/>
      <c r="G111"/>
      <c r="H111"/>
    </row>
    <row r="112" spans="2:16" ht="17" customHeight="1" x14ac:dyDescent="0.35">
      <c r="B112" s="32"/>
      <c r="C112" s="6">
        <f t="shared" ref="C112:G114" si="2">+C72</f>
        <v>45747</v>
      </c>
      <c r="D112" s="6">
        <f t="shared" si="2"/>
        <v>45838</v>
      </c>
      <c r="E112" s="6">
        <f t="shared" si="2"/>
        <v>46022</v>
      </c>
      <c r="F112" s="6">
        <f t="shared" si="2"/>
        <v>46387</v>
      </c>
      <c r="G112" s="6">
        <f t="shared" si="2"/>
        <v>47483</v>
      </c>
      <c r="H112"/>
    </row>
    <row r="113" spans="2:62" ht="17" customHeight="1" x14ac:dyDescent="0.35">
      <c r="B113" s="11" t="str">
        <f>+B73</f>
        <v>Cashflows</v>
      </c>
      <c r="C113" s="13">
        <f t="shared" si="2"/>
        <v>150</v>
      </c>
      <c r="D113" s="13">
        <f t="shared" si="2"/>
        <v>350</v>
      </c>
      <c r="E113" s="13">
        <f t="shared" si="2"/>
        <v>3019.0296889201086</v>
      </c>
      <c r="F113" s="13">
        <f t="shared" si="2"/>
        <v>12880.370463528072</v>
      </c>
      <c r="G113" s="13">
        <f t="shared" si="2"/>
        <v>0</v>
      </c>
      <c r="H113"/>
    </row>
    <row r="114" spans="2:62" ht="17" customHeight="1" x14ac:dyDescent="0.35">
      <c r="B114" s="11" t="s">
        <v>63</v>
      </c>
      <c r="C114" s="13">
        <f t="shared" si="2"/>
        <v>0.99328906954937002</v>
      </c>
      <c r="D114" s="13">
        <f t="shared" si="2"/>
        <v>0.98766067162393045</v>
      </c>
      <c r="E114" s="13">
        <f t="shared" si="2"/>
        <v>0.97759073294807775</v>
      </c>
      <c r="F114" s="13">
        <f t="shared" si="2"/>
        <v>0.95694943428136414</v>
      </c>
      <c r="G114" s="13">
        <f t="shared" si="2"/>
        <v>0.8808704171143461</v>
      </c>
      <c r="H114"/>
    </row>
    <row r="115" spans="2:62" ht="17" customHeight="1" x14ac:dyDescent="0.35">
      <c r="B115" s="11"/>
      <c r="C115" s="11"/>
      <c r="D115" s="11"/>
      <c r="E115" s="11"/>
      <c r="F115" s="11"/>
      <c r="G115" s="11"/>
      <c r="H115"/>
    </row>
    <row r="116" spans="2:62" ht="17" customHeight="1" x14ac:dyDescent="0.35">
      <c r="B116" s="11" t="s">
        <v>64</v>
      </c>
      <c r="C116" s="13">
        <f>+C114*C113</f>
        <v>148.9933604324055</v>
      </c>
      <c r="D116" s="13">
        <f>+D114*D113</f>
        <v>345.68123506837566</v>
      </c>
      <c r="E116" s="13">
        <f>+E114*E113</f>
        <v>2951.3754463834161</v>
      </c>
      <c r="F116" s="13">
        <f>+F114*F113</f>
        <v>12325.863228407581</v>
      </c>
      <c r="G116" s="13">
        <f>+G114*G113</f>
        <v>0</v>
      </c>
      <c r="H116"/>
    </row>
    <row r="117" spans="2:62" ht="17" customHeight="1" x14ac:dyDescent="0.35">
      <c r="B117" s="3" t="s">
        <v>101</v>
      </c>
      <c r="C117" s="13"/>
      <c r="D117" s="13"/>
      <c r="E117" s="13"/>
      <c r="F117" s="13"/>
      <c r="G117" s="13">
        <f>G79</f>
        <v>200</v>
      </c>
      <c r="H117"/>
      <c r="I117" s="13"/>
    </row>
    <row r="118" spans="2:62" ht="17" customHeight="1" x14ac:dyDescent="0.35">
      <c r="B118" s="3" t="s">
        <v>55</v>
      </c>
      <c r="C118" s="13"/>
      <c r="D118" s="13"/>
      <c r="E118" s="13"/>
      <c r="F118" s="13"/>
      <c r="G118" s="11">
        <f>+SUM(C116:G116)+G117</f>
        <v>15971.913270291778</v>
      </c>
      <c r="H118"/>
      <c r="I118" s="13"/>
    </row>
    <row r="119" spans="2:62" ht="20" customHeight="1" x14ac:dyDescent="0.35">
      <c r="H119"/>
      <c r="I119"/>
      <c r="J119"/>
      <c r="K119"/>
      <c r="L119"/>
      <c r="M119"/>
      <c r="N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row>
    <row r="120" spans="2:62" ht="18" customHeight="1" x14ac:dyDescent="0.35">
      <c r="B120" s="4" t="s">
        <v>5</v>
      </c>
      <c r="C120" s="59">
        <v>0.95</v>
      </c>
      <c r="D120" s="162">
        <v>0.99</v>
      </c>
      <c r="E120"/>
      <c r="F120"/>
      <c r="G120"/>
      <c r="H120"/>
      <c r="I120"/>
      <c r="J120"/>
      <c r="K120"/>
      <c r="L120"/>
      <c r="M120"/>
      <c r="N120" s="71" t="s">
        <v>50</v>
      </c>
      <c r="O120" s="71"/>
      <c r="P120" s="71"/>
      <c r="Q120" s="74">
        <f>+SUM(Q130:Q338)-1</f>
        <v>0</v>
      </c>
      <c r="R120" s="74"/>
      <c r="S120" s="74"/>
      <c r="T120" s="74"/>
      <c r="U120" s="74"/>
      <c r="V120" s="74"/>
      <c r="W120" s="74">
        <f>+SUM(W130:W390)-1</f>
        <v>0</v>
      </c>
      <c r="X120"/>
      <c r="Y120"/>
      <c r="Z120"/>
      <c r="AA120"/>
      <c r="AB120" s="74">
        <f>+SUM(AB130:AB390)-1</f>
        <v>0</v>
      </c>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row>
    <row r="121" spans="2:62" ht="18" customHeight="1" x14ac:dyDescent="0.4">
      <c r="B121" s="4" t="s">
        <v>113</v>
      </c>
      <c r="C121" s="142" cm="1">
        <f t="array" ref="C121">-(INDEX(_xlfn.ANCHORARRAY(V130),MATCH(TRUE,X130:X350&gt;=1-C120,0))-$C$124)</f>
        <v>27.19089369631855</v>
      </c>
      <c r="D121" s="163" cm="1">
        <f t="array" ref="D121">-(INDEX(_xlfn.ANCHORARRAY(V130),MATCH(TRUE,X130:X350&gt;=1-D120,0))-$C$124)</f>
        <v>47.08567833928408</v>
      </c>
      <c r="E121"/>
      <c r="F121"/>
      <c r="G121"/>
      <c r="H121"/>
      <c r="I121"/>
      <c r="J121"/>
      <c r="K121"/>
      <c r="L121"/>
      <c r="M121"/>
      <c r="N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row>
    <row r="122" spans="2:62" s="49" customFormat="1" ht="18" customHeight="1" x14ac:dyDescent="0.5">
      <c r="B122" s="4" t="s">
        <v>66</v>
      </c>
      <c r="C122" s="61">
        <f>+_xlfn.LET(_xlpm.x_1,V132,_xlpm.x_2,V133,_xlpm.alfa_1,X132,_xlpm.alfa_2,X133,_xlpm.p,(1-C120),_xlpm.mu,C124,(-1)*(_xlpm.x_1*(_xlpm.alfa_2-_xlpm.p)/(_xlpm.alfa_2-_xlpm.alfa_1)+_xlpm.x_2*(_xlpm.p-_xlpm.alfa_1)/(_xlpm.alfa_2-_xlpm.alfa_1)-_xlpm.mu))</f>
        <v>27.70411186272344</v>
      </c>
      <c r="D122" s="195" t="s">
        <v>114</v>
      </c>
      <c r="E122" s="11"/>
      <c r="F122"/>
      <c r="G122" s="11"/>
      <c r="H122" s="20"/>
      <c r="I122" s="14"/>
      <c r="J122" s="14"/>
      <c r="K122" s="14"/>
      <c r="L122" s="14"/>
      <c r="M122" s="14"/>
      <c r="N122"/>
      <c r="O122" s="14"/>
      <c r="P122"/>
      <c r="Q122"/>
      <c r="R122"/>
      <c r="S122"/>
      <c r="T122"/>
      <c r="U122"/>
      <c r="V122"/>
      <c r="W122"/>
      <c r="X122"/>
      <c r="Y122" s="14"/>
      <c r="Z122"/>
      <c r="AA122"/>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row>
    <row r="123" spans="2:62" ht="17" customHeight="1" x14ac:dyDescent="0.35">
      <c r="B123" s="14"/>
      <c r="C123" s="14"/>
      <c r="D123" s="11"/>
      <c r="E123" s="11"/>
      <c r="F123" s="11"/>
      <c r="G123" s="11"/>
      <c r="H123" s="20"/>
      <c r="I123" s="14"/>
      <c r="J123" s="14"/>
      <c r="K123" s="14"/>
      <c r="L123" s="14"/>
      <c r="M123" s="14"/>
      <c r="N123"/>
      <c r="O123" s="14"/>
      <c r="P123"/>
      <c r="Q123"/>
      <c r="R123"/>
      <c r="S123"/>
      <c r="T123"/>
      <c r="U123"/>
      <c r="V123"/>
      <c r="W123"/>
      <c r="X123"/>
      <c r="Y123" s="14"/>
      <c r="Z123"/>
      <c r="AA123"/>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row>
    <row r="124" spans="2:62" ht="17" customHeight="1" x14ac:dyDescent="0.35">
      <c r="B124" s="4" t="s">
        <v>67</v>
      </c>
      <c r="C124" s="159">
        <f>+SUMPRODUCT(O130:O181,Q130:Q181)</f>
        <v>4.9969115854286299</v>
      </c>
      <c r="D124" s="11"/>
      <c r="E124" s="11"/>
      <c r="F124" s="11"/>
      <c r="G124" s="11"/>
      <c r="H124" s="20"/>
      <c r="I124" s="14"/>
      <c r="J124" s="14"/>
      <c r="K124" s="14"/>
      <c r="L124" s="14"/>
      <c r="M124" s="14"/>
      <c r="N124"/>
      <c r="O124" s="14"/>
      <c r="P124"/>
      <c r="Q124"/>
      <c r="R124"/>
      <c r="S124"/>
      <c r="T124"/>
      <c r="U124"/>
      <c r="V124"/>
      <c r="W124"/>
      <c r="X124"/>
      <c r="Y124" s="14"/>
      <c r="Z124"/>
      <c r="AA12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row>
    <row r="125" spans="2:62" ht="17" customHeight="1" x14ac:dyDescent="0.35">
      <c r="B125" s="4" t="s">
        <v>68</v>
      </c>
      <c r="C125" s="199">
        <f>+SUMPRODUCT(Q130:Q181,R130:R181)</f>
        <v>366.84630146169621</v>
      </c>
      <c r="D125" s="11"/>
      <c r="E125" s="11"/>
      <c r="F125" s="11"/>
      <c r="G125" s="11"/>
      <c r="H125" s="20"/>
      <c r="I125" s="14"/>
      <c r="J125" s="14"/>
      <c r="K125" s="14"/>
      <c r="L125" s="14"/>
      <c r="M125" s="14"/>
      <c r="N125"/>
      <c r="O125" s="14"/>
      <c r="P125"/>
      <c r="Q125"/>
      <c r="R125"/>
      <c r="S125"/>
      <c r="T125"/>
      <c r="U125"/>
      <c r="V125"/>
      <c r="W125"/>
      <c r="X125"/>
      <c r="Y125" s="14"/>
      <c r="Z125"/>
      <c r="AA125"/>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row>
    <row r="126" spans="2:62" ht="17" customHeight="1" x14ac:dyDescent="0.35">
      <c r="B126" s="4" t="s">
        <v>69</v>
      </c>
      <c r="C126" s="160">
        <f>+(SUMPRODUCT(Q130:Q181,S130:S181)/(C125^(3/2))-3)</f>
        <v>-3.0983558568218026</v>
      </c>
      <c r="D126" s="11"/>
      <c r="E126" s="11"/>
      <c r="F126" s="11"/>
      <c r="G126" s="11"/>
      <c r="H126" s="20"/>
      <c r="I126" s="14"/>
      <c r="J126" s="14"/>
      <c r="K126" s="14"/>
      <c r="L126" s="14"/>
      <c r="M126" s="14"/>
      <c r="N126"/>
      <c r="O126" s="14"/>
      <c r="P126"/>
      <c r="Q126"/>
      <c r="R126"/>
      <c r="S126"/>
      <c r="T126"/>
      <c r="U126"/>
      <c r="V126"/>
      <c r="W126"/>
      <c r="X126"/>
      <c r="Y126" s="14"/>
      <c r="Z126"/>
      <c r="AA126"/>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row>
    <row r="127" spans="2:62" ht="17" customHeight="1" x14ac:dyDescent="0.35">
      <c r="B127" s="4" t="s">
        <v>70</v>
      </c>
      <c r="C127" s="161">
        <f>+(SUMPRODUCT(Q130:Q181,T130:T181)/(C125^2))-3</f>
        <v>-0.27553206925172402</v>
      </c>
      <c r="D127" s="11"/>
      <c r="E127" s="11"/>
      <c r="F127" s="11"/>
      <c r="G127" s="11"/>
      <c r="H127" s="20"/>
      <c r="I127" s="14"/>
      <c r="J127" s="14"/>
      <c r="K127" s="14"/>
      <c r="L127" s="14"/>
      <c r="M127" s="14"/>
      <c r="N127"/>
      <c r="O127" s="14"/>
      <c r="P127"/>
      <c r="Q127"/>
      <c r="R127"/>
      <c r="S127"/>
      <c r="T127"/>
      <c r="U127"/>
      <c r="V127"/>
      <c r="W127"/>
      <c r="X127"/>
      <c r="Y127" s="14"/>
      <c r="Z127"/>
      <c r="AA127"/>
      <c r="AB127" s="14"/>
      <c r="AC127" s="14"/>
      <c r="AD127" s="14"/>
      <c r="AE127" s="14"/>
      <c r="AF127" s="14"/>
      <c r="AG127" s="14"/>
      <c r="AH127" s="14"/>
      <c r="AI127" s="14"/>
      <c r="AJ127" s="14"/>
      <c r="AK127" s="14"/>
      <c r="AL127" s="14"/>
      <c r="AM127" s="14"/>
      <c r="AN127" s="14"/>
      <c r="AO127" s="14"/>
      <c r="AP127" s="14"/>
      <c r="AQ127" s="14"/>
      <c r="AR127" s="14"/>
      <c r="AS127" s="14"/>
      <c r="AT127" s="14"/>
      <c r="AU127" s="169" t="s">
        <v>72</v>
      </c>
      <c r="AV127" s="170"/>
      <c r="AW127" s="170"/>
      <c r="AX127" s="170"/>
      <c r="AY127" s="14"/>
      <c r="AZ127" s="14"/>
      <c r="BA127" s="14"/>
      <c r="BB127" s="14"/>
      <c r="BC127" s="14"/>
      <c r="BD127" s="14"/>
      <c r="BE127" s="14"/>
      <c r="BF127" s="14"/>
      <c r="BG127" s="14"/>
      <c r="BH127" s="14"/>
      <c r="BI127" s="14"/>
      <c r="BJ127" s="14"/>
    </row>
    <row r="128" spans="2:62" ht="17" customHeight="1" x14ac:dyDescent="0.35">
      <c r="B128" s="14"/>
      <c r="C128" s="11"/>
      <c r="D128" s="11"/>
      <c r="E128" s="11"/>
      <c r="F128" s="11"/>
      <c r="G128" s="11"/>
      <c r="H128" s="20"/>
      <c r="I128" s="14"/>
      <c r="J128" s="14"/>
      <c r="K128" s="14"/>
      <c r="L128" s="14"/>
      <c r="M128" s="14"/>
      <c r="N128"/>
      <c r="O128"/>
      <c r="P128"/>
      <c r="Q128"/>
      <c r="R128"/>
      <c r="S128"/>
      <c r="T128"/>
      <c r="U128"/>
      <c r="V128"/>
      <c r="W128"/>
      <c r="X128" s="14"/>
      <c r="Y128" s="8"/>
      <c r="Z128" s="107" t="s">
        <v>71</v>
      </c>
      <c r="AA128" s="107"/>
      <c r="AB128" s="107"/>
      <c r="AC128" s="14"/>
      <c r="AD128" s="14"/>
      <c r="AE128" s="14"/>
      <c r="AF128" s="14"/>
      <c r="AG128" s="14"/>
      <c r="AH128" s="14"/>
      <c r="AI128" s="14"/>
      <c r="AJ128" s="14"/>
      <c r="AK128" s="14"/>
      <c r="AL128" s="14"/>
      <c r="AM128" s="14"/>
      <c r="AN128" s="14"/>
      <c r="AO128" s="14"/>
      <c r="AP128" s="14"/>
      <c r="AQ128" s="14"/>
      <c r="AR128" s="14"/>
      <c r="AS128" s="14"/>
      <c r="AT128" s="14"/>
      <c r="AU128" s="107" t="s">
        <v>102</v>
      </c>
      <c r="AV128" s="107"/>
      <c r="AW128" s="107" t="s">
        <v>108</v>
      </c>
      <c r="AX128" s="107"/>
      <c r="AY128" s="14"/>
      <c r="AZ128" s="14"/>
      <c r="BA128" s="14"/>
      <c r="BB128" s="14"/>
      <c r="BC128" s="14"/>
      <c r="BD128" s="14"/>
      <c r="BE128" s="14"/>
      <c r="BF128" s="14"/>
      <c r="BG128" s="14"/>
      <c r="BH128" s="14"/>
      <c r="BI128" s="14"/>
      <c r="BJ128" s="14"/>
    </row>
    <row r="129" spans="2:62" ht="17" customHeight="1" x14ac:dyDescent="0.35">
      <c r="B129" s="66" t="s">
        <v>73</v>
      </c>
      <c r="C129" s="63" t="s">
        <v>4</v>
      </c>
      <c r="D129" s="70" t="s">
        <v>74</v>
      </c>
      <c r="E129" s="70" t="s">
        <v>75</v>
      </c>
      <c r="F129" s="70" t="s">
        <v>76</v>
      </c>
      <c r="G129" s="70" t="s">
        <v>77</v>
      </c>
      <c r="H129" s="70" t="s">
        <v>78</v>
      </c>
      <c r="I129" s="64" t="s">
        <v>79</v>
      </c>
      <c r="J129" s="64" t="s">
        <v>80</v>
      </c>
      <c r="K129" s="64" t="s">
        <v>81</v>
      </c>
      <c r="L129" s="64" t="s">
        <v>82</v>
      </c>
      <c r="M129" s="64" t="s">
        <v>83</v>
      </c>
      <c r="N129" s="70" t="s">
        <v>84</v>
      </c>
      <c r="O129" s="70" t="s">
        <v>85</v>
      </c>
      <c r="P129" s="70" t="s">
        <v>86</v>
      </c>
      <c r="Q129" s="94" t="s">
        <v>98</v>
      </c>
      <c r="R129" s="94" t="s">
        <v>88</v>
      </c>
      <c r="S129" s="94" t="s">
        <v>89</v>
      </c>
      <c r="T129" s="94" t="s">
        <v>90</v>
      </c>
      <c r="U129"/>
      <c r="V129" s="94" t="s">
        <v>91</v>
      </c>
      <c r="W129" s="94" t="s">
        <v>87</v>
      </c>
      <c r="X129" s="94" t="s">
        <v>99</v>
      </c>
      <c r="Z129" s="94" t="s">
        <v>93</v>
      </c>
      <c r="AA129" s="94" t="s">
        <v>94</v>
      </c>
      <c r="AB129" s="94" t="s">
        <v>87</v>
      </c>
      <c r="AE129" s="164" t="s">
        <v>95</v>
      </c>
      <c r="AF129" s="164"/>
      <c r="AG129" s="164"/>
      <c r="AH129" s="164"/>
      <c r="AI129" s="164"/>
      <c r="AJ129" s="164"/>
      <c r="AK129" s="164"/>
      <c r="AL129" s="164"/>
      <c r="AM129" s="164"/>
      <c r="AN129" s="164"/>
      <c r="AO129" s="164"/>
      <c r="AP129" s="164"/>
      <c r="AQ129" s="164"/>
      <c r="AR129" s="164"/>
      <c r="AU129" s="94" t="s">
        <v>96</v>
      </c>
      <c r="AV129" s="94" t="s">
        <v>97</v>
      </c>
      <c r="AW129" s="168" t="s">
        <v>96</v>
      </c>
      <c r="AX129" s="168" t="s">
        <v>97</v>
      </c>
    </row>
    <row r="130" spans="2:62" ht="20" customHeight="1" x14ac:dyDescent="0.35">
      <c r="B130" s="146">
        <f t="shared" ref="B130:B161" si="3">+B131+1</f>
        <v>52</v>
      </c>
      <c r="C130" s="147">
        <f>+'ZCB rates'!B214</f>
        <v>45299</v>
      </c>
      <c r="D130" s="148">
        <f>+'ZCB rates'!M214</f>
        <v>-5.2282999999984361E-5</v>
      </c>
      <c r="E130" s="149">
        <f>+'ZCB rates'!N214</f>
        <v>-1.8955725000000841E-4</v>
      </c>
      <c r="F130" s="149">
        <f>+'ZCB rates'!O214</f>
        <v>-5.9937049999993263E-4</v>
      </c>
      <c r="G130" s="149">
        <f>+'ZCB rates'!P214</f>
        <v>-1.5026579999999959E-3</v>
      </c>
      <c r="H130" s="150">
        <f>+'ZCB rates'!Q214</f>
        <v>-2.9541724999999569E-3</v>
      </c>
      <c r="I130" s="151">
        <f t="shared" ref="I130:I161" si="4">+C$114*EXP(D130)</f>
        <v>0.99323713877450692</v>
      </c>
      <c r="J130" s="151">
        <f t="shared" ref="J130:J161" si="5">+D$114*EXP(E130)</f>
        <v>0.98747347112625061</v>
      </c>
      <c r="K130" s="151">
        <f t="shared" ref="K130:K161" si="6">+E$114*EXP(F130)</f>
        <v>0.9770049694638876</v>
      </c>
      <c r="L130" s="151">
        <f t="shared" ref="L130:L161" si="7">+F$114*EXP(G130)</f>
        <v>0.95551254640424976</v>
      </c>
      <c r="M130" s="151">
        <f t="shared" ref="M130:M161" si="8">+G$114*EXP(H130)</f>
        <v>0.87827201390741005</v>
      </c>
      <c r="N130" s="152">
        <f t="shared" ref="N130:N177" si="9">+SUMPRODUCT(I130:M130,$C$113:$G$113)+$G$117</f>
        <v>15951.56387498012</v>
      </c>
      <c r="O130" s="153">
        <f t="shared" ref="O130:O176" si="10">+N130-$G$118</f>
        <v>-20.349395311657645</v>
      </c>
      <c r="P130" s="154">
        <f t="shared" ref="P130:P161" si="11">+Lambda^B130</f>
        <v>4.0054229989060275E-2</v>
      </c>
      <c r="Q130" s="155">
        <f t="shared" ref="Q130:Q161" si="12">+P130/$P$183</f>
        <v>2.6633306358503869E-3</v>
      </c>
      <c r="R130" s="158">
        <f>+($O130-$C$124)^2</f>
        <v>642.43527332128326</v>
      </c>
      <c r="S130" s="158">
        <f t="shared" ref="S130:S161" si="13">+($O130-$C$124)^3</f>
        <v>-16283.361599114749</v>
      </c>
      <c r="T130" s="158">
        <f t="shared" ref="T130:T161" si="14">+($O130-$C$124)^4</f>
        <v>412723.08040739194</v>
      </c>
      <c r="U130"/>
      <c r="V130" s="77" cm="1">
        <f t="array" ref="V130:V181">+_xlfn._xlws.SORT(O130:O181)</f>
        <v>-42.088766753855452</v>
      </c>
      <c r="W130" s="19">
        <f t="shared" ref="W130:W161" si="15">+_xlfn.XLOOKUP(V130,$O$130:$O$181,$Q$130:$Q$181)</f>
        <v>2.9746700054243468E-2</v>
      </c>
      <c r="X130" s="22">
        <f>+SUM($W$130:W130)</f>
        <v>2.9746700054243468E-2</v>
      </c>
      <c r="Z130" s="128">
        <f t="shared" ref="Z130:Z141" si="16">+Z131-$Z$142/2.5</f>
        <v>-73.209259390330118</v>
      </c>
      <c r="AA130" s="128"/>
      <c r="AB130" s="127"/>
      <c r="AU130" s="106">
        <f t="shared" ref="AU130:AU149" si="17">+NORMDIST($Z130,0,SQRT($C$103),TRUE)</f>
        <v>7.234804392511999E-5</v>
      </c>
      <c r="AW130" s="106">
        <f t="shared" ref="AW130:AW149" si="18">+NORMDIST($Z130,0,SQRT($L$103),TRUE)</f>
        <v>6.5390008167255577E-5</v>
      </c>
      <c r="AX130" s="106"/>
    </row>
    <row r="131" spans="2:62" ht="20" customHeight="1" x14ac:dyDescent="0.35">
      <c r="B131" s="146">
        <f t="shared" si="3"/>
        <v>51</v>
      </c>
      <c r="C131" s="147">
        <f>+'ZCB rates'!B215</f>
        <v>45306</v>
      </c>
      <c r="D131" s="148">
        <f>+'ZCB rates'!M215</f>
        <v>-1.3517049999999664E-4</v>
      </c>
      <c r="E131" s="149">
        <f>+'ZCB rates'!N215</f>
        <v>-2.0138899999999556E-4</v>
      </c>
      <c r="F131" s="149">
        <f>+'ZCB rates'!O215</f>
        <v>-2.7260800000002453E-4</v>
      </c>
      <c r="G131" s="149">
        <f>+'ZCB rates'!P215</f>
        <v>-6.3509200000004399E-4</v>
      </c>
      <c r="H131" s="150">
        <f>+'ZCB rates'!Q215</f>
        <v>-3.7011400000001118E-3</v>
      </c>
      <c r="I131" s="151">
        <f t="shared" si="4"/>
        <v>0.99315481524300975</v>
      </c>
      <c r="J131" s="151">
        <f t="shared" si="5"/>
        <v>0.98746178765612669</v>
      </c>
      <c r="K131" s="151">
        <f t="shared" si="6"/>
        <v>0.97732427021513679</v>
      </c>
      <c r="L131" s="151">
        <f t="shared" si="7"/>
        <v>0.95634187629927558</v>
      </c>
      <c r="M131" s="151">
        <f t="shared" si="8"/>
        <v>0.8776162182163878</v>
      </c>
      <c r="N131" s="152">
        <f t="shared" si="9"/>
        <v>15963.193491967979</v>
      </c>
      <c r="O131" s="153">
        <f t="shared" si="10"/>
        <v>-8.7197783237988915</v>
      </c>
      <c r="P131" s="154">
        <f t="shared" si="11"/>
        <v>4.2610882967085394E-2</v>
      </c>
      <c r="Q131" s="155">
        <f t="shared" si="12"/>
        <v>2.8333304636706238E-3</v>
      </c>
      <c r="R131" s="158">
        <f t="shared" ref="R131:R161" si="19">+($O131-$C$124)^2</f>
        <v>188.14758206590415</v>
      </c>
      <c r="S131" s="158">
        <f t="shared" si="13"/>
        <v>-2580.7620403689443</v>
      </c>
      <c r="T131" s="158">
        <f t="shared" si="14"/>
        <v>35399.512637246138</v>
      </c>
      <c r="U131"/>
      <c r="V131" s="77">
        <v>-41.334289510432427</v>
      </c>
      <c r="W131" s="19">
        <f t="shared" si="15"/>
        <v>3.411250955557324E-3</v>
      </c>
      <c r="X131" s="22">
        <f>+SUM($W$130:W131)</f>
        <v>3.315795100980079E-2</v>
      </c>
      <c r="Z131" s="128">
        <f t="shared" si="16"/>
        <v>-65.503021559769053</v>
      </c>
      <c r="AA131" s="128">
        <f t="shared" ref="AA131:AA149" si="20">+AVERAGE(Z130:Z131)</f>
        <v>-69.356140475049585</v>
      </c>
      <c r="AB131" s="127">
        <f>SUMIFS($W$130:$W$181,_xlfn.ANCHORARRAY($V$130),"&gt;="&amp;Z130,$V$130:$V$181,"&lt;"&amp;Z131)</f>
        <v>0</v>
      </c>
      <c r="AU131" s="106">
        <f t="shared" si="17"/>
        <v>3.369292656768808E-4</v>
      </c>
      <c r="AV131" s="105">
        <f t="shared" ref="AV131:AV149" si="21">+AU131-AU130</f>
        <v>2.6458122175176079E-4</v>
      </c>
      <c r="AW131" s="106">
        <f t="shared" si="18"/>
        <v>3.1040593875983542E-4</v>
      </c>
      <c r="AX131" s="106">
        <f t="shared" ref="AX131:AX149" si="22">+AW131-AW130</f>
        <v>2.4501593059257984E-4</v>
      </c>
    </row>
    <row r="132" spans="2:62" ht="20" customHeight="1" x14ac:dyDescent="0.35">
      <c r="B132" s="146">
        <f t="shared" si="3"/>
        <v>50</v>
      </c>
      <c r="C132" s="147">
        <f>+'ZCB rates'!B216</f>
        <v>45313</v>
      </c>
      <c r="D132" s="148">
        <f>+'ZCB rates'!M216</f>
        <v>-5.2529999999996243E-6</v>
      </c>
      <c r="E132" s="149">
        <f>+'ZCB rates'!N216</f>
        <v>-2.8039000000115993E-5</v>
      </c>
      <c r="F132" s="149">
        <f>+'ZCB rates'!O216</f>
        <v>-1.0082600000004951E-4</v>
      </c>
      <c r="G132" s="149">
        <f>+'ZCB rates'!P216</f>
        <v>-2.6579199999994611E-4</v>
      </c>
      <c r="H132" s="150">
        <f>+'ZCB rates'!Q216</f>
        <v>-6.5293000000003982E-4</v>
      </c>
      <c r="I132" s="151">
        <f t="shared" si="4"/>
        <v>0.99328385181559209</v>
      </c>
      <c r="J132" s="151">
        <f t="shared" si="5"/>
        <v>0.98763297899459734</v>
      </c>
      <c r="K132" s="151">
        <f t="shared" si="6"/>
        <v>0.97749217135370658</v>
      </c>
      <c r="L132" s="151">
        <f t="shared" si="7"/>
        <v>0.9566951185763648</v>
      </c>
      <c r="M132" s="151">
        <f t="shared" si="8"/>
        <v>0.8802954581173148</v>
      </c>
      <c r="N132" s="152">
        <f t="shared" si="9"/>
        <v>15968.329554336766</v>
      </c>
      <c r="O132" s="153">
        <f t="shared" si="10"/>
        <v>-3.5837159550119395</v>
      </c>
      <c r="P132" s="154">
        <f t="shared" si="11"/>
        <v>4.5330726560729152E-2</v>
      </c>
      <c r="Q132" s="155">
        <f t="shared" si="12"/>
        <v>3.0141813443304516E-3</v>
      </c>
      <c r="R132" s="158">
        <f t="shared" si="19"/>
        <v>73.627168987767192</v>
      </c>
      <c r="S132" s="158">
        <f t="shared" si="13"/>
        <v>-631.76731394110698</v>
      </c>
      <c r="T132" s="158">
        <f t="shared" si="14"/>
        <v>5420.960013153227</v>
      </c>
      <c r="U132"/>
      <c r="V132" s="77">
        <v>-23.007237435447678</v>
      </c>
      <c r="W132" s="19">
        <f t="shared" si="15"/>
        <v>3.6289903782524722E-3</v>
      </c>
      <c r="X132" s="22">
        <f>+SUM($W$130:W132)</f>
        <v>3.678694138805326E-2</v>
      </c>
      <c r="Z132" s="128">
        <f t="shared" si="16"/>
        <v>-57.796783729207988</v>
      </c>
      <c r="AA132" s="128">
        <f t="shared" si="20"/>
        <v>-61.64990264448852</v>
      </c>
      <c r="AB132" s="127">
        <f>SUMIFS($W$130:$W$181,_xlfn.ANCHORARRAY($V$130),"&gt;="&amp;Z131,$V$130:$V$181,"&lt;"&amp;Z132)</f>
        <v>0</v>
      </c>
      <c r="AU132" s="106">
        <f t="shared" si="17"/>
        <v>1.3498980316300933E-3</v>
      </c>
      <c r="AV132" s="105">
        <f t="shared" si="21"/>
        <v>1.0129687659532125E-3</v>
      </c>
      <c r="AW132" s="106">
        <f t="shared" si="18"/>
        <v>1.2650212559602322E-3</v>
      </c>
      <c r="AX132" s="106">
        <f t="shared" si="22"/>
        <v>9.5461531720039683E-4</v>
      </c>
    </row>
    <row r="133" spans="2:62" ht="20" customHeight="1" x14ac:dyDescent="0.35">
      <c r="B133" s="146">
        <f t="shared" si="3"/>
        <v>49</v>
      </c>
      <c r="C133" s="147">
        <f>+'ZCB rates'!B217</f>
        <v>45320</v>
      </c>
      <c r="D133" s="148">
        <f>+'ZCB rates'!M217</f>
        <v>9.2559500000080109E-5</v>
      </c>
      <c r="E133" s="149">
        <f>+'ZCB rates'!N217</f>
        <v>2.4748600000004878E-4</v>
      </c>
      <c r="F133" s="149">
        <f>+'ZCB rates'!O217</f>
        <v>7.0191000000013935E-4</v>
      </c>
      <c r="G133" s="149">
        <f>+'ZCB rates'!P217</f>
        <v>1.9393119999999348E-3</v>
      </c>
      <c r="H133" s="150">
        <f>+'ZCB rates'!Q217</f>
        <v>5.5474800000000907E-3</v>
      </c>
      <c r="I133" s="151">
        <f t="shared" si="4"/>
        <v>0.99338101214401775</v>
      </c>
      <c r="J133" s="151">
        <f t="shared" si="5"/>
        <v>0.98790513406217573</v>
      </c>
      <c r="K133" s="151">
        <f t="shared" si="6"/>
        <v>0.97827715453434727</v>
      </c>
      <c r="L133" s="151">
        <f t="shared" si="7"/>
        <v>0.95880705847690639</v>
      </c>
      <c r="M133" s="151">
        <f t="shared" si="8"/>
        <v>0.88577060742299663</v>
      </c>
      <c r="N133" s="152">
        <f t="shared" si="9"/>
        <v>15998.011838503022</v>
      </c>
      <c r="O133" s="153">
        <f t="shared" si="10"/>
        <v>26.098568211244128</v>
      </c>
      <c r="P133" s="154">
        <f t="shared" si="11"/>
        <v>4.8224177192265058E-2</v>
      </c>
      <c r="Q133" s="155">
        <f t="shared" si="12"/>
        <v>3.2065758982238847E-3</v>
      </c>
      <c r="R133" s="158">
        <f t="shared" si="19"/>
        <v>445.27991235382308</v>
      </c>
      <c r="S133" s="158">
        <f t="shared" si="13"/>
        <v>9396.1438128635946</v>
      </c>
      <c r="T133" s="158">
        <f t="shared" si="14"/>
        <v>198274.20034582837</v>
      </c>
      <c r="U133"/>
      <c r="V133" s="77">
        <v>-22.19398211088992</v>
      </c>
      <c r="W133" s="19">
        <f t="shared" si="15"/>
        <v>3.5814198268018009E-2</v>
      </c>
      <c r="X133" s="22">
        <f>+SUM($W$130:W133)</f>
        <v>7.2601139656071262E-2</v>
      </c>
      <c r="Z133" s="128">
        <f t="shared" si="16"/>
        <v>-50.090545898646923</v>
      </c>
      <c r="AA133" s="128">
        <f t="shared" si="20"/>
        <v>-53.943664813927455</v>
      </c>
      <c r="AB133" s="127">
        <f t="shared" ref="AB133:AB149" si="23">SUMIFS($W$130:$W$181,_xlfn.ANCHORARRAY($V$130),"&gt;="&amp;Z132,$V$130:$V$181,"&lt;"&amp;Z133)</f>
        <v>0</v>
      </c>
      <c r="AU133" s="106">
        <f t="shared" si="17"/>
        <v>4.6611880237187476E-3</v>
      </c>
      <c r="AV133" s="105">
        <f t="shared" si="21"/>
        <v>3.3112899920886545E-3</v>
      </c>
      <c r="AW133" s="106">
        <f t="shared" si="18"/>
        <v>4.4340822627965621E-3</v>
      </c>
      <c r="AX133" s="106">
        <f t="shared" si="22"/>
        <v>3.16906100683633E-3</v>
      </c>
    </row>
    <row r="134" spans="2:62" ht="20" customHeight="1" x14ac:dyDescent="0.35">
      <c r="B134" s="146">
        <f t="shared" si="3"/>
        <v>48</v>
      </c>
      <c r="C134" s="147">
        <f>+'ZCB rates'!B218</f>
        <v>45327</v>
      </c>
      <c r="D134" s="148">
        <f>+'ZCB rates'!M218</f>
        <v>3.4520000000344265E-6</v>
      </c>
      <c r="E134" s="149">
        <f>+'ZCB rates'!N218</f>
        <v>-2.0704899999993064E-4</v>
      </c>
      <c r="F134" s="149">
        <f>+'ZCB rates'!O218</f>
        <v>-1.0126300000000686E-3</v>
      </c>
      <c r="G134" s="149">
        <f>+'ZCB rates'!P218</f>
        <v>-3.1101799999999863E-3</v>
      </c>
      <c r="H134" s="150">
        <f>+'ZCB rates'!Q218</f>
        <v>-7.4687299999999391E-3</v>
      </c>
      <c r="I134" s="151">
        <f t="shared" si="4"/>
        <v>0.99329249838915634</v>
      </c>
      <c r="J134" s="151">
        <f t="shared" si="5"/>
        <v>0.98745619863822554</v>
      </c>
      <c r="K134" s="151">
        <f t="shared" si="6"/>
        <v>0.97660129629534032</v>
      </c>
      <c r="L134" s="151">
        <f t="shared" si="7"/>
        <v>0.95397777288623065</v>
      </c>
      <c r="M134" s="151">
        <f t="shared" si="8"/>
        <v>0.87431594107824839</v>
      </c>
      <c r="N134" s="152">
        <f t="shared" si="9"/>
        <v>15930.578980781345</v>
      </c>
      <c r="O134" s="153">
        <f t="shared" si="10"/>
        <v>-41.334289510432427</v>
      </c>
      <c r="P134" s="154">
        <f t="shared" si="11"/>
        <v>5.13023161619841E-2</v>
      </c>
      <c r="Q134" s="155">
        <f t="shared" si="12"/>
        <v>3.411250955557324E-3</v>
      </c>
      <c r="R134" s="158">
        <f t="shared" si="19"/>
        <v>2146.5801949851166</v>
      </c>
      <c r="S134" s="158">
        <f t="shared" si="13"/>
        <v>-99453.638682248071</v>
      </c>
      <c r="T134" s="158">
        <f t="shared" si="14"/>
        <v>4607806.5335023412</v>
      </c>
      <c r="U134"/>
      <c r="V134" s="77">
        <v>-20.349395311657645</v>
      </c>
      <c r="W134" s="19">
        <f t="shared" si="15"/>
        <v>2.6633306358503869E-3</v>
      </c>
      <c r="X134" s="22">
        <f>+SUM($W$130:W134)</f>
        <v>7.5264470291921653E-2</v>
      </c>
      <c r="Z134" s="128">
        <f t="shared" si="16"/>
        <v>-42.384308068085858</v>
      </c>
      <c r="AA134" s="128">
        <f t="shared" si="20"/>
        <v>-46.23742698336639</v>
      </c>
      <c r="AB134" s="127">
        <f t="shared" si="23"/>
        <v>0</v>
      </c>
      <c r="AU134" s="106">
        <f t="shared" si="17"/>
        <v>1.3903447513498597E-2</v>
      </c>
      <c r="AV134" s="105">
        <f t="shared" si="21"/>
        <v>9.2422594897798496E-3</v>
      </c>
      <c r="AW134" s="106">
        <f t="shared" si="18"/>
        <v>1.3398402682349571E-2</v>
      </c>
      <c r="AX134" s="106">
        <f t="shared" si="22"/>
        <v>8.9643204195530082E-3</v>
      </c>
    </row>
    <row r="135" spans="2:62" ht="20" customHeight="1" x14ac:dyDescent="0.35">
      <c r="B135" s="146">
        <f t="shared" si="3"/>
        <v>47</v>
      </c>
      <c r="C135" s="147">
        <f>+'ZCB rates'!B219</f>
        <v>45334</v>
      </c>
      <c r="D135" s="148">
        <f>+'ZCB rates'!M219</f>
        <v>-1.0259500000031309E-5</v>
      </c>
      <c r="E135" s="149">
        <f>+'ZCB rates'!N219</f>
        <v>-1.3051900000003377E-4</v>
      </c>
      <c r="F135" s="149">
        <f>+'ZCB rates'!O219</f>
        <v>-5.7547599999999447E-4</v>
      </c>
      <c r="G135" s="149">
        <f>+'ZCB rates'!P219</f>
        <v>-1.7265320000000835E-3</v>
      </c>
      <c r="H135" s="150">
        <f>+'ZCB rates'!Q219</f>
        <v>-3.4785700000000488E-3</v>
      </c>
      <c r="I135" s="151">
        <f t="shared" si="4"/>
        <v>0.99327887895243627</v>
      </c>
      <c r="J135" s="151">
        <f t="shared" si="5"/>
        <v>0.98753177155286787</v>
      </c>
      <c r="K135" s="151">
        <f t="shared" si="6"/>
        <v>0.97702831478804175</v>
      </c>
      <c r="L135" s="151">
        <f t="shared" si="7"/>
        <v>0.95529865593158714</v>
      </c>
      <c r="M135" s="151">
        <f t="shared" si="8"/>
        <v>0.87781157099710405</v>
      </c>
      <c r="N135" s="152">
        <f t="shared" si="9"/>
        <v>15948.90603285633</v>
      </c>
      <c r="O135" s="153">
        <f t="shared" si="10"/>
        <v>-23.007237435447678</v>
      </c>
      <c r="P135" s="154">
        <f t="shared" si="11"/>
        <v>5.4576932087217124E-2</v>
      </c>
      <c r="Q135" s="155">
        <f t="shared" si="12"/>
        <v>3.6289903782524722E-3</v>
      </c>
      <c r="R135" s="158">
        <f t="shared" si="19"/>
        <v>784.23236238344748</v>
      </c>
      <c r="S135" s="158">
        <f t="shared" si="13"/>
        <v>-21961.759943179935</v>
      </c>
      <c r="T135" s="158">
        <f t="shared" si="14"/>
        <v>615020.39820952294</v>
      </c>
      <c r="U135"/>
      <c r="V135" s="77">
        <v>-18.84311935273945</v>
      </c>
      <c r="W135" s="19">
        <f t="shared" si="15"/>
        <v>4.1070511297560796E-3</v>
      </c>
      <c r="X135" s="22">
        <f>+SUM($W$130:W135)</f>
        <v>7.9371521421677735E-2</v>
      </c>
      <c r="Z135" s="128">
        <f t="shared" si="16"/>
        <v>-34.678070237524793</v>
      </c>
      <c r="AA135" s="128">
        <f t="shared" si="20"/>
        <v>-38.531189152805325</v>
      </c>
      <c r="AB135" s="127">
        <f t="shared" si="23"/>
        <v>3.315795100980079E-2</v>
      </c>
      <c r="AU135" s="106">
        <f t="shared" si="17"/>
        <v>3.5930319112925789E-2</v>
      </c>
      <c r="AV135" s="105">
        <f t="shared" si="21"/>
        <v>2.2026871599427192E-2</v>
      </c>
      <c r="AW135" s="106">
        <f t="shared" si="18"/>
        <v>3.500584541010747E-2</v>
      </c>
      <c r="AX135" s="106">
        <f t="shared" si="22"/>
        <v>2.16074427277579E-2</v>
      </c>
    </row>
    <row r="136" spans="2:62" customFormat="1" ht="20" customHeight="1" x14ac:dyDescent="0.35">
      <c r="B136" s="146">
        <f t="shared" si="3"/>
        <v>46</v>
      </c>
      <c r="C136" s="147">
        <f>+'ZCB rates'!B220</f>
        <v>45341</v>
      </c>
      <c r="D136" s="148">
        <f>+'ZCB rates'!M220</f>
        <v>1.6597000000089393E-5</v>
      </c>
      <c r="E136" s="149">
        <f>+'ZCB rates'!N220</f>
        <v>-3.9282000000069363E-5</v>
      </c>
      <c r="F136" s="149">
        <f>+'ZCB rates'!O220</f>
        <v>-2.6520000000000157E-4</v>
      </c>
      <c r="G136" s="149">
        <f>+'ZCB rates'!P220</f>
        <v>-7.7088400000001616E-4</v>
      </c>
      <c r="H136" s="150">
        <f>+'ZCB rates'!Q220</f>
        <v>-9.2422000000008165E-4</v>
      </c>
      <c r="I136" s="151">
        <f t="shared" si="4"/>
        <v>0.99330555530486409</v>
      </c>
      <c r="J136" s="151">
        <f t="shared" si="5"/>
        <v>0.98762187509943522</v>
      </c>
      <c r="K136" s="151">
        <f t="shared" si="6"/>
        <v>0.97733151026014764</v>
      </c>
      <c r="L136" s="151">
        <f t="shared" si="7"/>
        <v>0.95621202154002749</v>
      </c>
      <c r="M136" s="151">
        <f t="shared" si="8"/>
        <v>0.8800566751536617</v>
      </c>
      <c r="N136" s="152">
        <f t="shared" si="9"/>
        <v>15961.621414087684</v>
      </c>
      <c r="O136" s="153">
        <f t="shared" si="10"/>
        <v>-10.291856204094074</v>
      </c>
      <c r="P136" s="154">
        <f t="shared" si="11"/>
        <v>5.8060566050230994E-2</v>
      </c>
      <c r="Q136" s="155">
        <f t="shared" si="12"/>
        <v>3.8606280619707159E-3</v>
      </c>
      <c r="R136" s="158">
        <f t="shared" si="19"/>
        <v>233.74642052194699</v>
      </c>
      <c r="S136" s="158">
        <f t="shared" si="13"/>
        <v>-3573.6947449921722</v>
      </c>
      <c r="T136" s="158">
        <f t="shared" si="14"/>
        <v>54637.389106822877</v>
      </c>
      <c r="V136" s="77">
        <v>-18.249376680283603</v>
      </c>
      <c r="W136" s="19">
        <f t="shared" si="15"/>
        <v>5.5228119812847178E-2</v>
      </c>
      <c r="X136" s="22">
        <f>+SUM($W$130:W136)</f>
        <v>0.13459964123452492</v>
      </c>
      <c r="Y136" s="3"/>
      <c r="Z136" s="128">
        <f t="shared" si="16"/>
        <v>-26.971832406963728</v>
      </c>
      <c r="AA136" s="128">
        <f t="shared" si="20"/>
        <v>-30.82495132224426</v>
      </c>
      <c r="AB136" s="127">
        <f t="shared" si="23"/>
        <v>0</v>
      </c>
      <c r="AC136" s="3"/>
      <c r="AD136" s="3"/>
      <c r="AE136" s="3"/>
      <c r="AF136" s="3"/>
      <c r="AG136" s="3"/>
      <c r="AH136" s="3"/>
      <c r="AI136" s="3"/>
      <c r="AJ136" s="3"/>
      <c r="AK136" s="3"/>
      <c r="AL136" s="3"/>
      <c r="AM136" s="3"/>
      <c r="AN136" s="3"/>
      <c r="AO136" s="3"/>
      <c r="AP136" s="3"/>
      <c r="AQ136" s="3"/>
      <c r="AR136" s="3"/>
      <c r="AS136" s="3"/>
      <c r="AT136" s="3"/>
      <c r="AU136" s="106">
        <f t="shared" si="17"/>
        <v>8.0756659233771053E-2</v>
      </c>
      <c r="AV136" s="105">
        <f t="shared" si="21"/>
        <v>4.4826340120845264E-2</v>
      </c>
      <c r="AW136" s="106">
        <f t="shared" si="18"/>
        <v>7.9387276521774491E-2</v>
      </c>
      <c r="AX136" s="106">
        <f t="shared" si="22"/>
        <v>4.4381431111667022E-2</v>
      </c>
      <c r="AY136" s="3"/>
      <c r="AZ136" s="3"/>
      <c r="BA136" s="3"/>
      <c r="BB136" s="3"/>
      <c r="BC136" s="3"/>
      <c r="BD136" s="3"/>
      <c r="BE136" s="3"/>
      <c r="BF136" s="3"/>
      <c r="BG136" s="3"/>
      <c r="BH136" s="3"/>
      <c r="BI136" s="3"/>
      <c r="BJ136" s="3"/>
    </row>
    <row r="137" spans="2:62" customFormat="1" ht="20" customHeight="1" x14ac:dyDescent="0.35">
      <c r="B137" s="146">
        <f t="shared" si="3"/>
        <v>45</v>
      </c>
      <c r="C137" s="147">
        <f>+'ZCB rates'!B221</f>
        <v>45348</v>
      </c>
      <c r="D137" s="148">
        <f>+'ZCB rates'!M221</f>
        <v>-1.8090000000029946E-5</v>
      </c>
      <c r="E137" s="149">
        <f>+'ZCB rates'!N221</f>
        <v>-1.2644100000004074E-4</v>
      </c>
      <c r="F137" s="149">
        <f>+'ZCB rates'!O221</f>
        <v>-5.0035600000003608E-4</v>
      </c>
      <c r="G137" s="149">
        <f>+'ZCB rates'!P221</f>
        <v>-1.4061919999998928E-3</v>
      </c>
      <c r="H137" s="150">
        <f>+'ZCB rates'!Q221</f>
        <v>-2.780939999999938E-3</v>
      </c>
      <c r="I137" s="151">
        <f t="shared" si="4"/>
        <v>0.99327110111262684</v>
      </c>
      <c r="J137" s="151">
        <f t="shared" si="5"/>
        <v>0.98753579871564368</v>
      </c>
      <c r="K137" s="151">
        <f t="shared" si="6"/>
        <v>0.97710171191181006</v>
      </c>
      <c r="L137" s="151">
        <f t="shared" si="7"/>
        <v>0.95560472532354557</v>
      </c>
      <c r="M137" s="151">
        <f t="shared" si="8"/>
        <v>0.87842417234307191</v>
      </c>
      <c r="N137" s="152">
        <f t="shared" si="9"/>
        <v>15953.070150939038</v>
      </c>
      <c r="O137" s="153">
        <f t="shared" si="10"/>
        <v>-18.84311935273945</v>
      </c>
      <c r="P137" s="154">
        <f t="shared" si="11"/>
        <v>6.1766559627905303E-2</v>
      </c>
      <c r="Q137" s="155">
        <f t="shared" si="12"/>
        <v>4.1070511297560796E-3</v>
      </c>
      <c r="R137" s="158">
        <f t="shared" si="19"/>
        <v>568.34707513281126</v>
      </c>
      <c r="S137" s="158">
        <f t="shared" si="13"/>
        <v>-13549.411854783559</v>
      </c>
      <c r="T137" s="158">
        <f t="shared" si="14"/>
        <v>323018.39781202143</v>
      </c>
      <c r="V137" s="77">
        <v>-15.105521830271755</v>
      </c>
      <c r="W137" s="19">
        <f t="shared" si="15"/>
        <v>8.6297033388016229E-3</v>
      </c>
      <c r="X137" s="22">
        <f>+SUM($W$130:W137)</f>
        <v>0.14322934457332653</v>
      </c>
      <c r="Y137" s="3"/>
      <c r="Z137" s="128">
        <f t="shared" si="16"/>
        <v>-19.265594576402663</v>
      </c>
      <c r="AA137" s="128">
        <f t="shared" si="20"/>
        <v>-23.118713491683195</v>
      </c>
      <c r="AB137" s="127">
        <f t="shared" si="23"/>
        <v>4.2106519282120863E-2</v>
      </c>
      <c r="AC137" s="3"/>
      <c r="AD137" s="3"/>
      <c r="AE137" s="3"/>
      <c r="AF137" s="3"/>
      <c r="AG137" s="3"/>
      <c r="AH137" s="3"/>
      <c r="AI137" s="3"/>
      <c r="AJ137" s="3"/>
      <c r="AK137" s="3"/>
      <c r="AL137" s="3"/>
      <c r="AM137" s="3"/>
      <c r="AN137" s="3"/>
      <c r="AO137" s="3"/>
      <c r="AP137" s="3"/>
      <c r="AQ137" s="3"/>
      <c r="AR137" s="3"/>
      <c r="AS137" s="3"/>
      <c r="AT137" s="3"/>
      <c r="AU137" s="106">
        <f t="shared" si="17"/>
        <v>0.15865525393145699</v>
      </c>
      <c r="AV137" s="105">
        <f t="shared" si="21"/>
        <v>7.7898594697685938E-2</v>
      </c>
      <c r="AW137" s="106">
        <f t="shared" si="18"/>
        <v>0.15706952277414113</v>
      </c>
      <c r="AX137" s="106">
        <f t="shared" si="22"/>
        <v>7.7682246252366638E-2</v>
      </c>
      <c r="AY137" s="3"/>
      <c r="AZ137" s="3"/>
      <c r="BA137" s="3"/>
      <c r="BB137" s="3"/>
      <c r="BC137" s="3"/>
      <c r="BD137" s="3"/>
      <c r="BE137" s="3"/>
      <c r="BF137" s="3"/>
      <c r="BG137" s="3"/>
      <c r="BH137" s="3"/>
      <c r="BI137" s="3"/>
      <c r="BJ137" s="3"/>
    </row>
    <row r="138" spans="2:62" customFormat="1" ht="20" customHeight="1" x14ac:dyDescent="0.35">
      <c r="B138" s="146">
        <f t="shared" si="3"/>
        <v>44</v>
      </c>
      <c r="C138" s="147">
        <f>+'ZCB rates'!B222</f>
        <v>45355</v>
      </c>
      <c r="D138" s="148">
        <f>+'ZCB rates'!M222</f>
        <v>-6.0490000000283976E-6</v>
      </c>
      <c r="E138" s="149">
        <f>+'ZCB rates'!N222</f>
        <v>7.0020999999961564E-5</v>
      </c>
      <c r="F138" s="149">
        <f>+'ZCB rates'!O222</f>
        <v>4.1021799999998326E-4</v>
      </c>
      <c r="G138" s="149">
        <f>+'ZCB rates'!P222</f>
        <v>1.5541839999998941E-3</v>
      </c>
      <c r="H138" s="150">
        <f>+'ZCB rates'!Q222</f>
        <v>6.0202500000000681E-3</v>
      </c>
      <c r="I138" s="151">
        <f t="shared" si="4"/>
        <v>0.99328306116196063</v>
      </c>
      <c r="J138" s="151">
        <f t="shared" si="5"/>
        <v>0.98772983103309542</v>
      </c>
      <c r="K138" s="151">
        <f t="shared" si="6"/>
        <v>0.97799184052851607</v>
      </c>
      <c r="L138" s="151">
        <f t="shared" si="7"/>
        <v>0.95843786612980775</v>
      </c>
      <c r="M138" s="151">
        <f t="shared" si="8"/>
        <v>0.88618947219861621</v>
      </c>
      <c r="N138" s="152">
        <f t="shared" si="9"/>
        <v>15992.319084138337</v>
      </c>
      <c r="O138" s="153">
        <f t="shared" si="10"/>
        <v>20.405813846558885</v>
      </c>
      <c r="P138" s="154">
        <f t="shared" si="11"/>
        <v>6.5709105987133309E-2</v>
      </c>
      <c r="Q138" s="155">
        <f t="shared" si="12"/>
        <v>4.3692033295277448E-3</v>
      </c>
      <c r="R138" s="158">
        <f t="shared" si="19"/>
        <v>237.43426889306508</v>
      </c>
      <c r="S138" s="158">
        <f t="shared" si="13"/>
        <v>3658.6014428161593</v>
      </c>
      <c r="T138" s="158">
        <f t="shared" si="14"/>
        <v>56375.032044784333</v>
      </c>
      <c r="V138" s="77">
        <v>-13.001407957475749</v>
      </c>
      <c r="W138" s="19">
        <f t="shared" si="15"/>
        <v>3.810021092342341E-2</v>
      </c>
      <c r="X138" s="22">
        <f>+SUM($W$130:W138)</f>
        <v>0.18132955549674995</v>
      </c>
      <c r="Y138" s="3"/>
      <c r="Z138" s="128">
        <f t="shared" si="16"/>
        <v>-11.559356745841598</v>
      </c>
      <c r="AA138" s="128">
        <f t="shared" si="20"/>
        <v>-15.41247566112213</v>
      </c>
      <c r="AB138" s="127">
        <f t="shared" si="23"/>
        <v>0.1128027171117062</v>
      </c>
      <c r="AC138" s="3"/>
      <c r="AD138" s="3"/>
      <c r="AE138" s="3"/>
      <c r="AF138" s="3"/>
      <c r="AG138" s="3"/>
      <c r="AH138" s="3"/>
      <c r="AI138" s="3"/>
      <c r="AJ138" s="3"/>
      <c r="AK138" s="3"/>
      <c r="AL138" s="3"/>
      <c r="AM138" s="3"/>
      <c r="AN138" s="3"/>
      <c r="AO138" s="3"/>
      <c r="AP138" s="3"/>
      <c r="AQ138" s="3"/>
      <c r="AR138" s="3"/>
      <c r="AS138" s="3"/>
      <c r="AT138" s="3"/>
      <c r="AU138" s="106">
        <f t="shared" si="17"/>
        <v>0.27425311775007355</v>
      </c>
      <c r="AV138" s="105">
        <f t="shared" si="21"/>
        <v>0.11559786381861656</v>
      </c>
      <c r="AW138" s="106">
        <f t="shared" si="18"/>
        <v>0.27294010144492897</v>
      </c>
      <c r="AX138" s="106">
        <f t="shared" si="22"/>
        <v>0.11587057867078784</v>
      </c>
      <c r="AY138" s="3"/>
      <c r="AZ138" s="3"/>
      <c r="BA138" s="3"/>
      <c r="BB138" s="3"/>
      <c r="BC138" s="3"/>
      <c r="BD138" s="3"/>
      <c r="BE138" s="3"/>
      <c r="BF138" s="3"/>
      <c r="BG138" s="3"/>
      <c r="BH138" s="3"/>
      <c r="BI138" s="3"/>
      <c r="BJ138" s="3"/>
    </row>
    <row r="139" spans="2:62" s="14" customFormat="1" ht="20" customHeight="1" x14ac:dyDescent="0.35">
      <c r="B139" s="146">
        <f t="shared" si="3"/>
        <v>43</v>
      </c>
      <c r="C139" s="147">
        <f>+'ZCB rates'!B223</f>
        <v>45362</v>
      </c>
      <c r="D139" s="148">
        <f>+'ZCB rates'!M223</f>
        <v>-5.893199999995585E-5</v>
      </c>
      <c r="E139" s="149">
        <f>+'ZCB rates'!N223</f>
        <v>-5.0984999999912255E-5</v>
      </c>
      <c r="F139" s="149">
        <f>+'ZCB rates'!O223</f>
        <v>6.2620000000067011E-5</v>
      </c>
      <c r="G139" s="149">
        <f>+'ZCB rates'!P223</f>
        <v>2.8913999999994841E-4</v>
      </c>
      <c r="H139" s="150">
        <f>+'ZCB rates'!Q223</f>
        <v>-5.0232000000003762E-4</v>
      </c>
      <c r="I139" s="151">
        <f t="shared" si="4"/>
        <v>0.99323053476272638</v>
      </c>
      <c r="J139" s="151">
        <f t="shared" si="5"/>
        <v>0.98761031702826318</v>
      </c>
      <c r="K139" s="151">
        <f t="shared" si="6"/>
        <v>0.97765195159651086</v>
      </c>
      <c r="L139" s="151">
        <f t="shared" si="7"/>
        <v>0.95722616664606219</v>
      </c>
      <c r="M139" s="151">
        <f t="shared" si="8"/>
        <v>0.88042804940079789</v>
      </c>
      <c r="N139" s="152">
        <f t="shared" si="9"/>
        <v>15975.636102258992</v>
      </c>
      <c r="O139" s="153">
        <f t="shared" si="10"/>
        <v>3.722831967214006</v>
      </c>
      <c r="P139" s="154">
        <f t="shared" si="11"/>
        <v>6.9903304241631187E-2</v>
      </c>
      <c r="Q139" s="155">
        <f t="shared" si="12"/>
        <v>4.6480886484337718E-3</v>
      </c>
      <c r="R139" s="158">
        <f t="shared" si="19"/>
        <v>1.6232788735499217</v>
      </c>
      <c r="S139" s="158">
        <f t="shared" si="13"/>
        <v>-2.0681865274683489</v>
      </c>
      <c r="T139" s="158">
        <f t="shared" si="14"/>
        <v>2.6350343013135027</v>
      </c>
      <c r="U139"/>
      <c r="V139" s="77">
        <v>-11.619254867107884</v>
      </c>
      <c r="W139" s="19">
        <f t="shared" si="15"/>
        <v>6.7376319068778931E-3</v>
      </c>
      <c r="X139" s="22">
        <f>+SUM($W$130:W139)</f>
        <v>0.18806718740362785</v>
      </c>
      <c r="Y139" s="3"/>
      <c r="Z139" s="128">
        <f t="shared" si="16"/>
        <v>-3.8531189152805325</v>
      </c>
      <c r="AA139" s="128">
        <f t="shared" si="20"/>
        <v>-7.706237830561065</v>
      </c>
      <c r="AB139" s="127">
        <f t="shared" si="23"/>
        <v>0.13184755633418599</v>
      </c>
      <c r="AC139" s="3"/>
      <c r="AD139" s="3"/>
      <c r="AE139" s="3"/>
      <c r="AF139" s="3"/>
      <c r="AG139" s="3"/>
      <c r="AH139" s="3"/>
      <c r="AI139" s="3"/>
      <c r="AJ139" s="3"/>
      <c r="AK139" s="3"/>
      <c r="AL139" s="3"/>
      <c r="AM139" s="3"/>
      <c r="AN139" s="3"/>
      <c r="AO139" s="3"/>
      <c r="AP139" s="3"/>
      <c r="AQ139" s="3"/>
      <c r="AR139" s="3"/>
      <c r="AS139" s="3"/>
      <c r="AT139" s="3"/>
      <c r="AU139" s="106">
        <f t="shared" si="17"/>
        <v>0.42074029056089696</v>
      </c>
      <c r="AV139" s="105">
        <f t="shared" si="21"/>
        <v>0.14648717281082341</v>
      </c>
      <c r="AW139" s="106">
        <f t="shared" si="18"/>
        <v>0.42022613591899488</v>
      </c>
      <c r="AX139" s="106">
        <f t="shared" si="22"/>
        <v>0.14728603447406591</v>
      </c>
      <c r="AY139" s="3"/>
      <c r="AZ139" s="3"/>
      <c r="BA139" s="3"/>
      <c r="BB139" s="3"/>
      <c r="BC139" s="3"/>
      <c r="BD139" s="3"/>
      <c r="BE139" s="3"/>
      <c r="BF139" s="3"/>
      <c r="BG139" s="3"/>
      <c r="BH139" s="3"/>
      <c r="BI139" s="3"/>
      <c r="BJ139" s="3"/>
    </row>
    <row r="140" spans="2:62" s="14" customFormat="1" ht="20" customHeight="1" x14ac:dyDescent="0.35">
      <c r="B140" s="146">
        <f t="shared" si="3"/>
        <v>42</v>
      </c>
      <c r="C140" s="147">
        <f>+'ZCB rates'!B224</f>
        <v>45369</v>
      </c>
      <c r="D140" s="148">
        <f>+'ZCB rates'!M224</f>
        <v>7.2678500000059108E-5</v>
      </c>
      <c r="E140" s="149">
        <f>+'ZCB rates'!N224</f>
        <v>6.8632000000042273E-5</v>
      </c>
      <c r="F140" s="149">
        <f>+'ZCB rates'!O224</f>
        <v>-8.263200000001048E-5</v>
      </c>
      <c r="G140" s="149">
        <f>+'ZCB rates'!P224</f>
        <v>-6.0019600000006852E-4</v>
      </c>
      <c r="H140" s="150">
        <f>+'ZCB rates'!Q224</f>
        <v>-1.8617600000000454E-3</v>
      </c>
      <c r="I140" s="151">
        <f t="shared" si="4"/>
        <v>0.99336126293243299</v>
      </c>
      <c r="J140" s="151">
        <f t="shared" si="5"/>
        <v>0.98772845907731299</v>
      </c>
      <c r="K140" s="151">
        <f t="shared" si="6"/>
        <v>0.97750995600805879</v>
      </c>
      <c r="L140" s="151">
        <f t="shared" si="7"/>
        <v>0.95637524938768115</v>
      </c>
      <c r="M140" s="151">
        <f t="shared" si="8"/>
        <v>0.87923197347425264</v>
      </c>
      <c r="N140" s="152">
        <f t="shared" si="9"/>
        <v>15964.308242782625</v>
      </c>
      <c r="O140" s="153">
        <f t="shared" si="10"/>
        <v>-7.6050275091529329</v>
      </c>
      <c r="P140" s="154">
        <f t="shared" si="11"/>
        <v>7.436521727833105E-2</v>
      </c>
      <c r="Q140" s="155">
        <f t="shared" si="12"/>
        <v>4.9447751579082683E-3</v>
      </c>
      <c r="R140" s="158">
        <f t="shared" si="19"/>
        <v>158.80886894354319</v>
      </c>
      <c r="S140" s="158">
        <f t="shared" si="13"/>
        <v>-2001.2996941059168</v>
      </c>
      <c r="T140" s="158">
        <f t="shared" si="14"/>
        <v>25220.256855127478</v>
      </c>
      <c r="U140"/>
      <c r="V140" s="77">
        <v>-11.419729698047377</v>
      </c>
      <c r="W140" s="19">
        <f t="shared" si="15"/>
        <v>1.2509177203836833E-2</v>
      </c>
      <c r="X140" s="22">
        <f>+SUM($W$130:W140)</f>
        <v>0.2005763646074647</v>
      </c>
      <c r="Y140" s="3"/>
      <c r="Z140" s="128">
        <f t="shared" si="16"/>
        <v>3.8531189152805325</v>
      </c>
      <c r="AA140" s="128">
        <f t="shared" si="20"/>
        <v>0</v>
      </c>
      <c r="AB140" s="127">
        <f t="shared" si="23"/>
        <v>0.18799676026597797</v>
      </c>
      <c r="AC140" s="3"/>
      <c r="AD140" s="3"/>
      <c r="AE140" s="3"/>
      <c r="AF140" s="3"/>
      <c r="AG140" s="3"/>
      <c r="AH140" s="3"/>
      <c r="AI140" s="3"/>
      <c r="AJ140" s="3"/>
      <c r="AK140" s="3"/>
      <c r="AL140" s="3"/>
      <c r="AM140" s="3"/>
      <c r="AN140" s="3"/>
      <c r="AO140" s="3"/>
      <c r="AP140" s="3"/>
      <c r="AQ140" s="3"/>
      <c r="AR140" s="3"/>
      <c r="AS140" s="3"/>
      <c r="AT140" s="3"/>
      <c r="AU140" s="106">
        <f t="shared" si="17"/>
        <v>0.57925970943910299</v>
      </c>
      <c r="AV140" s="105">
        <f t="shared" si="21"/>
        <v>0.15851941887820603</v>
      </c>
      <c r="AW140" s="106">
        <f t="shared" si="18"/>
        <v>0.57977386408100506</v>
      </c>
      <c r="AX140" s="106">
        <f t="shared" si="22"/>
        <v>0.15954772816201018</v>
      </c>
      <c r="AY140" s="3"/>
      <c r="AZ140" s="3"/>
      <c r="BA140" s="3"/>
      <c r="BB140" s="3"/>
      <c r="BC140" s="3"/>
      <c r="BD140" s="3"/>
      <c r="BE140" s="3"/>
      <c r="BF140" s="3"/>
      <c r="BG140" s="3"/>
      <c r="BH140" s="3"/>
      <c r="BI140" s="3"/>
      <c r="BJ140" s="3"/>
    </row>
    <row r="141" spans="2:62" s="14" customFormat="1" ht="20" customHeight="1" x14ac:dyDescent="0.35">
      <c r="B141" s="146">
        <f t="shared" si="3"/>
        <v>41</v>
      </c>
      <c r="C141" s="147">
        <f>+'ZCB rates'!B225</f>
        <v>45376</v>
      </c>
      <c r="D141" s="148">
        <f>+'ZCB rates'!M225</f>
        <v>1.1035062500010062E-4</v>
      </c>
      <c r="E141" s="149">
        <f>+'ZCB rates'!N225</f>
        <v>2.1406474999995429E-4</v>
      </c>
      <c r="F141" s="149">
        <f>+'ZCB rates'!O225</f>
        <v>4.157255000000079E-4</v>
      </c>
      <c r="G141" s="149">
        <f>+'ZCB rates'!P225</f>
        <v>8.4628000000010737E-4</v>
      </c>
      <c r="H141" s="150">
        <f>+'ZCB rates'!Q225</f>
        <v>2.4576149999999521E-3</v>
      </c>
      <c r="I141" s="151">
        <f t="shared" si="4"/>
        <v>0.99339868566699285</v>
      </c>
      <c r="J141" s="151">
        <f t="shared" si="5"/>
        <v>0.98787211758944282</v>
      </c>
      <c r="K141" s="151">
        <f t="shared" si="6"/>
        <v>0.97799722683341039</v>
      </c>
      <c r="L141" s="151">
        <f t="shared" si="7"/>
        <v>0.95775962422402605</v>
      </c>
      <c r="M141" s="151">
        <f t="shared" si="8"/>
        <v>0.88303791981712698</v>
      </c>
      <c r="N141" s="152">
        <f t="shared" si="9"/>
        <v>15983.666482512843</v>
      </c>
      <c r="O141" s="153">
        <f t="shared" si="10"/>
        <v>11.753212221065041</v>
      </c>
      <c r="P141" s="154">
        <f t="shared" si="11"/>
        <v>7.9111933274820259E-2</v>
      </c>
      <c r="Q141" s="155">
        <f t="shared" si="12"/>
        <v>5.2603991041577317E-3</v>
      </c>
      <c r="R141" s="158">
        <f t="shared" si="19"/>
        <v>45.647598279100976</v>
      </c>
      <c r="S141" s="158">
        <f t="shared" si="13"/>
        <v>308.40889726836548</v>
      </c>
      <c r="T141" s="158">
        <f t="shared" si="14"/>
        <v>2083.7032286501822</v>
      </c>
      <c r="U141"/>
      <c r="V141" s="77">
        <v>-10.291856204094074</v>
      </c>
      <c r="W141" s="19">
        <f t="shared" si="15"/>
        <v>3.8606280619707159E-3</v>
      </c>
      <c r="X141" s="22">
        <f>+SUM($W$130:W141)</f>
        <v>0.20443699266943541</v>
      </c>
      <c r="Y141" s="3"/>
      <c r="Z141" s="128">
        <f t="shared" si="16"/>
        <v>11.559356745841598</v>
      </c>
      <c r="AA141" s="128">
        <f t="shared" si="20"/>
        <v>7.706237830561065</v>
      </c>
      <c r="AB141" s="127">
        <f t="shared" si="23"/>
        <v>0.10785170700336164</v>
      </c>
      <c r="AC141" s="3"/>
      <c r="AD141" s="3"/>
      <c r="AE141" s="3"/>
      <c r="AF141" s="3"/>
      <c r="AG141" s="3"/>
      <c r="AH141" s="3"/>
      <c r="AI141" s="3"/>
      <c r="AJ141" s="3"/>
      <c r="AK141" s="3"/>
      <c r="AL141" s="3"/>
      <c r="AM141" s="3"/>
      <c r="AN141" s="3"/>
      <c r="AO141" s="3"/>
      <c r="AP141" s="3"/>
      <c r="AQ141" s="3"/>
      <c r="AR141" s="3"/>
      <c r="AS141" s="3"/>
      <c r="AT141" s="3"/>
      <c r="AU141" s="106">
        <f t="shared" si="17"/>
        <v>0.72574688224992645</v>
      </c>
      <c r="AV141" s="105">
        <f t="shared" si="21"/>
        <v>0.14648717281082346</v>
      </c>
      <c r="AW141" s="106">
        <f t="shared" si="18"/>
        <v>0.72705989855507103</v>
      </c>
      <c r="AX141" s="106">
        <f t="shared" si="22"/>
        <v>0.14728603447406596</v>
      </c>
      <c r="AY141" s="3"/>
      <c r="AZ141" s="3"/>
      <c r="BA141" s="3"/>
      <c r="BB141" s="3"/>
      <c r="BC141" s="3"/>
      <c r="BD141" s="3"/>
      <c r="BE141" s="3"/>
      <c r="BF141" s="3"/>
      <c r="BG141" s="3"/>
      <c r="BH141" s="3"/>
      <c r="BI141" s="3"/>
      <c r="BJ141" s="3"/>
    </row>
    <row r="142" spans="2:62" ht="20" customHeight="1" x14ac:dyDescent="0.35">
      <c r="B142" s="146">
        <f t="shared" si="3"/>
        <v>40</v>
      </c>
      <c r="C142" s="147">
        <f>+'ZCB rates'!B226</f>
        <v>45383</v>
      </c>
      <c r="D142" s="148">
        <f>+'ZCB rates'!M226</f>
        <v>1.298187500000885E-5</v>
      </c>
      <c r="E142" s="149">
        <f>+'ZCB rates'!N226</f>
        <v>1.2695000000028018E-5</v>
      </c>
      <c r="F142" s="149">
        <f>+'ZCB rates'!O226</f>
        <v>-3.9402500000043125E-5</v>
      </c>
      <c r="G142" s="149">
        <f>+'ZCB rates'!P226</f>
        <v>-3.6996500000003918E-4</v>
      </c>
      <c r="H142" s="150">
        <f>+'ZCB rates'!Q226</f>
        <v>-2.6551875000000295E-3</v>
      </c>
      <c r="I142" s="151">
        <f t="shared" si="4"/>
        <v>0.9933019643876092</v>
      </c>
      <c r="J142" s="151">
        <f t="shared" si="5"/>
        <v>0.98767321005574427</v>
      </c>
      <c r="K142" s="151">
        <f t="shared" si="6"/>
        <v>0.97755221418809546</v>
      </c>
      <c r="L142" s="151">
        <f t="shared" si="7"/>
        <v>0.95659546196663137</v>
      </c>
      <c r="M142" s="151">
        <f t="shared" si="8"/>
        <v>0.8785346433246598</v>
      </c>
      <c r="N142" s="152">
        <f t="shared" si="9"/>
        <v>15967.24400914109</v>
      </c>
      <c r="O142" s="153">
        <f t="shared" si="10"/>
        <v>-4.6692611506878166</v>
      </c>
      <c r="P142" s="154">
        <f t="shared" si="11"/>
        <v>8.4161631143425814E-2</v>
      </c>
      <c r="Q142" s="155">
        <f t="shared" si="12"/>
        <v>5.5961692597422683E-3</v>
      </c>
      <c r="R142" s="158">
        <f t="shared" si="19"/>
        <v>93.434895364440919</v>
      </c>
      <c r="S142" s="158">
        <f t="shared" si="13"/>
        <v>-903.15783817365184</v>
      </c>
      <c r="T142" s="158">
        <f t="shared" si="14"/>
        <v>8730.0796717640224</v>
      </c>
      <c r="U142"/>
      <c r="V142" s="77">
        <v>-10.157079057651572</v>
      </c>
      <c r="W142" s="19">
        <f t="shared" si="15"/>
        <v>6.33337399246522E-3</v>
      </c>
      <c r="X142" s="22">
        <f>+SUM($W$130:W142)</f>
        <v>0.21077036666190063</v>
      </c>
      <c r="Z142" s="129">
        <f>+SQRT(C103)</f>
        <v>19.265594576402663</v>
      </c>
      <c r="AA142" s="128">
        <f t="shared" si="20"/>
        <v>15.41247566112213</v>
      </c>
      <c r="AB142" s="127">
        <f t="shared" si="23"/>
        <v>0.10345550286596118</v>
      </c>
      <c r="AU142" s="106">
        <f t="shared" si="17"/>
        <v>0.84134474606854304</v>
      </c>
      <c r="AV142" s="105">
        <f t="shared" si="21"/>
        <v>0.11559786381861659</v>
      </c>
      <c r="AW142" s="106">
        <f t="shared" si="18"/>
        <v>0.8429304772258589</v>
      </c>
      <c r="AX142" s="106">
        <f t="shared" si="22"/>
        <v>0.11587057867078787</v>
      </c>
    </row>
    <row r="143" spans="2:62" ht="20" customHeight="1" x14ac:dyDescent="0.35">
      <c r="B143" s="146">
        <f t="shared" si="3"/>
        <v>39</v>
      </c>
      <c r="C143" s="147">
        <f>+'ZCB rates'!B227</f>
        <v>45390</v>
      </c>
      <c r="D143" s="148">
        <f>+'ZCB rates'!M227</f>
        <v>1.8121000000001028E-5</v>
      </c>
      <c r="E143" s="149">
        <f>+'ZCB rates'!N227</f>
        <v>-2.5253750000064061E-5</v>
      </c>
      <c r="F143" s="149">
        <f>+'ZCB rates'!O227</f>
        <v>-2.137189999999579E-4</v>
      </c>
      <c r="G143" s="149">
        <f>+'ZCB rates'!P227</f>
        <v>-6.5767100000004052E-4</v>
      </c>
      <c r="H143" s="150">
        <f>+'ZCB rates'!Q227</f>
        <v>-6.81557500000108E-4</v>
      </c>
      <c r="I143" s="151">
        <f t="shared" si="4"/>
        <v>0.99330706910368383</v>
      </c>
      <c r="J143" s="151">
        <f t="shared" si="5"/>
        <v>0.98763572980318293</v>
      </c>
      <c r="K143" s="151">
        <f t="shared" si="6"/>
        <v>0.97738182555875719</v>
      </c>
      <c r="L143" s="151">
        <f t="shared" si="7"/>
        <v>0.95632028329982577</v>
      </c>
      <c r="M143" s="151">
        <f t="shared" si="8"/>
        <v>0.88027025781979995</v>
      </c>
      <c r="N143" s="152">
        <f t="shared" si="9"/>
        <v>15963.172845257362</v>
      </c>
      <c r="O143" s="153">
        <f t="shared" si="10"/>
        <v>-8.7404250344152388</v>
      </c>
      <c r="P143" s="154">
        <f t="shared" si="11"/>
        <v>8.9533650152580649E-2</v>
      </c>
      <c r="Q143" s="155">
        <f t="shared" si="12"/>
        <v>5.9533715529173064E-3</v>
      </c>
      <c r="R143" s="158">
        <f t="shared" si="19"/>
        <v>188.71441740690338</v>
      </c>
      <c r="S143" s="158">
        <f t="shared" si="13"/>
        <v>-2592.433476936355</v>
      </c>
      <c r="T143" s="158">
        <f t="shared" si="14"/>
        <v>35613.131337226958</v>
      </c>
      <c r="U143"/>
      <c r="V143" s="77">
        <v>-8.7404250344152388</v>
      </c>
      <c r="W143" s="19">
        <f t="shared" si="15"/>
        <v>5.9533715529173064E-3</v>
      </c>
      <c r="X143" s="22">
        <f>+SUM($W$130:W143)</f>
        <v>0.21672373821481794</v>
      </c>
      <c r="Z143" s="128">
        <f t="shared" ref="Z143:Z149" si="24">+Z142+$Z$142/2.5</f>
        <v>26.971832406963728</v>
      </c>
      <c r="AA143" s="128">
        <f t="shared" si="20"/>
        <v>23.118713491683195</v>
      </c>
      <c r="AB143" s="127">
        <f t="shared" si="23"/>
        <v>0.11180193812310366</v>
      </c>
      <c r="AU143" s="106">
        <f t="shared" si="17"/>
        <v>0.91924334076622893</v>
      </c>
      <c r="AV143" s="105">
        <f t="shared" si="21"/>
        <v>7.7898594697685897E-2</v>
      </c>
      <c r="AW143" s="106">
        <f t="shared" si="18"/>
        <v>0.92061272347822554</v>
      </c>
      <c r="AX143" s="106">
        <f t="shared" si="22"/>
        <v>7.7682246252366638E-2</v>
      </c>
    </row>
    <row r="144" spans="2:62" ht="20" customHeight="1" x14ac:dyDescent="0.35">
      <c r="B144" s="146">
        <f t="shared" si="3"/>
        <v>38</v>
      </c>
      <c r="C144" s="147">
        <f>+'ZCB rates'!B228</f>
        <v>45397</v>
      </c>
      <c r="D144" s="148">
        <f>+'ZCB rates'!M228</f>
        <v>3.1922999999898369E-5</v>
      </c>
      <c r="E144" s="149">
        <f>+'ZCB rates'!N228</f>
        <v>2.3659999999965519E-5</v>
      </c>
      <c r="F144" s="149">
        <f>+'ZCB rates'!O228</f>
        <v>-1.1374400000005126E-4</v>
      </c>
      <c r="G144" s="149">
        <f>+'ZCB rates'!P228</f>
        <v>-7.9818000000008848E-4</v>
      </c>
      <c r="H144" s="150">
        <f>+'ZCB rates'!Q228</f>
        <v>-4.1437299999999878E-3</v>
      </c>
      <c r="I144" s="151">
        <f t="shared" si="4"/>
        <v>0.99332077882246206</v>
      </c>
      <c r="J144" s="151">
        <f t="shared" si="5"/>
        <v>0.98768403995186727</v>
      </c>
      <c r="K144" s="151">
        <f t="shared" si="6"/>
        <v>0.97747954419139604</v>
      </c>
      <c r="L144" s="151">
        <f t="shared" si="7"/>
        <v>0.95618592113290746</v>
      </c>
      <c r="M144" s="151">
        <f t="shared" si="8"/>
        <v>0.87722787999801266</v>
      </c>
      <c r="N144" s="152">
        <f t="shared" si="9"/>
        <v>15961.756191234126</v>
      </c>
      <c r="O144" s="153">
        <f t="shared" si="10"/>
        <v>-10.157079057651572</v>
      </c>
      <c r="P144" s="154">
        <f t="shared" si="11"/>
        <v>9.5248563992107085E-2</v>
      </c>
      <c r="Q144" s="155">
        <f t="shared" si="12"/>
        <v>6.33337399246522E-3</v>
      </c>
      <c r="R144" s="158">
        <f t="shared" si="19"/>
        <v>229.64343241056233</v>
      </c>
      <c r="S144" s="158">
        <f t="shared" si="13"/>
        <v>-3480.0144259944823</v>
      </c>
      <c r="T144" s="158">
        <f t="shared" si="14"/>
        <v>52736.106049304508</v>
      </c>
      <c r="U144"/>
      <c r="V144" s="77">
        <v>-8.7197783237988915</v>
      </c>
      <c r="W144" s="19">
        <f t="shared" si="15"/>
        <v>2.8333304636706238E-3</v>
      </c>
      <c r="X144" s="22">
        <f>+SUM($W$130:W144)</f>
        <v>0.21955706867848857</v>
      </c>
      <c r="Z144" s="128">
        <f t="shared" si="24"/>
        <v>34.678070237524793</v>
      </c>
      <c r="AA144" s="128">
        <f t="shared" si="20"/>
        <v>30.82495132224426</v>
      </c>
      <c r="AB144" s="127">
        <f t="shared" si="23"/>
        <v>0.11268791611480106</v>
      </c>
      <c r="AU144" s="106">
        <f t="shared" si="17"/>
        <v>0.96406968088707423</v>
      </c>
      <c r="AV144" s="105">
        <f t="shared" si="21"/>
        <v>4.4826340120845298E-2</v>
      </c>
      <c r="AW144" s="106">
        <f t="shared" si="18"/>
        <v>0.96499415458989257</v>
      </c>
      <c r="AX144" s="106">
        <f t="shared" si="22"/>
        <v>4.4381431111667036E-2</v>
      </c>
    </row>
    <row r="145" spans="2:50" ht="20" customHeight="1" x14ac:dyDescent="0.35">
      <c r="B145" s="146">
        <f t="shared" si="3"/>
        <v>37</v>
      </c>
      <c r="C145" s="147">
        <f>+'ZCB rates'!B229</f>
        <v>45404</v>
      </c>
      <c r="D145" s="148">
        <f>+'ZCB rates'!M229</f>
        <v>6.5844000000093067E-5</v>
      </c>
      <c r="E145" s="149">
        <f>+'ZCB rates'!N229</f>
        <v>4.3974000000075436E-5</v>
      </c>
      <c r="F145" s="149">
        <f>+'ZCB rates'!O229</f>
        <v>-1.7255600000002559E-4</v>
      </c>
      <c r="G145" s="149">
        <f>+'ZCB rates'!P229</f>
        <v>-9.0379599999996E-4</v>
      </c>
      <c r="H145" s="150">
        <f>+'ZCB rates'!Q229</f>
        <v>-2.8523499999999311E-3</v>
      </c>
      <c r="I145" s="151">
        <f t="shared" si="4"/>
        <v>0.99335447382808151</v>
      </c>
      <c r="J145" s="151">
        <f t="shared" si="5"/>
        <v>0.98770410396924446</v>
      </c>
      <c r="K145" s="151">
        <f t="shared" si="6"/>
        <v>0.97742205835488827</v>
      </c>
      <c r="L145" s="151">
        <f t="shared" si="7"/>
        <v>0.95608493793347582</v>
      </c>
      <c r="M145" s="151">
        <f t="shared" si="8"/>
        <v>0.87836144631258439</v>
      </c>
      <c r="N145" s="152">
        <f t="shared" si="9"/>
        <v>15960.29401542467</v>
      </c>
      <c r="O145" s="153">
        <f t="shared" si="10"/>
        <v>-11.619254867107884</v>
      </c>
      <c r="P145" s="154">
        <f t="shared" si="11"/>
        <v>0.10132825956607136</v>
      </c>
      <c r="Q145" s="155">
        <f t="shared" si="12"/>
        <v>6.7376319068778931E-3</v>
      </c>
      <c r="R145" s="158">
        <f t="shared" si="19"/>
        <v>276.09698757839988</v>
      </c>
      <c r="S145" s="158">
        <f t="shared" si="13"/>
        <v>-4587.6735026465985</v>
      </c>
      <c r="T145" s="158">
        <f t="shared" si="14"/>
        <v>76229.546549867096</v>
      </c>
      <c r="U145"/>
      <c r="V145" s="77">
        <v>-8.6987363560656377</v>
      </c>
      <c r="W145" s="19">
        <f t="shared" si="15"/>
        <v>6.2503530797699394E-2</v>
      </c>
      <c r="X145" s="22">
        <f>+SUM($W$130:W145)</f>
        <v>0.28206059947618795</v>
      </c>
      <c r="Z145" s="128">
        <f t="shared" si="24"/>
        <v>42.384308068085858</v>
      </c>
      <c r="AA145" s="128">
        <f t="shared" si="20"/>
        <v>38.531189152805325</v>
      </c>
      <c r="AB145" s="127">
        <f t="shared" si="23"/>
        <v>3.9246727374445636E-2</v>
      </c>
      <c r="AU145" s="106">
        <f t="shared" si="17"/>
        <v>0.98609655248650141</v>
      </c>
      <c r="AV145" s="105">
        <f t="shared" si="21"/>
        <v>2.2026871599427178E-2</v>
      </c>
      <c r="AW145" s="106">
        <f t="shared" si="18"/>
        <v>0.9866015973176504</v>
      </c>
      <c r="AX145" s="106">
        <f t="shared" si="22"/>
        <v>2.1607442727757831E-2</v>
      </c>
    </row>
    <row r="146" spans="2:50" ht="20" customHeight="1" x14ac:dyDescent="0.35">
      <c r="B146" s="146">
        <f t="shared" si="3"/>
        <v>36</v>
      </c>
      <c r="C146" s="147">
        <f>+'ZCB rates'!B230</f>
        <v>45411</v>
      </c>
      <c r="D146" s="148">
        <f>+'ZCB rates'!M230</f>
        <v>3.0500125000000632E-5</v>
      </c>
      <c r="E146" s="149">
        <f>+'ZCB rates'!N230</f>
        <v>4.0102249999979177E-5</v>
      </c>
      <c r="F146" s="149">
        <f>+'ZCB rates'!O230</f>
        <v>3.2233999999986071E-5</v>
      </c>
      <c r="G146" s="149">
        <f>+'ZCB rates'!P230</f>
        <v>4.5702000000051558E-5</v>
      </c>
      <c r="H146" s="150">
        <f>+'ZCB rates'!Q230</f>
        <v>8.5726249999986878E-4</v>
      </c>
      <c r="I146" s="151">
        <f t="shared" si="4"/>
        <v>0.99331936545216448</v>
      </c>
      <c r="J146" s="151">
        <f t="shared" si="5"/>
        <v>0.9877002798332829</v>
      </c>
      <c r="K146" s="151">
        <f t="shared" si="6"/>
        <v>0.97762224511564244</v>
      </c>
      <c r="L146" s="151">
        <f t="shared" si="7"/>
        <v>0.95699316978380211</v>
      </c>
      <c r="M146" s="151">
        <f t="shared" si="8"/>
        <v>0.88162587805820058</v>
      </c>
      <c r="N146" s="152">
        <f t="shared" si="9"/>
        <v>15972.59014319372</v>
      </c>
      <c r="O146" s="153">
        <f t="shared" si="10"/>
        <v>0.6768729019422608</v>
      </c>
      <c r="P146" s="154">
        <f t="shared" si="11"/>
        <v>0.10779602081496954</v>
      </c>
      <c r="Q146" s="155">
        <f t="shared" si="12"/>
        <v>7.1676935179552058E-3</v>
      </c>
      <c r="R146" s="158">
        <f t="shared" si="19"/>
        <v>18.662734226818642</v>
      </c>
      <c r="S146" s="158">
        <f t="shared" si="13"/>
        <v>-80.623733799481613</v>
      </c>
      <c r="T146" s="158">
        <f t="shared" si="14"/>
        <v>348.29764882086801</v>
      </c>
      <c r="U146"/>
      <c r="V146" s="77">
        <v>-7.9036772817944438</v>
      </c>
      <c r="W146" s="19">
        <f t="shared" si="15"/>
        <v>9.1805354668102364E-3</v>
      </c>
      <c r="X146" s="22">
        <f>+SUM($W$130:W146)</f>
        <v>0.29124113494299819</v>
      </c>
      <c r="Z146" s="128">
        <f t="shared" si="24"/>
        <v>50.090545898646923</v>
      </c>
      <c r="AA146" s="128">
        <f t="shared" si="20"/>
        <v>46.23742698336639</v>
      </c>
      <c r="AB146" s="127">
        <f t="shared" si="23"/>
        <v>1.7044704514535217E-2</v>
      </c>
      <c r="AU146" s="106">
        <f t="shared" si="17"/>
        <v>0.99533881197628127</v>
      </c>
      <c r="AV146" s="105">
        <f t="shared" si="21"/>
        <v>9.2422594897798582E-3</v>
      </c>
      <c r="AW146" s="106">
        <f t="shared" si="18"/>
        <v>0.99556591773720349</v>
      </c>
      <c r="AX146" s="106">
        <f t="shared" si="22"/>
        <v>8.9643204195530846E-3</v>
      </c>
    </row>
    <row r="147" spans="2:50" ht="20" customHeight="1" x14ac:dyDescent="0.35">
      <c r="B147" s="146">
        <f t="shared" si="3"/>
        <v>35</v>
      </c>
      <c r="C147" s="147">
        <f>+'ZCB rates'!B231</f>
        <v>45418</v>
      </c>
      <c r="D147" s="148">
        <f>+'ZCB rates'!M231</f>
        <v>5.6890375000105267E-5</v>
      </c>
      <c r="E147" s="149">
        <f>+'ZCB rates'!N231</f>
        <v>1.1938074999985867E-4</v>
      </c>
      <c r="F147" s="149">
        <f>+'ZCB rates'!O231</f>
        <v>2.719779999999758E-4</v>
      </c>
      <c r="G147" s="149">
        <f>+'ZCB rates'!P231</f>
        <v>7.0507799999998812E-4</v>
      </c>
      <c r="H147" s="150">
        <f>+'ZCB rates'!Q231</f>
        <v>2.5345574999999219E-3</v>
      </c>
      <c r="I147" s="151">
        <f t="shared" si="4"/>
        <v>0.99334557974444804</v>
      </c>
      <c r="J147" s="151">
        <f t="shared" si="5"/>
        <v>0.98777858633388749</v>
      </c>
      <c r="K147" s="151">
        <f t="shared" si="6"/>
        <v>0.97785665228090846</v>
      </c>
      <c r="L147" s="151">
        <f t="shared" si="7"/>
        <v>0.95762439619702489</v>
      </c>
      <c r="M147" s="151">
        <f t="shared" si="8"/>
        <v>0.88310586557619719</v>
      </c>
      <c r="N147" s="152">
        <f t="shared" si="9"/>
        <v>15981.459594852682</v>
      </c>
      <c r="O147" s="153">
        <f t="shared" si="10"/>
        <v>9.5463245609043952</v>
      </c>
      <c r="P147" s="154">
        <f t="shared" si="11"/>
        <v>0.11467661788826546</v>
      </c>
      <c r="Q147" s="155">
        <f t="shared" si="12"/>
        <v>7.6252058701651122E-3</v>
      </c>
      <c r="R147" s="158">
        <f t="shared" si="19"/>
        <v>20.697158421427257</v>
      </c>
      <c r="S147" s="158">
        <f t="shared" si="13"/>
        <v>94.159921077918668</v>
      </c>
      <c r="T147" s="158">
        <f t="shared" si="14"/>
        <v>428.37236672165727</v>
      </c>
      <c r="U147"/>
      <c r="V147" s="77">
        <v>-7.6050275091529329</v>
      </c>
      <c r="W147" s="19">
        <f t="shared" si="15"/>
        <v>4.9447751579082683E-3</v>
      </c>
      <c r="X147" s="22">
        <f>+SUM($W$130:W147)</f>
        <v>0.29618591010090645</v>
      </c>
      <c r="Z147" s="128">
        <f t="shared" si="24"/>
        <v>57.796783729207988</v>
      </c>
      <c r="AA147" s="128">
        <f t="shared" si="20"/>
        <v>53.943664813927455</v>
      </c>
      <c r="AB147" s="127">
        <f t="shared" si="23"/>
        <v>0</v>
      </c>
      <c r="AU147" s="106">
        <f t="shared" si="17"/>
        <v>0.9986501019683699</v>
      </c>
      <c r="AV147" s="105">
        <f t="shared" si="21"/>
        <v>3.3112899920886285E-3</v>
      </c>
      <c r="AW147" s="106">
        <f t="shared" si="18"/>
        <v>0.99873497874403971</v>
      </c>
      <c r="AX147" s="106">
        <f t="shared" si="22"/>
        <v>3.1690610068362268E-3</v>
      </c>
    </row>
    <row r="148" spans="2:50" ht="20" customHeight="1" x14ac:dyDescent="0.35">
      <c r="B148" s="146">
        <f t="shared" si="3"/>
        <v>34</v>
      </c>
      <c r="C148" s="147">
        <f>+'ZCB rates'!B232</f>
        <v>45425</v>
      </c>
      <c r="D148" s="148">
        <f>+'ZCB rates'!M232</f>
        <v>6.5197999999967238E-5</v>
      </c>
      <c r="E148" s="149">
        <f>+'ZCB rates'!N232</f>
        <v>7.1893999999962961E-5</v>
      </c>
      <c r="F148" s="149">
        <f>+'ZCB rates'!O232</f>
        <v>-1.350600000006074E-5</v>
      </c>
      <c r="G148" s="149">
        <f>+'ZCB rates'!P232</f>
        <v>-2.7443200000001124E-4</v>
      </c>
      <c r="H148" s="150">
        <f>+'ZCB rates'!Q232</f>
        <v>-3.952100000000238E-4</v>
      </c>
      <c r="I148" s="151">
        <f t="shared" si="4"/>
        <v>0.99335383212129857</v>
      </c>
      <c r="J148" s="151">
        <f t="shared" si="5"/>
        <v>0.98773168105280151</v>
      </c>
      <c r="K148" s="151">
        <f t="shared" si="6"/>
        <v>0.97757752969680023</v>
      </c>
      <c r="L148" s="151">
        <f t="shared" si="7"/>
        <v>0.95668685276624854</v>
      </c>
      <c r="M148" s="151">
        <f t="shared" si="8"/>
        <v>0.88052235709972781</v>
      </c>
      <c r="N148" s="152">
        <f t="shared" si="9"/>
        <v>15968.525829778511</v>
      </c>
      <c r="O148" s="153">
        <f t="shared" si="10"/>
        <v>-3.3874405132664833</v>
      </c>
      <c r="P148" s="154">
        <f t="shared" si="11"/>
        <v>0.12199640200879305</v>
      </c>
      <c r="Q148" s="155">
        <f t="shared" si="12"/>
        <v>8.1119211384735237E-3</v>
      </c>
      <c r="R148" s="158">
        <f t="shared" si="19"/>
        <v>70.297360114893166</v>
      </c>
      <c r="S148" s="158">
        <f t="shared" si="13"/>
        <v>-589.39781881203078</v>
      </c>
      <c r="T148" s="158">
        <f t="shared" si="14"/>
        <v>4941.7188391229729</v>
      </c>
      <c r="U148"/>
      <c r="V148" s="77">
        <v>-4.6692611506878166</v>
      </c>
      <c r="W148" s="19">
        <f t="shared" si="15"/>
        <v>5.5961692597422683E-3</v>
      </c>
      <c r="X148" s="22">
        <f>+SUM($W$130:W148)</f>
        <v>0.30178207936064871</v>
      </c>
      <c r="Z148" s="128">
        <f t="shared" si="24"/>
        <v>65.503021559769053</v>
      </c>
      <c r="AA148" s="128">
        <f t="shared" si="20"/>
        <v>61.64990264448852</v>
      </c>
      <c r="AB148" s="127">
        <f t="shared" si="23"/>
        <v>0</v>
      </c>
      <c r="AU148" s="106">
        <f t="shared" si="17"/>
        <v>0.99966307073432314</v>
      </c>
      <c r="AV148" s="105">
        <f t="shared" si="21"/>
        <v>1.0129687659532483E-3</v>
      </c>
      <c r="AW148" s="106">
        <f t="shared" si="18"/>
        <v>0.99968959406124014</v>
      </c>
      <c r="AX148" s="106">
        <f t="shared" si="22"/>
        <v>9.5461531720042458E-4</v>
      </c>
    </row>
    <row r="149" spans="2:50" ht="20" customHeight="1" x14ac:dyDescent="0.35">
      <c r="B149" s="146">
        <f t="shared" si="3"/>
        <v>33</v>
      </c>
      <c r="C149" s="147">
        <f>+'ZCB rates'!B233</f>
        <v>45432</v>
      </c>
      <c r="D149" s="148">
        <f>+'ZCB rates'!M233</f>
        <v>-2.2695999999990955E-5</v>
      </c>
      <c r="E149" s="149">
        <f>+'ZCB rates'!N233</f>
        <v>-1.0134999999991123E-4</v>
      </c>
      <c r="F149" s="149">
        <f>+'ZCB rates'!O233</f>
        <v>-3.7371600000001584E-4</v>
      </c>
      <c r="G149" s="149">
        <f>+'ZCB rates'!P233</f>
        <v>-1.1335720000000464E-3</v>
      </c>
      <c r="H149" s="150">
        <f>+'ZCB rates'!Q233</f>
        <v>-3.2283000000000051E-3</v>
      </c>
      <c r="I149" s="151">
        <f t="shared" si="4"/>
        <v>0.99326652611647137</v>
      </c>
      <c r="J149" s="151">
        <f t="shared" si="5"/>
        <v>0.98756057728722768</v>
      </c>
      <c r="K149" s="151">
        <f t="shared" si="6"/>
        <v>0.97722545990816423</v>
      </c>
      <c r="L149" s="151">
        <f t="shared" si="7"/>
        <v>0.95586527779805719</v>
      </c>
      <c r="M149" s="151">
        <f t="shared" si="8"/>
        <v>0.87803128839216693</v>
      </c>
      <c r="N149" s="152">
        <f t="shared" si="9"/>
        <v>15956.807748461506</v>
      </c>
      <c r="O149" s="153">
        <f t="shared" si="10"/>
        <v>-15.105521830271755</v>
      </c>
      <c r="P149" s="154">
        <f t="shared" si="11"/>
        <v>0.12978340639233304</v>
      </c>
      <c r="Q149" s="155">
        <f t="shared" si="12"/>
        <v>8.6297033388016229E-3</v>
      </c>
      <c r="R149" s="158">
        <f t="shared" si="19"/>
        <v>404.10782923266748</v>
      </c>
      <c r="S149" s="158">
        <f t="shared" si="13"/>
        <v>-8123.5507299129204</v>
      </c>
      <c r="T149" s="158">
        <f t="shared" si="14"/>
        <v>163303.13764713873</v>
      </c>
      <c r="U149"/>
      <c r="V149" s="77">
        <v>-3.9146412960981252</v>
      </c>
      <c r="W149" s="19">
        <f t="shared" si="15"/>
        <v>1.8132664377165122E-2</v>
      </c>
      <c r="X149" s="22">
        <f>+SUM($W$130:W149)</f>
        <v>0.31991474373781381</v>
      </c>
      <c r="Z149" s="128">
        <f t="shared" si="24"/>
        <v>73.209259390330118</v>
      </c>
      <c r="AA149" s="128">
        <f t="shared" si="20"/>
        <v>69.356140475049585</v>
      </c>
      <c r="AB149" s="127">
        <f t="shared" si="23"/>
        <v>0</v>
      </c>
      <c r="AU149" s="106">
        <f t="shared" si="17"/>
        <v>0.99992765195607491</v>
      </c>
      <c r="AV149" s="105">
        <f t="shared" si="21"/>
        <v>2.6458122175176957E-4</v>
      </c>
      <c r="AW149" s="106">
        <f t="shared" si="18"/>
        <v>0.9999346099918327</v>
      </c>
      <c r="AX149" s="106">
        <f t="shared" si="22"/>
        <v>2.4501593059256255E-4</v>
      </c>
    </row>
    <row r="150" spans="2:50" ht="20" customHeight="1" x14ac:dyDescent="0.35">
      <c r="B150" s="146">
        <f t="shared" si="3"/>
        <v>32</v>
      </c>
      <c r="C150" s="147">
        <f>+'ZCB rates'!B234</f>
        <v>45439</v>
      </c>
      <c r="D150" s="148">
        <f>+'ZCB rates'!M234</f>
        <v>9.1146000000052731E-5</v>
      </c>
      <c r="E150" s="149">
        <f>+'ZCB rates'!N234</f>
        <v>1.0848999999997882E-4</v>
      </c>
      <c r="F150" s="149">
        <f>+'ZCB rates'!O234</f>
        <v>-1.9032000000097141E-5</v>
      </c>
      <c r="G150" s="149">
        <f>+'ZCB rates'!P234</f>
        <v>-6.4101999999997437E-4</v>
      </c>
      <c r="H150" s="150">
        <f>+'ZCB rates'!Q234</f>
        <v>-3.0411200000000902E-3</v>
      </c>
      <c r="I150" s="151">
        <f t="shared" si="4"/>
        <v>0.99337960800094938</v>
      </c>
      <c r="J150" s="151">
        <f t="shared" si="5"/>
        <v>0.98776782874282776</v>
      </c>
      <c r="K150" s="151">
        <f t="shared" si="6"/>
        <v>0.97757212761829704</v>
      </c>
      <c r="L150" s="151">
        <f t="shared" si="7"/>
        <v>0.95633620712143641</v>
      </c>
      <c r="M150" s="151">
        <f t="shared" si="8"/>
        <v>0.87819565367119468</v>
      </c>
      <c r="N150" s="152">
        <f t="shared" si="9"/>
        <v>15964.009593009983</v>
      </c>
      <c r="O150" s="153">
        <f t="shared" si="10"/>
        <v>-7.9036772817944438</v>
      </c>
      <c r="P150" s="154">
        <f t="shared" si="11"/>
        <v>0.13806745360886494</v>
      </c>
      <c r="Q150" s="155">
        <f t="shared" si="12"/>
        <v>9.1805354668102364E-3</v>
      </c>
      <c r="R150" s="158">
        <f t="shared" si="19"/>
        <v>166.42519312111992</v>
      </c>
      <c r="S150" s="158">
        <f t="shared" si="13"/>
        <v>-2146.98299360377</v>
      </c>
      <c r="T150" s="158">
        <f t="shared" si="14"/>
        <v>27697.34490540206</v>
      </c>
      <c r="U150"/>
      <c r="V150" s="77">
        <v>-3.5837159550119395</v>
      </c>
      <c r="W150" s="19">
        <f t="shared" si="15"/>
        <v>3.0141813443304516E-3</v>
      </c>
      <c r="X150" s="22">
        <f>+SUM($W$130:W150)</f>
        <v>0.32292892508214427</v>
      </c>
      <c r="Z150"/>
      <c r="AA150"/>
    </row>
    <row r="151" spans="2:50" ht="20" customHeight="1" x14ac:dyDescent="0.35">
      <c r="B151" s="146">
        <f t="shared" si="3"/>
        <v>31</v>
      </c>
      <c r="C151" s="147">
        <f>+'ZCB rates'!B235</f>
        <v>45446</v>
      </c>
      <c r="D151" s="148">
        <f>+'ZCB rates'!M235</f>
        <v>8.0719499999994462E-5</v>
      </c>
      <c r="E151" s="149">
        <f>+'ZCB rates'!N235</f>
        <v>1.5169100000015338E-4</v>
      </c>
      <c r="F151" s="149">
        <f>+'ZCB rates'!O235</f>
        <v>2.862820000001422E-4</v>
      </c>
      <c r="G151" s="149">
        <f>+'ZCB rates'!P235</f>
        <v>6.0823200000009129E-4</v>
      </c>
      <c r="H151" s="150">
        <f>+'ZCB rates'!Q235</f>
        <v>2.1964300000001731E-3</v>
      </c>
      <c r="I151" s="151">
        <f t="shared" si="4"/>
        <v>0.99336925058246239</v>
      </c>
      <c r="J151" s="151">
        <f t="shared" si="5"/>
        <v>0.98781050222255928</v>
      </c>
      <c r="K151" s="151">
        <f t="shared" si="6"/>
        <v>0.97787063964250021</v>
      </c>
      <c r="L151" s="151">
        <f t="shared" si="7"/>
        <v>0.9575316585954563</v>
      </c>
      <c r="M151" s="151">
        <f t="shared" si="8"/>
        <v>0.88280731367478327</v>
      </c>
      <c r="N151" s="152">
        <f t="shared" si="9"/>
        <v>15980.32204963523</v>
      </c>
      <c r="O151" s="153">
        <f t="shared" si="10"/>
        <v>8.4087793434518971</v>
      </c>
      <c r="P151" s="154">
        <f t="shared" si="11"/>
        <v>0.14688026979666483</v>
      </c>
      <c r="Q151" s="155">
        <f t="shared" si="12"/>
        <v>9.7665270923513146E-3</v>
      </c>
      <c r="R151" s="158">
        <f t="shared" si="19"/>
        <v>11.640841598238715</v>
      </c>
      <c r="S151" s="158">
        <f t="shared" si="13"/>
        <v>39.717012125286715</v>
      </c>
      <c r="T151" s="158">
        <f t="shared" si="14"/>
        <v>135.50919311528489</v>
      </c>
      <c r="U151"/>
      <c r="V151" s="77">
        <v>-3.3874405132664833</v>
      </c>
      <c r="W151" s="19">
        <f t="shared" si="15"/>
        <v>8.1119211384735237E-3</v>
      </c>
      <c r="X151" s="22">
        <f>+SUM($W$130:W151)</f>
        <v>0.3310408462206178</v>
      </c>
      <c r="Z151"/>
      <c r="AA151"/>
    </row>
    <row r="152" spans="2:50" ht="20" customHeight="1" x14ac:dyDescent="0.35">
      <c r="B152" s="146">
        <f t="shared" si="3"/>
        <v>30</v>
      </c>
      <c r="C152" s="147">
        <f>+'ZCB rates'!B236</f>
        <v>45453</v>
      </c>
      <c r="D152" s="148">
        <f>+'ZCB rates'!M236</f>
        <v>8.4010999999961286E-5</v>
      </c>
      <c r="E152" s="149">
        <f>+'ZCB rates'!N236</f>
        <v>1.2478699999996176E-4</v>
      </c>
      <c r="F152" s="149">
        <f>+'ZCB rates'!O236</f>
        <v>1.0897799999997491E-4</v>
      </c>
      <c r="G152" s="149">
        <f>+'ZCB rates'!P236</f>
        <v>-1.6674400000005028E-4</v>
      </c>
      <c r="H152" s="150">
        <f>+'ZCB rates'!Q236</f>
        <v>-1.8778999999999281E-3</v>
      </c>
      <c r="I152" s="151">
        <f t="shared" si="4"/>
        <v>0.99337252026273171</v>
      </c>
      <c r="J152" s="151">
        <f t="shared" si="5"/>
        <v>0.9877839265263052</v>
      </c>
      <c r="K152" s="151">
        <f t="shared" si="6"/>
        <v>0.97769727463621758</v>
      </c>
      <c r="L152" s="151">
        <f t="shared" si="7"/>
        <v>0.95678988200745618</v>
      </c>
      <c r="M152" s="151">
        <f t="shared" si="8"/>
        <v>0.87921778278471996</v>
      </c>
      <c r="N152" s="152">
        <f t="shared" si="9"/>
        <v>15970.235487237984</v>
      </c>
      <c r="O152" s="153">
        <f t="shared" si="10"/>
        <v>-1.6777830537939735</v>
      </c>
      <c r="P152" s="154">
        <f t="shared" si="11"/>
        <v>0.15625560616666473</v>
      </c>
      <c r="Q152" s="155">
        <f t="shared" si="12"/>
        <v>1.0389922438671612E-2</v>
      </c>
      <c r="R152" s="158">
        <f t="shared" si="19"/>
        <v>44.551548526866959</v>
      </c>
      <c r="S152" s="158">
        <f t="shared" si="13"/>
        <v>-297.3679821213446</v>
      </c>
      <c r="T152" s="158">
        <f t="shared" si="14"/>
        <v>1984.8404761417814</v>
      </c>
      <c r="U152"/>
      <c r="V152" s="77">
        <v>-2.7327769389667083</v>
      </c>
      <c r="W152" s="19">
        <f t="shared" si="15"/>
        <v>5.875331894983743E-2</v>
      </c>
      <c r="X152" s="22">
        <f>+SUM($W$130:W152)</f>
        <v>0.38979416517045523</v>
      </c>
      <c r="Z152"/>
      <c r="AA152"/>
    </row>
    <row r="153" spans="2:50" ht="20" customHeight="1" x14ac:dyDescent="0.35">
      <c r="B153" s="146">
        <f t="shared" si="3"/>
        <v>29</v>
      </c>
      <c r="C153" s="147">
        <f>+'ZCB rates'!B237</f>
        <v>45460</v>
      </c>
      <c r="D153" s="148">
        <f>+'ZCB rates'!M237</f>
        <v>6.1192999999879662E-5</v>
      </c>
      <c r="E153" s="149">
        <f>+'ZCB rates'!N237</f>
        <v>1.6055699999996108E-4</v>
      </c>
      <c r="F153" s="149">
        <f>+'ZCB rates'!O237</f>
        <v>4.5769399999987486E-4</v>
      </c>
      <c r="G153" s="149">
        <f>+'ZCB rates'!P237</f>
        <v>1.339368000000053E-3</v>
      </c>
      <c r="H153" s="150">
        <f>+'ZCB rates'!Q237</f>
        <v>4.693220000000089E-3</v>
      </c>
      <c r="I153" s="151">
        <f t="shared" si="4"/>
        <v>0.99334985374716755</v>
      </c>
      <c r="J153" s="151">
        <f t="shared" si="5"/>
        <v>0.98781926018929578</v>
      </c>
      <c r="K153" s="151">
        <f t="shared" si="6"/>
        <v>0.97803827277133681</v>
      </c>
      <c r="L153" s="151">
        <f t="shared" si="7"/>
        <v>0.9582320004535696</v>
      </c>
      <c r="M153" s="151">
        <f t="shared" si="8"/>
        <v>0.88501425213193141</v>
      </c>
      <c r="N153" s="152">
        <f t="shared" si="9"/>
        <v>15989.848957374714</v>
      </c>
      <c r="O153" s="153">
        <f t="shared" si="10"/>
        <v>17.935687082936056</v>
      </c>
      <c r="P153" s="154">
        <f t="shared" si="11"/>
        <v>0.16622936826240925</v>
      </c>
      <c r="Q153" s="155">
        <f t="shared" si="12"/>
        <v>1.1053108977310225E-2</v>
      </c>
      <c r="R153" s="158">
        <f t="shared" si="19"/>
        <v>167.41191137489852</v>
      </c>
      <c r="S153" s="158">
        <f t="shared" si="13"/>
        <v>2166.1051368884214</v>
      </c>
      <c r="T153" s="158">
        <f t="shared" si="14"/>
        <v>28026.748070196878</v>
      </c>
      <c r="U153"/>
      <c r="V153" s="77">
        <v>-1.6777830537939735</v>
      </c>
      <c r="W153" s="19">
        <f t="shared" si="15"/>
        <v>1.0389922438671612E-2</v>
      </c>
      <c r="X153" s="22">
        <f>+SUM($W$130:W153)</f>
        <v>0.40018408760912683</v>
      </c>
      <c r="Z153"/>
      <c r="AA153"/>
    </row>
    <row r="154" spans="2:50" ht="20" customHeight="1" x14ac:dyDescent="0.35">
      <c r="B154" s="146">
        <f t="shared" si="3"/>
        <v>28</v>
      </c>
      <c r="C154" s="147">
        <f>+'ZCB rates'!B238</f>
        <v>45467</v>
      </c>
      <c r="D154" s="148">
        <f>+'ZCB rates'!M238</f>
        <v>6.5463999999923139E-5</v>
      </c>
      <c r="E154" s="149">
        <f>+'ZCB rates'!N238</f>
        <v>1.2263699999995705E-4</v>
      </c>
      <c r="F154" s="149">
        <f>+'ZCB rates'!O238</f>
        <v>2.099360000000894E-4</v>
      </c>
      <c r="G154" s="149">
        <f>+'ZCB rates'!P238</f>
        <v>2.7158800000003314E-4</v>
      </c>
      <c r="H154" s="150">
        <f>+'ZCB rates'!Q238</f>
        <v>-3.2224000000002841E-4</v>
      </c>
      <c r="I154" s="151">
        <f t="shared" si="4"/>
        <v>0.99335409635345306</v>
      </c>
      <c r="J154" s="151">
        <f t="shared" si="5"/>
        <v>0.98778180279314609</v>
      </c>
      <c r="K154" s="151">
        <f t="shared" si="6"/>
        <v>0.97779598598043649</v>
      </c>
      <c r="L154" s="151">
        <f t="shared" si="7"/>
        <v>0.95720936555983205</v>
      </c>
      <c r="M154" s="151">
        <f t="shared" si="8"/>
        <v>0.88058661116040626</v>
      </c>
      <c r="N154" s="152">
        <f t="shared" si="9"/>
        <v>15975.933096381774</v>
      </c>
      <c r="O154" s="153">
        <f t="shared" si="10"/>
        <v>4.0198260899960587</v>
      </c>
      <c r="P154" s="154">
        <f t="shared" si="11"/>
        <v>0.17683975347064818</v>
      </c>
      <c r="Q154" s="155">
        <f t="shared" si="12"/>
        <v>1.1758626571606624E-2</v>
      </c>
      <c r="R154" s="158">
        <f t="shared" si="19"/>
        <v>0.95469606538471308</v>
      </c>
      <c r="S154" s="158">
        <f t="shared" si="13"/>
        <v>-0.93281967803394872</v>
      </c>
      <c r="T154" s="158">
        <f t="shared" si="14"/>
        <v>0.91144457726105232</v>
      </c>
      <c r="U154"/>
      <c r="V154" s="77">
        <v>-1.1109220165963052E-2</v>
      </c>
      <c r="W154" s="19">
        <f t="shared" si="15"/>
        <v>5.191443262407635E-2</v>
      </c>
      <c r="X154" s="22">
        <f>+SUM($W$130:W154)</f>
        <v>0.45209852023320318</v>
      </c>
      <c r="Z154"/>
      <c r="AA154"/>
    </row>
    <row r="155" spans="2:50" ht="20" customHeight="1" x14ac:dyDescent="0.35">
      <c r="B155" s="146">
        <f t="shared" si="3"/>
        <v>27</v>
      </c>
      <c r="C155" s="147">
        <f>+'ZCB rates'!B239</f>
        <v>45474</v>
      </c>
      <c r="D155" s="148">
        <f>+'ZCB rates'!M239</f>
        <v>-2.4641000000005482E-5</v>
      </c>
      <c r="E155" s="155">
        <f>+'ZCB rates'!N239</f>
        <v>-7.8922999999920775E-5</v>
      </c>
      <c r="F155" s="155">
        <f>+'ZCB rates'!O239</f>
        <v>-2.6362999999996384E-4</v>
      </c>
      <c r="G155" s="155">
        <f>+'ZCB rates'!P239</f>
        <v>-8.6122799999986384E-4</v>
      </c>
      <c r="H155" s="150">
        <f>+'ZCB rates'!Q239</f>
        <v>-3.4495500000000286E-3</v>
      </c>
      <c r="I155" s="151">
        <f t="shared" si="4"/>
        <v>0.99326459421495683</v>
      </c>
      <c r="J155" s="151">
        <f t="shared" si="5"/>
        <v>0.98758272555665316</v>
      </c>
      <c r="K155" s="151">
        <f t="shared" si="6"/>
        <v>0.97733304467182325</v>
      </c>
      <c r="L155" s="151">
        <f t="shared" si="7"/>
        <v>0.95612563742335566</v>
      </c>
      <c r="M155" s="151">
        <f t="shared" si="8"/>
        <v>0.87783704545852703</v>
      </c>
      <c r="N155" s="152">
        <f t="shared" si="9"/>
        <v>15960.49354059373</v>
      </c>
      <c r="O155" s="153">
        <f t="shared" si="10"/>
        <v>-11.419729698047377</v>
      </c>
      <c r="P155" s="154">
        <f t="shared" si="11"/>
        <v>0.18812739730920017</v>
      </c>
      <c r="Q155" s="155">
        <f t="shared" si="12"/>
        <v>1.2509177203836833E-2</v>
      </c>
      <c r="R155" s="158">
        <f t="shared" si="19"/>
        <v>269.50611103032878</v>
      </c>
      <c r="S155" s="158">
        <f t="shared" si="13"/>
        <v>-4424.385148489564</v>
      </c>
      <c r="T155" s="158">
        <f t="shared" si="14"/>
        <v>72633.543882691898</v>
      </c>
      <c r="U155"/>
      <c r="V155" s="77">
        <v>0.6768729019422608</v>
      </c>
      <c r="W155" s="19">
        <f t="shared" si="15"/>
        <v>7.1676935179552058E-3</v>
      </c>
      <c r="X155" s="22">
        <f>+SUM($W$130:W155)</f>
        <v>0.45926621375115839</v>
      </c>
      <c r="Z155"/>
      <c r="AA155"/>
    </row>
    <row r="156" spans="2:50" ht="20" customHeight="1" x14ac:dyDescent="0.35">
      <c r="B156" s="146">
        <f t="shared" si="3"/>
        <v>26</v>
      </c>
      <c r="C156" s="147">
        <f>+'ZCB rates'!B240</f>
        <v>45481</v>
      </c>
      <c r="D156" s="148">
        <f>+'ZCB rates'!M240</f>
        <v>1.1759499999995444E-4</v>
      </c>
      <c r="E156" s="155">
        <f>+'ZCB rates'!N240</f>
        <v>2.5522399999997953E-4</v>
      </c>
      <c r="F156" s="155">
        <f>+'ZCB rates'!O240</f>
        <v>5.9661599999989332E-4</v>
      </c>
      <c r="G156" s="155">
        <f>+'ZCB rates'!P240</f>
        <v>1.53931199999988E-3</v>
      </c>
      <c r="H156" s="150">
        <f>+'ZCB rates'!Q240</f>
        <v>5.5545400000001121E-3</v>
      </c>
      <c r="I156" s="151">
        <f t="shared" si="4"/>
        <v>0.99340588224566351</v>
      </c>
      <c r="J156" s="151">
        <f t="shared" si="5"/>
        <v>0.98791277850167936</v>
      </c>
      <c r="K156" s="151">
        <f t="shared" si="6"/>
        <v>0.97817415324244161</v>
      </c>
      <c r="L156" s="151">
        <f t="shared" si="7"/>
        <v>0.958423612347854</v>
      </c>
      <c r="M156" s="151">
        <f t="shared" si="8"/>
        <v>0.88577686098556008</v>
      </c>
      <c r="N156" s="152">
        <f t="shared" si="9"/>
        <v>15992.768352418832</v>
      </c>
      <c r="O156" s="153">
        <f t="shared" si="10"/>
        <v>20.855082127054629</v>
      </c>
      <c r="P156" s="154">
        <f t="shared" si="11"/>
        <v>0.20013552905234061</v>
      </c>
      <c r="Q156" s="155">
        <f t="shared" si="12"/>
        <v>1.3307635323230673E-2</v>
      </c>
      <c r="R156" s="158">
        <f t="shared" si="19"/>
        <v>251.48157292729462</v>
      </c>
      <c r="S156" s="158">
        <f t="shared" si="13"/>
        <v>3988.0376715573939</v>
      </c>
      <c r="T156" s="158">
        <f t="shared" si="14"/>
        <v>63242.981521986207</v>
      </c>
      <c r="U156"/>
      <c r="V156" s="77">
        <v>0.68206711352831917</v>
      </c>
      <c r="W156" s="19">
        <f t="shared" si="15"/>
        <v>1.9290068486345877E-2</v>
      </c>
      <c r="X156" s="22">
        <f>+SUM($W$130:W156)</f>
        <v>0.47855628223750429</v>
      </c>
      <c r="Z156"/>
      <c r="AA156"/>
    </row>
    <row r="157" spans="2:50" ht="20" customHeight="1" x14ac:dyDescent="0.35">
      <c r="B157" s="146">
        <f t="shared" si="3"/>
        <v>25</v>
      </c>
      <c r="C157" s="147">
        <f>+'ZCB rates'!B241</f>
        <v>45488</v>
      </c>
      <c r="D157" s="148">
        <f>+'ZCB rates'!M241</f>
        <v>8.001549999995241E-5</v>
      </c>
      <c r="E157" s="155">
        <f>+'ZCB rates'!N241</f>
        <v>2.2548000000005222E-4</v>
      </c>
      <c r="F157" s="155">
        <f>+'ZCB rates'!O241</f>
        <v>6.5147999999991778E-4</v>
      </c>
      <c r="G157" s="155">
        <f>+'ZCB rates'!P241</f>
        <v>1.753596000000023E-3</v>
      </c>
      <c r="H157" s="150">
        <f>+'ZCB rates'!Q241</f>
        <v>4.735440000000102E-3</v>
      </c>
      <c r="I157" s="151">
        <f t="shared" si="4"/>
        <v>0.99336855125075618</v>
      </c>
      <c r="J157" s="151">
        <f t="shared" si="5"/>
        <v>0.98788339446099727</v>
      </c>
      <c r="K157" s="151">
        <f t="shared" si="6"/>
        <v>0.97822782126139274</v>
      </c>
      <c r="L157" s="151">
        <f t="shared" si="7"/>
        <v>0.95862900919904603</v>
      </c>
      <c r="M157" s="151">
        <f t="shared" si="8"/>
        <v>0.88505161822244904</v>
      </c>
      <c r="N157" s="152">
        <f t="shared" si="9"/>
        <v>15995.560081233312</v>
      </c>
      <c r="O157" s="153">
        <f t="shared" si="10"/>
        <v>23.646810941534568</v>
      </c>
      <c r="P157" s="154">
        <f t="shared" si="11"/>
        <v>0.21291013728972405</v>
      </c>
      <c r="Q157" s="155">
        <f t="shared" si="12"/>
        <v>1.4157058854500717E-2</v>
      </c>
      <c r="R157" s="158">
        <f t="shared" si="19"/>
        <v>347.81874599288068</v>
      </c>
      <c r="S157" s="158">
        <f t="shared" si="13"/>
        <v>6486.7846069341995</v>
      </c>
      <c r="T157" s="158">
        <f t="shared" si="14"/>
        <v>120977.88006406005</v>
      </c>
      <c r="U157"/>
      <c r="V157" s="77">
        <v>3.2490171346871648</v>
      </c>
      <c r="W157" s="19">
        <f t="shared" si="15"/>
        <v>2.4707133117853757E-2</v>
      </c>
      <c r="X157" s="22">
        <f>+SUM($W$130:W157)</f>
        <v>0.50326341535535801</v>
      </c>
      <c r="Z157"/>
      <c r="AA157"/>
    </row>
    <row r="158" spans="2:50" ht="20" customHeight="1" x14ac:dyDescent="0.35">
      <c r="B158" s="146">
        <f t="shared" si="3"/>
        <v>24</v>
      </c>
      <c r="C158" s="147">
        <f>+'ZCB rates'!B242</f>
        <v>45495</v>
      </c>
      <c r="D158" s="148">
        <f>+'ZCB rates'!M242</f>
        <v>-4.0713499999929658E-5</v>
      </c>
      <c r="E158" s="155">
        <f>+'ZCB rates'!N242</f>
        <v>-2.6151000000079934E-5</v>
      </c>
      <c r="F158" s="155">
        <f>+'ZCB rates'!O242</f>
        <v>1.0576399999992676E-4</v>
      </c>
      <c r="G158" s="155">
        <f>+'ZCB rates'!P242</f>
        <v>4.9585999999999023E-4</v>
      </c>
      <c r="H158" s="150">
        <f>+'ZCB rates'!Q242</f>
        <v>7.138499999999777E-4</v>
      </c>
      <c r="I158" s="151">
        <f t="shared" si="4"/>
        <v>0.99324863009805842</v>
      </c>
      <c r="J158" s="151">
        <f t="shared" si="5"/>
        <v>0.98763484364742193</v>
      </c>
      <c r="K158" s="151">
        <f t="shared" si="6"/>
        <v>0.97769413232222646</v>
      </c>
      <c r="L158" s="151">
        <f t="shared" si="7"/>
        <v>0.95742406489328946</v>
      </c>
      <c r="M158" s="151">
        <f t="shared" si="8"/>
        <v>0.88149945095279392</v>
      </c>
      <c r="N158" s="152">
        <f t="shared" si="9"/>
        <v>15978.323748477604</v>
      </c>
      <c r="O158" s="153">
        <f t="shared" si="10"/>
        <v>6.410478185825923</v>
      </c>
      <c r="P158" s="154">
        <f t="shared" si="11"/>
        <v>0.22650014605289795</v>
      </c>
      <c r="Q158" s="155">
        <f t="shared" si="12"/>
        <v>1.5060700909043316E-2</v>
      </c>
      <c r="R158" s="158">
        <f t="shared" si="19"/>
        <v>1.9981705337587605</v>
      </c>
      <c r="S158" s="158">
        <f t="shared" si="13"/>
        <v>2.8245471284194159</v>
      </c>
      <c r="T158" s="158">
        <f t="shared" si="14"/>
        <v>3.9926854819817699</v>
      </c>
      <c r="U158"/>
      <c r="V158" s="77">
        <v>3.722831967214006</v>
      </c>
      <c r="W158" s="19">
        <f t="shared" si="15"/>
        <v>4.6480886484337718E-3</v>
      </c>
      <c r="X158" s="22">
        <f>+SUM($W$130:W158)</f>
        <v>0.50791150400379181</v>
      </c>
      <c r="Z158"/>
      <c r="AA158"/>
    </row>
    <row r="159" spans="2:50" ht="20" customHeight="1" x14ac:dyDescent="0.35">
      <c r="B159" s="146">
        <f t="shared" si="3"/>
        <v>23</v>
      </c>
      <c r="C159" s="147">
        <f>+'ZCB rates'!B243</f>
        <v>45502</v>
      </c>
      <c r="D159" s="148">
        <f>+'ZCB rates'!M243</f>
        <v>2.9667399999997498E-4</v>
      </c>
      <c r="E159" s="155">
        <f>+'ZCB rates'!N243</f>
        <v>6.2333800000016792E-4</v>
      </c>
      <c r="F159" s="155">
        <f>+'ZCB rates'!O243</f>
        <v>1.3427780000000839E-3</v>
      </c>
      <c r="G159" s="155">
        <f>+'ZCB rates'!P243</f>
        <v>2.9171439999999553E-3</v>
      </c>
      <c r="H159" s="150">
        <f>+'ZCB rates'!Q243</f>
        <v>7.3467899999999104E-3</v>
      </c>
      <c r="I159" s="151">
        <f t="shared" si="4"/>
        <v>0.99358379630751092</v>
      </c>
      <c r="J159" s="151">
        <f t="shared" si="5"/>
        <v>0.98827650996944028</v>
      </c>
      <c r="K159" s="151">
        <f t="shared" si="6"/>
        <v>0.9789043019957242</v>
      </c>
      <c r="L159" s="151">
        <f t="shared" si="7"/>
        <v>0.95974506923423808</v>
      </c>
      <c r="M159" s="151">
        <f t="shared" si="8"/>
        <v>0.88736581804347281</v>
      </c>
      <c r="N159" s="152">
        <f t="shared" si="9"/>
        <v>16012.147540553522</v>
      </c>
      <c r="O159" s="153">
        <f t="shared" si="10"/>
        <v>40.234270261744314</v>
      </c>
      <c r="P159" s="154">
        <f t="shared" si="11"/>
        <v>0.24095760218393397</v>
      </c>
      <c r="Q159" s="155">
        <f t="shared" si="12"/>
        <v>1.60220222436631E-2</v>
      </c>
      <c r="R159" s="158">
        <f t="shared" si="19"/>
        <v>1241.6714464833203</v>
      </c>
      <c r="S159" s="158">
        <f t="shared" si="13"/>
        <v>43753.222117872479</v>
      </c>
      <c r="T159" s="158">
        <f t="shared" si="14"/>
        <v>1541747.9810119809</v>
      </c>
      <c r="U159"/>
      <c r="V159" s="77">
        <v>4.0198260899960587</v>
      </c>
      <c r="W159" s="19">
        <f t="shared" si="15"/>
        <v>1.1758626571606624E-2</v>
      </c>
      <c r="X159" s="22">
        <f>+SUM($W$130:W159)</f>
        <v>0.51967013057539846</v>
      </c>
      <c r="Z159"/>
      <c r="AA159"/>
      <c r="AC159"/>
    </row>
    <row r="160" spans="2:50" ht="20" customHeight="1" x14ac:dyDescent="0.35">
      <c r="B160" s="146">
        <f t="shared" si="3"/>
        <v>22</v>
      </c>
      <c r="C160" s="147">
        <f>+'ZCB rates'!B244</f>
        <v>45509</v>
      </c>
      <c r="D160" s="148">
        <f>+'ZCB rates'!M244</f>
        <v>1.8845999999988344E-5</v>
      </c>
      <c r="E160" s="155">
        <f>+'ZCB rates'!N244</f>
        <v>2.7571699999996918E-4</v>
      </c>
      <c r="F160" s="155">
        <f>+'ZCB rates'!O244</f>
        <v>1.2069759999999948E-3</v>
      </c>
      <c r="G160" s="155">
        <f>+'ZCB rates'!P244</f>
        <v>3.4046200000001172E-3</v>
      </c>
      <c r="H160" s="150">
        <f>+'ZCB rates'!Q244</f>
        <v>3.9682799999999482E-3</v>
      </c>
      <c r="I160" s="151">
        <f t="shared" si="4"/>
        <v>0.99330778925156993</v>
      </c>
      <c r="J160" s="151">
        <f t="shared" si="5"/>
        <v>0.98793302400569405</v>
      </c>
      <c r="K160" s="151">
        <f t="shared" si="6"/>
        <v>0.97877137385986213</v>
      </c>
      <c r="L160" s="151">
        <f t="shared" si="7"/>
        <v>0.9602130359736184</v>
      </c>
      <c r="M160" s="151">
        <f t="shared" si="8"/>
        <v>0.88437290239811661</v>
      </c>
      <c r="N160" s="152">
        <f t="shared" si="9"/>
        <v>16017.612190386988</v>
      </c>
      <c r="O160" s="153">
        <f t="shared" si="10"/>
        <v>45.698920095210269</v>
      </c>
      <c r="P160" s="154">
        <f t="shared" si="11"/>
        <v>0.25633787466375957</v>
      </c>
      <c r="Q160" s="155">
        <f t="shared" si="12"/>
        <v>1.7044704514535217E-2</v>
      </c>
      <c r="R160" s="158">
        <f t="shared" si="19"/>
        <v>1656.6534967303371</v>
      </c>
      <c r="S160" s="158">
        <f t="shared" si="13"/>
        <v>67429.124721677697</v>
      </c>
      <c r="T160" s="158">
        <f t="shared" si="14"/>
        <v>2744500.8082288532</v>
      </c>
      <c r="U160"/>
      <c r="V160" s="77">
        <v>6.3375906809415028</v>
      </c>
      <c r="W160" s="19">
        <f t="shared" si="15"/>
        <v>2.0521349453559441E-2</v>
      </c>
      <c r="X160" s="22">
        <f>+SUM($W$130:W160)</f>
        <v>0.54019148002895789</v>
      </c>
      <c r="Z160"/>
      <c r="AA160"/>
    </row>
    <row r="161" spans="2:27" ht="20" customHeight="1" x14ac:dyDescent="0.35">
      <c r="B161" s="146">
        <f t="shared" si="3"/>
        <v>21</v>
      </c>
      <c r="C161" s="147">
        <f>+'ZCB rates'!B245</f>
        <v>45516</v>
      </c>
      <c r="D161" s="148">
        <f>+'ZCB rates'!M245</f>
        <v>1.6093999999979399E-5</v>
      </c>
      <c r="E161" s="155">
        <f>+'ZCB rates'!N245</f>
        <v>-8.964000000054887E-6</v>
      </c>
      <c r="F161" s="155">
        <f>+'ZCB rates'!O245</f>
        <v>-1.1530999999986155E-4</v>
      </c>
      <c r="G161" s="155">
        <f>+'ZCB rates'!P245</f>
        <v>-2.8997200000005258E-4</v>
      </c>
      <c r="H161" s="150">
        <f>+'ZCB rates'!Q245</f>
        <v>4.2579999999996237E-4</v>
      </c>
      <c r="I161" s="151">
        <f t="shared" si="4"/>
        <v>0.99330505567229532</v>
      </c>
      <c r="J161" s="151">
        <f t="shared" si="5"/>
        <v>0.98765181827335069</v>
      </c>
      <c r="K161" s="151">
        <f t="shared" si="6"/>
        <v>0.97747801345962859</v>
      </c>
      <c r="L161" s="151">
        <f t="shared" si="7"/>
        <v>0.9566719859680719</v>
      </c>
      <c r="M161" s="151">
        <f t="shared" si="8"/>
        <v>0.8812455716026758</v>
      </c>
      <c r="N161" s="152">
        <f t="shared" si="9"/>
        <v>15967.99862899568</v>
      </c>
      <c r="O161" s="153">
        <f t="shared" si="10"/>
        <v>-3.9146412960981252</v>
      </c>
      <c r="P161" s="154">
        <f t="shared" si="11"/>
        <v>0.27269986666357399</v>
      </c>
      <c r="Q161" s="155">
        <f t="shared" si="12"/>
        <v>1.8132664377165122E-2</v>
      </c>
      <c r="R161" s="158">
        <f t="shared" si="19"/>
        <v>79.415774760247828</v>
      </c>
      <c r="S161" s="158">
        <f t="shared" si="13"/>
        <v>-707.7178764033664</v>
      </c>
      <c r="T161" s="158">
        <f t="shared" si="14"/>
        <v>6306.8652807704157</v>
      </c>
      <c r="U161"/>
      <c r="V161" s="77">
        <v>6.410478185825923</v>
      </c>
      <c r="W161" s="19">
        <f t="shared" si="15"/>
        <v>1.5060700909043316E-2</v>
      </c>
      <c r="X161" s="22">
        <f>+SUM($W$130:W161)</f>
        <v>0.55525218093800122</v>
      </c>
      <c r="Z161"/>
      <c r="AA161"/>
    </row>
    <row r="162" spans="2:27" ht="20" customHeight="1" x14ac:dyDescent="0.35">
      <c r="B162" s="146">
        <f t="shared" ref="B162:B180" si="25">+B163+1</f>
        <v>20</v>
      </c>
      <c r="C162" s="147">
        <f>+'ZCB rates'!B246</f>
        <v>45523</v>
      </c>
      <c r="D162" s="148">
        <f>+'ZCB rates'!M246</f>
        <v>1.0753300000001057E-4</v>
      </c>
      <c r="E162" s="155">
        <f>+'ZCB rates'!N246</f>
        <v>1.6555800000001486E-4</v>
      </c>
      <c r="F162" s="155">
        <f>+'ZCB rates'!O246</f>
        <v>1.7859999999997867E-4</v>
      </c>
      <c r="G162" s="155">
        <f>+'ZCB rates'!P246</f>
        <v>6.6240000000027923E-6</v>
      </c>
      <c r="H162" s="150">
        <f>+'ZCB rates'!Q246</f>
        <v>-3.8937000000002742E-4</v>
      </c>
      <c r="I162" s="151">
        <f t="shared" ref="I162:I181" si="26">+C$114*EXP(D162)</f>
        <v>0.99339588664596434</v>
      </c>
      <c r="J162" s="151">
        <f t="shared" ref="J162:J181" si="27">+D$114*EXP(E162)</f>
        <v>0.98782420028576878</v>
      </c>
      <c r="K162" s="151">
        <f t="shared" ref="K162:K181" si="28">+E$114*EXP(F162)</f>
        <v>0.97776534624548561</v>
      </c>
      <c r="L162" s="151">
        <f t="shared" ref="L162:L181" si="29">+F$114*EXP(G162)</f>
        <v>0.95695577313541114</v>
      </c>
      <c r="M162" s="151">
        <f t="shared" ref="M162:M181" si="30">+G$114*EXP(H162)</f>
        <v>0.88052749936530872</v>
      </c>
      <c r="N162" s="152">
        <f t="shared" si="9"/>
        <v>15972.595337405306</v>
      </c>
      <c r="O162" s="153">
        <f t="shared" si="10"/>
        <v>0.68206711352831917</v>
      </c>
      <c r="P162" s="154">
        <f t="shared" ref="P162:P181" si="31">+Lambda^B162</f>
        <v>0.29010624113146172</v>
      </c>
      <c r="Q162" s="155">
        <f t="shared" ref="Q162:Q181" si="32">+P162/$P$183</f>
        <v>1.9290068486345877E-2</v>
      </c>
      <c r="R162" s="158">
        <f t="shared" ref="R162:R181" si="33">+($O162-$C$124)^2</f>
        <v>18.61788281668867</v>
      </c>
      <c r="S162" s="158">
        <f t="shared" ref="S162:S181" si="34">+($O162-$C$124)^3</f>
        <v>-80.333268750076897</v>
      </c>
      <c r="T162" s="158">
        <f t="shared" ref="T162:T181" si="35">+($O162-$C$124)^4</f>
        <v>346.62556057595128</v>
      </c>
      <c r="U162"/>
      <c r="V162" s="77">
        <v>8.4087793434518971</v>
      </c>
      <c r="W162" s="19">
        <f t="shared" ref="W162:W181" si="36">+_xlfn.XLOOKUP(V162,$O$130:$O$181,$Q$130:$Q$181)</f>
        <v>9.7665270923513146E-3</v>
      </c>
      <c r="X162" s="22">
        <f>+SUM($W$130:W162)</f>
        <v>0.56501870803035248</v>
      </c>
      <c r="Z162"/>
    </row>
    <row r="163" spans="2:27" ht="20" customHeight="1" x14ac:dyDescent="0.35">
      <c r="B163" s="146">
        <f t="shared" si="25"/>
        <v>19</v>
      </c>
      <c r="C163" s="147">
        <f>+'ZCB rates'!B247</f>
        <v>45530</v>
      </c>
      <c r="D163" s="148">
        <f>+'ZCB rates'!M247</f>
        <v>-3.1099999999973703E-6</v>
      </c>
      <c r="E163" s="155">
        <f>+'ZCB rates'!N247</f>
        <v>5.1541999999995205E-5</v>
      </c>
      <c r="F163" s="155">
        <f>+'ZCB rates'!O247</f>
        <v>2.2937600000000078E-4</v>
      </c>
      <c r="G163" s="155">
        <f>+'ZCB rates'!P247</f>
        <v>4.577280000000583E-4</v>
      </c>
      <c r="H163" s="150">
        <f>+'ZCB rates'!Q247</f>
        <v>-1.118660000000102E-3</v>
      </c>
      <c r="I163" s="151">
        <f t="shared" si="26"/>
        <v>0.99328598042516736</v>
      </c>
      <c r="J163" s="151">
        <f t="shared" si="27"/>
        <v>0.98771157894218853</v>
      </c>
      <c r="K163" s="151">
        <f t="shared" si="28"/>
        <v>0.9778149945191662</v>
      </c>
      <c r="L163" s="151">
        <f t="shared" si="29"/>
        <v>0.95738755709490908</v>
      </c>
      <c r="M163" s="151">
        <f t="shared" si="30"/>
        <v>0.87988557356878005</v>
      </c>
      <c r="N163" s="152">
        <f t="shared" si="9"/>
        <v>15978.250860972719</v>
      </c>
      <c r="O163" s="153">
        <f t="shared" si="10"/>
        <v>6.3375906809415028</v>
      </c>
      <c r="P163" s="154">
        <f t="shared" si="31"/>
        <v>0.30862366077815073</v>
      </c>
      <c r="Q163" s="155">
        <f t="shared" si="32"/>
        <v>2.0521349453559441E-2</v>
      </c>
      <c r="R163" s="158">
        <f t="shared" si="33"/>
        <v>1.7974204371452149</v>
      </c>
      <c r="S163" s="158">
        <f t="shared" si="34"/>
        <v>2.4097640059281993</v>
      </c>
      <c r="T163" s="158">
        <f t="shared" si="35"/>
        <v>3.2307202278672955</v>
      </c>
      <c r="U163"/>
      <c r="V163" s="77">
        <v>8.8650272606464569</v>
      </c>
      <c r="W163" s="19">
        <f t="shared" si="36"/>
        <v>4.3119297106635826E-2</v>
      </c>
      <c r="X163" s="22">
        <f>+SUM($W$130:W163)</f>
        <v>0.60813800513698835</v>
      </c>
      <c r="Z163"/>
    </row>
    <row r="164" spans="2:27" ht="20" customHeight="1" x14ac:dyDescent="0.35">
      <c r="B164" s="146">
        <f t="shared" si="25"/>
        <v>18</v>
      </c>
      <c r="C164" s="147">
        <f>+'ZCB rates'!B248</f>
        <v>45537</v>
      </c>
      <c r="D164" s="148">
        <f>+'ZCB rates'!M248</f>
        <v>1.5950000003287429E-7</v>
      </c>
      <c r="E164" s="155">
        <f>+'ZCB rates'!N248</f>
        <v>6.7609000000055602E-5</v>
      </c>
      <c r="F164" s="155">
        <f>+'ZCB rates'!O248</f>
        <v>3.1140200000004647E-4</v>
      </c>
      <c r="G164" s="155">
        <f>+'ZCB rates'!P248</f>
        <v>8.718880000000731E-4</v>
      </c>
      <c r="H164" s="150">
        <f>+'ZCB rates'!Q248</f>
        <v>1.6277200000000083E-3</v>
      </c>
      <c r="I164" s="151">
        <f t="shared" si="26"/>
        <v>0.99328922797898933</v>
      </c>
      <c r="J164" s="151">
        <f t="shared" si="27"/>
        <v>0.98772744863161621</v>
      </c>
      <c r="K164" s="151">
        <f t="shared" si="28"/>
        <v>0.97789520406149566</v>
      </c>
      <c r="L164" s="151">
        <f t="shared" si="29"/>
        <v>0.95778415084652069</v>
      </c>
      <c r="M164" s="151">
        <f t="shared" si="30"/>
        <v>0.88230539506401773</v>
      </c>
      <c r="N164" s="152">
        <f t="shared" si="9"/>
        <v>15983.607331930998</v>
      </c>
      <c r="O164" s="153">
        <f t="shared" si="10"/>
        <v>11.694061639220308</v>
      </c>
      <c r="P164" s="154">
        <f t="shared" si="31"/>
        <v>0.32832304338101148</v>
      </c>
      <c r="Q164" s="155">
        <f t="shared" si="32"/>
        <v>2.1831222822935582E-2</v>
      </c>
      <c r="R164" s="158">
        <f t="shared" si="33"/>
        <v>44.85181884300188</v>
      </c>
      <c r="S164" s="158">
        <f t="shared" si="34"/>
        <v>300.37936097706466</v>
      </c>
      <c r="T164" s="158">
        <f t="shared" si="35"/>
        <v>2011.6856535254585</v>
      </c>
      <c r="U164"/>
      <c r="V164" s="77">
        <v>9.5463245609043952</v>
      </c>
      <c r="W164" s="19">
        <f t="shared" si="36"/>
        <v>7.6252058701651122E-3</v>
      </c>
      <c r="X164" s="22">
        <f>+SUM($W$130:W164)</f>
        <v>0.61576321100715348</v>
      </c>
      <c r="Z164"/>
    </row>
    <row r="165" spans="2:27" ht="20" customHeight="1" x14ac:dyDescent="0.35">
      <c r="B165" s="146">
        <f t="shared" si="25"/>
        <v>17</v>
      </c>
      <c r="C165" s="147">
        <f>+'ZCB rates'!B249</f>
        <v>45544</v>
      </c>
      <c r="D165" s="148">
        <f>+'ZCB rates'!M249</f>
        <v>1.0140499999972658E-5</v>
      </c>
      <c r="E165" s="155">
        <f>+'ZCB rates'!N249</f>
        <v>2.2169799999996109E-4</v>
      </c>
      <c r="F165" s="155">
        <f>+'ZCB rates'!O249</f>
        <v>9.8525399999991508E-4</v>
      </c>
      <c r="G165" s="155">
        <f>+'ZCB rates'!P249</f>
        <v>2.831819999999965E-3</v>
      </c>
      <c r="H165" s="150">
        <f>+'ZCB rates'!Q249</f>
        <v>6.027859999999872E-3</v>
      </c>
      <c r="I165" s="151">
        <f t="shared" si="26"/>
        <v>0.99329914204824976</v>
      </c>
      <c r="J165" s="151">
        <f t="shared" si="27"/>
        <v>0.98787965829306446</v>
      </c>
      <c r="K165" s="151">
        <f t="shared" si="28"/>
        <v>0.97855438277004525</v>
      </c>
      <c r="L165" s="151">
        <f t="shared" si="29"/>
        <v>0.95966318343941226</v>
      </c>
      <c r="M165" s="151">
        <f t="shared" si="30"/>
        <v>0.88619621612616006</v>
      </c>
      <c r="N165" s="152">
        <f t="shared" si="9"/>
        <v>16009.854808423795</v>
      </c>
      <c r="O165" s="153">
        <f t="shared" si="10"/>
        <v>37.94153813201774</v>
      </c>
      <c r="P165" s="154">
        <f t="shared" si="31"/>
        <v>0.34927983338405477</v>
      </c>
      <c r="Q165" s="155">
        <f t="shared" si="32"/>
        <v>2.3224705130782532E-2</v>
      </c>
      <c r="R165" s="158">
        <f t="shared" si="33"/>
        <v>1085.3484182942241</v>
      </c>
      <c r="S165" s="158">
        <f t="shared" si="34"/>
        <v>35756.398313634396</v>
      </c>
      <c r="T165" s="158">
        <f t="shared" si="35"/>
        <v>1177981.189093774</v>
      </c>
      <c r="U165"/>
      <c r="V165" s="77">
        <v>11.694061639220308</v>
      </c>
      <c r="W165" s="19">
        <f t="shared" si="36"/>
        <v>2.1831222822935582E-2</v>
      </c>
      <c r="X165" s="22">
        <f>+SUM($W$130:W165)</f>
        <v>0.63759443383008907</v>
      </c>
      <c r="Z165"/>
    </row>
    <row r="166" spans="2:27" ht="20" customHeight="1" x14ac:dyDescent="0.35">
      <c r="B166" s="146">
        <f t="shared" si="25"/>
        <v>16</v>
      </c>
      <c r="C166" s="147">
        <f>+'ZCB rates'!B250</f>
        <v>45551</v>
      </c>
      <c r="D166" s="148">
        <f>+'ZCB rates'!M250</f>
        <v>5.2812499999913138E-5</v>
      </c>
      <c r="E166" s="155">
        <f>+'ZCB rates'!N250</f>
        <v>1.3066899999992961E-4</v>
      </c>
      <c r="F166" s="155">
        <f>+'ZCB rates'!O250</f>
        <v>2.6490599999982173E-4</v>
      </c>
      <c r="G166" s="155">
        <f>+'ZCB rates'!P250</f>
        <v>1.9583199999993059E-4</v>
      </c>
      <c r="H166" s="150">
        <f>+'ZCB rates'!Q250</f>
        <v>-1.5085900000000303E-3</v>
      </c>
      <c r="I166" s="151">
        <f t="shared" si="26"/>
        <v>0.99334152901360107</v>
      </c>
      <c r="J166" s="151">
        <f t="shared" si="27"/>
        <v>0.98778973668844861</v>
      </c>
      <c r="K166" s="151">
        <f t="shared" si="28"/>
        <v>0.97784973690311616</v>
      </c>
      <c r="L166" s="151">
        <f t="shared" si="29"/>
        <v>0.95713685395376391</v>
      </c>
      <c r="M166" s="151">
        <f t="shared" si="30"/>
        <v>0.87954254666966414</v>
      </c>
      <c r="N166" s="152">
        <f t="shared" si="9"/>
        <v>15975.162287426465</v>
      </c>
      <c r="O166" s="153">
        <f t="shared" si="10"/>
        <v>3.2490171346871648</v>
      </c>
      <c r="P166" s="154">
        <f t="shared" si="31"/>
        <v>0.37157429083410082</v>
      </c>
      <c r="Q166" s="155">
        <f t="shared" si="32"/>
        <v>2.4707133117853757E-2</v>
      </c>
      <c r="R166" s="158">
        <f t="shared" si="33"/>
        <v>3.0551350109328079</v>
      </c>
      <c r="S166" s="158">
        <f t="shared" si="34"/>
        <v>-5.3400535318754203</v>
      </c>
      <c r="T166" s="158">
        <f t="shared" si="35"/>
        <v>9.3338499350274091</v>
      </c>
      <c r="U166"/>
      <c r="V166" s="77">
        <v>11.753212221065041</v>
      </c>
      <c r="W166" s="19">
        <f t="shared" si="36"/>
        <v>5.2603991041577317E-3</v>
      </c>
      <c r="X166" s="22">
        <f>+SUM($W$130:W166)</f>
        <v>0.64285483293424683</v>
      </c>
      <c r="Z166"/>
    </row>
    <row r="167" spans="2:27" ht="20" customHeight="1" x14ac:dyDescent="0.35">
      <c r="B167" s="146">
        <f t="shared" si="25"/>
        <v>15</v>
      </c>
      <c r="C167" s="147">
        <f>+'ZCB rates'!B251</f>
        <v>45558</v>
      </c>
      <c r="D167" s="148">
        <f>+'ZCB rates'!M251</f>
        <v>1.8185749999998773E-4</v>
      </c>
      <c r="E167" s="155">
        <f>+'ZCB rates'!N251</f>
        <v>4.8537700000002195E-4</v>
      </c>
      <c r="F167" s="155">
        <f>+'ZCB rates'!O251</f>
        <v>1.2205420000000551E-3</v>
      </c>
      <c r="G167" s="155">
        <f>+'ZCB rates'!P251</f>
        <v>2.4199760000001044E-3</v>
      </c>
      <c r="H167" s="150">
        <f>+'ZCB rates'!Q251</f>
        <v>2.5142100000000137E-3</v>
      </c>
      <c r="I167" s="151">
        <f t="shared" si="26"/>
        <v>0.99346972304243397</v>
      </c>
      <c r="J167" s="151">
        <f t="shared" si="27"/>
        <v>0.98814017575846658</v>
      </c>
      <c r="K167" s="151">
        <f t="shared" si="28"/>
        <v>0.97878465196238518</v>
      </c>
      <c r="L167" s="151">
        <f t="shared" si="29"/>
        <v>0.95926803329098609</v>
      </c>
      <c r="M167" s="151">
        <f t="shared" si="30"/>
        <v>0.88308789676240829</v>
      </c>
      <c r="N167" s="152">
        <f t="shared" si="9"/>
        <v>16005.577085913486</v>
      </c>
      <c r="O167" s="153">
        <f t="shared" si="10"/>
        <v>33.663815621708636</v>
      </c>
      <c r="P167" s="154">
        <f t="shared" si="31"/>
        <v>0.39529179875968168</v>
      </c>
      <c r="Q167" s="155">
        <f t="shared" si="32"/>
        <v>2.6284184167929527E-2</v>
      </c>
      <c r="R167" s="158">
        <f t="shared" si="33"/>
        <v>821.79138702528689</v>
      </c>
      <c r="S167" s="158">
        <f t="shared" si="34"/>
        <v>23558.214829695342</v>
      </c>
      <c r="T167" s="158">
        <f t="shared" si="35"/>
        <v>675341.08378894487</v>
      </c>
      <c r="U167"/>
      <c r="V167" s="77">
        <v>13.618485511826293</v>
      </c>
      <c r="W167" s="19">
        <f t="shared" si="36"/>
        <v>3.3665346371936931E-2</v>
      </c>
      <c r="X167" s="22">
        <f>+SUM($W$130:W167)</f>
        <v>0.6765201793061838</v>
      </c>
      <c r="Z167"/>
    </row>
    <row r="168" spans="2:27" ht="20" customHeight="1" x14ac:dyDescent="0.35">
      <c r="B168" s="146">
        <f t="shared" si="25"/>
        <v>14</v>
      </c>
      <c r="C168" s="147">
        <f>+'ZCB rates'!B252</f>
        <v>45565</v>
      </c>
      <c r="D168" s="148">
        <f>+'ZCB rates'!M252</f>
        <v>8.2284999999922333E-5</v>
      </c>
      <c r="E168" s="155">
        <f>+'ZCB rates'!N252</f>
        <v>2.872870000001352E-4</v>
      </c>
      <c r="F168" s="155">
        <f>+'ZCB rates'!O252</f>
        <v>7.8527600000004977E-4</v>
      </c>
      <c r="G168" s="155">
        <f>+'ZCB rates'!P252</f>
        <v>1.3912439999999309E-3</v>
      </c>
      <c r="H168" s="150">
        <f>+'ZCB rates'!Q252</f>
        <v>1.3645300000000697E-3</v>
      </c>
      <c r="I168" s="151">
        <f t="shared" si="26"/>
        <v>0.99337080570324143</v>
      </c>
      <c r="J168" s="151">
        <f t="shared" si="27"/>
        <v>0.98794445445690693</v>
      </c>
      <c r="K168" s="151">
        <f t="shared" si="28"/>
        <v>0.97835871298716581</v>
      </c>
      <c r="L168" s="151">
        <f t="shared" si="29"/>
        <v>0.95828171098620563</v>
      </c>
      <c r="M168" s="151">
        <f t="shared" si="30"/>
        <v>0.88207321166260588</v>
      </c>
      <c r="N168" s="152">
        <f t="shared" si="9"/>
        <v>15991.503626763191</v>
      </c>
      <c r="O168" s="153">
        <f t="shared" si="10"/>
        <v>19.590356471413543</v>
      </c>
      <c r="P168" s="154">
        <f t="shared" si="31"/>
        <v>0.42052319016987422</v>
      </c>
      <c r="Q168" s="155">
        <f t="shared" si="32"/>
        <v>2.7961898050988865E-2</v>
      </c>
      <c r="R168" s="158">
        <f t="shared" si="33"/>
        <v>212.96863364027919</v>
      </c>
      <c r="S168" s="158">
        <f t="shared" si="34"/>
        <v>3107.9460174729265</v>
      </c>
      <c r="T168" s="158">
        <f t="shared" si="35"/>
        <v>45355.638914607458</v>
      </c>
      <c r="U168"/>
      <c r="V168" s="77">
        <v>15.807908695931474</v>
      </c>
      <c r="W168" s="19">
        <f t="shared" si="36"/>
        <v>3.1645425589620711E-2</v>
      </c>
      <c r="X168" s="22">
        <f>+SUM($W$130:W168)</f>
        <v>0.70816560489580449</v>
      </c>
      <c r="Z168"/>
    </row>
    <row r="169" spans="2:27" ht="20" customHeight="1" x14ac:dyDescent="0.35">
      <c r="B169" s="146">
        <f t="shared" si="25"/>
        <v>13</v>
      </c>
      <c r="C169" s="147">
        <f>+'ZCB rates'!B253</f>
        <v>45572</v>
      </c>
      <c r="D169" s="148">
        <f>+'ZCB rates'!M253</f>
        <v>2.0746000000016654E-5</v>
      </c>
      <c r="E169" s="155">
        <f>+'ZCB rates'!N253</f>
        <v>-1.9206300000000273E-4</v>
      </c>
      <c r="F169" s="155">
        <f>+'ZCB rates'!O253</f>
        <v>-1.0252599999999777E-3</v>
      </c>
      <c r="G169" s="155">
        <f>+'ZCB rates'!P253</f>
        <v>-3.1691839999999621E-3</v>
      </c>
      <c r="H169" s="150">
        <f>+'ZCB rates'!Q253</f>
        <v>-7.5595800000000215E-3</v>
      </c>
      <c r="I169" s="151">
        <f t="shared" si="26"/>
        <v>0.99330967653816249</v>
      </c>
      <c r="J169" s="151">
        <f t="shared" si="27"/>
        <v>0.98747099676770034</v>
      </c>
      <c r="K169" s="151">
        <f t="shared" si="28"/>
        <v>0.97658896189886002</v>
      </c>
      <c r="L169" s="151">
        <f t="shared" si="29"/>
        <v>0.95392148604231009</v>
      </c>
      <c r="M169" s="151">
        <f t="shared" si="30"/>
        <v>0.8742365130830726</v>
      </c>
      <c r="N169" s="152">
        <f t="shared" si="9"/>
        <v>15929.824503537922</v>
      </c>
      <c r="O169" s="153">
        <f t="shared" si="10"/>
        <v>-42.088766753855452</v>
      </c>
      <c r="P169" s="154">
        <f t="shared" si="31"/>
        <v>0.44736509592539803</v>
      </c>
      <c r="Q169" s="155">
        <f t="shared" si="32"/>
        <v>2.9746700054243468E-2</v>
      </c>
      <c r="R169" s="158">
        <f t="shared" si="33"/>
        <v>2217.0611046705258</v>
      </c>
      <c r="S169" s="158">
        <f t="shared" si="34"/>
        <v>-104391.82603305421</v>
      </c>
      <c r="T169" s="158">
        <f t="shared" si="35"/>
        <v>4915359.9418428922</v>
      </c>
      <c r="U169"/>
      <c r="V169" s="77">
        <v>17.935687082936056</v>
      </c>
      <c r="W169" s="19">
        <f t="shared" si="36"/>
        <v>1.1053108977310225E-2</v>
      </c>
      <c r="X169" s="22">
        <f>+SUM($W$130:W169)</f>
        <v>0.71921871387311476</v>
      </c>
      <c r="Z169"/>
    </row>
    <row r="170" spans="2:27" ht="20" customHeight="1" x14ac:dyDescent="0.35">
      <c r="B170" s="146">
        <f t="shared" si="25"/>
        <v>12</v>
      </c>
      <c r="C170" s="147">
        <f>+'ZCB rates'!B254</f>
        <v>45579</v>
      </c>
      <c r="D170" s="148">
        <f>+'ZCB rates'!M254</f>
        <v>2.4198799999995097E-4</v>
      </c>
      <c r="E170" s="155">
        <f>+'ZCB rates'!N254</f>
        <v>3.6761399999997809E-4</v>
      </c>
      <c r="F170" s="155">
        <f>+'ZCB rates'!O254</f>
        <v>5.2470999999998987E-4</v>
      </c>
      <c r="G170" s="155">
        <f>+'ZCB rates'!P254</f>
        <v>1.1429359999999315E-3</v>
      </c>
      <c r="H170" s="150">
        <f>+'ZCB rates'!Q254</f>
        <v>4.5316900000000214E-3</v>
      </c>
      <c r="I170" s="151">
        <f t="shared" si="26"/>
        <v>0.99352946266968423</v>
      </c>
      <c r="J170" s="151">
        <f t="shared" si="27"/>
        <v>0.98802381625850499</v>
      </c>
      <c r="K170" s="151">
        <f t="shared" si="28"/>
        <v>0.97810381918052947</v>
      </c>
      <c r="L170" s="151">
        <f t="shared" si="29"/>
        <v>0.95804379151099106</v>
      </c>
      <c r="M170" s="151">
        <f t="shared" si="30"/>
        <v>0.88487130732503261</v>
      </c>
      <c r="N170" s="152">
        <f t="shared" si="9"/>
        <v>15987.721178987709</v>
      </c>
      <c r="O170" s="153">
        <f t="shared" si="10"/>
        <v>15.807908695931474</v>
      </c>
      <c r="P170" s="154">
        <f t="shared" si="31"/>
        <v>0.47592031481425329</v>
      </c>
      <c r="Q170" s="155">
        <f t="shared" si="32"/>
        <v>3.1645425589620711E-2</v>
      </c>
      <c r="R170" s="158">
        <f t="shared" si="33"/>
        <v>116.87765852330082</v>
      </c>
      <c r="S170" s="158">
        <f t="shared" si="34"/>
        <v>1263.5640285777431</v>
      </c>
      <c r="T170" s="158">
        <f t="shared" si="35"/>
        <v>13660.387061889314</v>
      </c>
      <c r="U170"/>
      <c r="V170" s="77">
        <v>19.590356471413543</v>
      </c>
      <c r="W170" s="19">
        <f t="shared" si="36"/>
        <v>2.7961898050988865E-2</v>
      </c>
      <c r="X170" s="22">
        <f>+SUM($W$130:W170)</f>
        <v>0.74718061192410357</v>
      </c>
      <c r="Z170"/>
    </row>
    <row r="171" spans="2:27" ht="20" customHeight="1" x14ac:dyDescent="0.35">
      <c r="B171" s="146">
        <f t="shared" si="25"/>
        <v>11</v>
      </c>
      <c r="C171" s="147">
        <f>+'ZCB rates'!B255</f>
        <v>45586</v>
      </c>
      <c r="D171" s="148">
        <f>+'ZCB rates'!M255</f>
        <v>1.1937249999999031E-4</v>
      </c>
      <c r="E171" s="155">
        <f>+'ZCB rates'!N255</f>
        <v>3.4700299999988439E-4</v>
      </c>
      <c r="F171" s="155">
        <f>+'ZCB rates'!O255</f>
        <v>7.9892400000007547E-4</v>
      </c>
      <c r="G171" s="155">
        <f>+'ZCB rates'!P255</f>
        <v>9.0191199999985097E-4</v>
      </c>
      <c r="H171" s="150">
        <f>+'ZCB rates'!Q255</f>
        <v>-2.3288400000000269E-3</v>
      </c>
      <c r="I171" s="151">
        <f t="shared" si="26"/>
        <v>0.99340764802618864</v>
      </c>
      <c r="J171" s="151">
        <f t="shared" si="27"/>
        <v>0.98800345230948938</v>
      </c>
      <c r="K171" s="151">
        <f t="shared" si="28"/>
        <v>0.97837206571799951</v>
      </c>
      <c r="L171" s="151">
        <f t="shared" si="29"/>
        <v>0.95781290778956252</v>
      </c>
      <c r="M171" s="151">
        <f t="shared" si="30"/>
        <v>0.87882139769741352</v>
      </c>
      <c r="N171" s="152">
        <f t="shared" si="9"/>
        <v>15985.531755803604</v>
      </c>
      <c r="O171" s="153">
        <f t="shared" si="10"/>
        <v>13.618485511826293</v>
      </c>
      <c r="P171" s="154">
        <f t="shared" si="31"/>
        <v>0.5062982072492056</v>
      </c>
      <c r="Q171" s="155">
        <f t="shared" si="32"/>
        <v>3.3665346371936931E-2</v>
      </c>
      <c r="R171" s="158">
        <f t="shared" si="33"/>
        <v>74.331536968340004</v>
      </c>
      <c r="S171" s="158">
        <f t="shared" si="34"/>
        <v>640.85484103530416</v>
      </c>
      <c r="T171" s="158">
        <f t="shared" si="35"/>
        <v>5525.1773880756964</v>
      </c>
      <c r="U171"/>
      <c r="V171" s="77">
        <v>20.032092294779432</v>
      </c>
      <c r="W171" s="19">
        <f t="shared" si="36"/>
        <v>4.8799566666631766E-2</v>
      </c>
      <c r="X171" s="22">
        <f>+SUM($W$130:W171)</f>
        <v>0.79598017859073533</v>
      </c>
      <c r="Z171"/>
    </row>
    <row r="172" spans="2:27" ht="20" customHeight="1" x14ac:dyDescent="0.35">
      <c r="B172" s="146">
        <f t="shared" si="25"/>
        <v>10</v>
      </c>
      <c r="C172" s="147">
        <f>+'ZCB rates'!B256</f>
        <v>45593</v>
      </c>
      <c r="D172" s="148">
        <f>+'ZCB rates'!M256</f>
        <v>8.7598999999907558E-5</v>
      </c>
      <c r="E172" s="155">
        <f>+'ZCB rates'!N256</f>
        <v>6.7074999999997863E-5</v>
      </c>
      <c r="F172" s="155">
        <f>+'ZCB rates'!O256</f>
        <v>-2.8834400000012311E-4</v>
      </c>
      <c r="G172" s="155">
        <f>+'ZCB rates'!P256</f>
        <v>-1.7360159999999796E-3</v>
      </c>
      <c r="H172" s="150">
        <f>+'ZCB rates'!Q256</f>
        <v>-5.0620800000000504E-3</v>
      </c>
      <c r="I172" s="151">
        <f t="shared" si="26"/>
        <v>0.99337608448972858</v>
      </c>
      <c r="J172" s="151">
        <f t="shared" si="27"/>
        <v>0.98772692118529948</v>
      </c>
      <c r="K172" s="151">
        <f t="shared" si="28"/>
        <v>0.97730889116142328</v>
      </c>
      <c r="L172" s="151">
        <f t="shared" si="29"/>
        <v>0.95528959592209695</v>
      </c>
      <c r="M172" s="151">
        <f t="shared" si="30"/>
        <v>0.87642264757360711</v>
      </c>
      <c r="N172" s="152">
        <f t="shared" si="9"/>
        <v>15949.719288180888</v>
      </c>
      <c r="O172" s="153">
        <f t="shared" si="10"/>
        <v>-22.19398211088992</v>
      </c>
      <c r="P172" s="154">
        <f t="shared" si="31"/>
        <v>0.53861511409489959</v>
      </c>
      <c r="Q172" s="155">
        <f t="shared" si="32"/>
        <v>3.5814198268018009E-2</v>
      </c>
      <c r="R172" s="158">
        <f t="shared" si="33"/>
        <v>739.34470000449585</v>
      </c>
      <c r="S172" s="158">
        <f t="shared" si="34"/>
        <v>-20103.443142758777</v>
      </c>
      <c r="T172" s="158">
        <f t="shared" si="35"/>
        <v>546630.585424738</v>
      </c>
      <c r="U172"/>
      <c r="V172" s="77">
        <v>20.405813846558885</v>
      </c>
      <c r="W172" s="19">
        <f t="shared" si="36"/>
        <v>4.3692033295277448E-3</v>
      </c>
      <c r="X172" s="22">
        <f>+SUM($W$130:W172)</f>
        <v>0.80034938192026306</v>
      </c>
      <c r="Z172"/>
    </row>
    <row r="173" spans="2:27" ht="20" customHeight="1" x14ac:dyDescent="0.35">
      <c r="B173" s="146">
        <f t="shared" si="25"/>
        <v>9</v>
      </c>
      <c r="C173" s="147">
        <f>+'ZCB rates'!B257</f>
        <v>45600</v>
      </c>
      <c r="D173" s="148">
        <f>+'ZCB rates'!M257</f>
        <v>1.3618399999992649E-4</v>
      </c>
      <c r="E173" s="155">
        <f>+'ZCB rates'!N257</f>
        <v>7.9470000000094512E-5</v>
      </c>
      <c r="F173" s="155">
        <f>+'ZCB rates'!O257</f>
        <v>-2.6552200000002317E-4</v>
      </c>
      <c r="G173" s="155">
        <f>+'ZCB rates'!P257</f>
        <v>-9.9560799999998464E-4</v>
      </c>
      <c r="H173" s="150">
        <f>+'ZCB rates'!Q257</f>
        <v>-2.8279999999999712E-3</v>
      </c>
      <c r="I173" s="151">
        <f t="shared" si="26"/>
        <v>0.9934243488392458</v>
      </c>
      <c r="J173" s="151">
        <f t="shared" si="27"/>
        <v>0.9877391641363632</v>
      </c>
      <c r="K173" s="151">
        <f t="shared" si="28"/>
        <v>0.97733119555945192</v>
      </c>
      <c r="L173" s="151">
        <f t="shared" si="29"/>
        <v>0.95599716189266282</v>
      </c>
      <c r="M173" s="151">
        <f t="shared" si="30"/>
        <v>0.8783828346742043</v>
      </c>
      <c r="N173" s="152">
        <f t="shared" si="9"/>
        <v>15958.911862334302</v>
      </c>
      <c r="O173" s="153">
        <f t="shared" si="10"/>
        <v>-13.001407957475749</v>
      </c>
      <c r="P173" s="154">
        <f t="shared" si="31"/>
        <v>0.57299480222861654</v>
      </c>
      <c r="Q173" s="155">
        <f t="shared" si="32"/>
        <v>3.810021092342341E-2</v>
      </c>
      <c r="R173" s="158">
        <f t="shared" si="33"/>
        <v>323.93950636849371</v>
      </c>
      <c r="S173" s="158">
        <f t="shared" si="34"/>
        <v>-5830.3667481908578</v>
      </c>
      <c r="T173" s="158">
        <f t="shared" si="35"/>
        <v>104936.80378626338</v>
      </c>
      <c r="U173"/>
      <c r="V173" s="77">
        <v>20.855082127054629</v>
      </c>
      <c r="W173" s="19">
        <f t="shared" si="36"/>
        <v>1.3307635323230673E-2</v>
      </c>
      <c r="X173" s="22">
        <f>+SUM($W$130:W173)</f>
        <v>0.81365701724349371</v>
      </c>
      <c r="Z173"/>
    </row>
    <row r="174" spans="2:27" ht="20" customHeight="1" x14ac:dyDescent="0.35">
      <c r="B174" s="146">
        <f t="shared" si="25"/>
        <v>8</v>
      </c>
      <c r="C174" s="147">
        <f>+'ZCB rates'!B258</f>
        <v>45607</v>
      </c>
      <c r="D174" s="148">
        <f>+'ZCB rates'!M258</f>
        <v>8.4019000000159889E-5</v>
      </c>
      <c r="E174" s="155">
        <f>+'ZCB rates'!N258</f>
        <v>3.2414200000008611E-4</v>
      </c>
      <c r="F174" s="155">
        <f>+'ZCB rates'!O258</f>
        <v>9.5772000000004826E-4</v>
      </c>
      <c r="G174" s="155">
        <f>+'ZCB rates'!P258</f>
        <v>2.0203040000001155E-3</v>
      </c>
      <c r="H174" s="150">
        <f>+'ZCB rates'!Q258</f>
        <v>3.4573600000000308E-3</v>
      </c>
      <c r="I174" s="151">
        <f t="shared" si="26"/>
        <v>0.99337252820971211</v>
      </c>
      <c r="J174" s="151">
        <f t="shared" si="27"/>
        <v>0.98798086582074218</v>
      </c>
      <c r="K174" s="151">
        <f t="shared" si="28"/>
        <v>0.97852743962459821</v>
      </c>
      <c r="L174" s="151">
        <f t="shared" si="29"/>
        <v>0.95888471732301694</v>
      </c>
      <c r="M174" s="151">
        <f t="shared" si="30"/>
        <v>0.88392117400318571</v>
      </c>
      <c r="N174" s="152">
        <f t="shared" si="9"/>
        <v>15999.792964854209</v>
      </c>
      <c r="O174" s="153">
        <f t="shared" si="10"/>
        <v>27.879694562430814</v>
      </c>
      <c r="P174" s="154">
        <f t="shared" si="31"/>
        <v>0.60956893854108152</v>
      </c>
      <c r="Q174" s="155">
        <f t="shared" si="32"/>
        <v>4.0532139280237682E-2</v>
      </c>
      <c r="R174" s="158">
        <f t="shared" si="33"/>
        <v>523.62175677258085</v>
      </c>
      <c r="S174" s="158">
        <f t="shared" si="34"/>
        <v>11981.923022263591</v>
      </c>
      <c r="T174" s="158">
        <f t="shared" si="35"/>
        <v>274179.74416560383</v>
      </c>
      <c r="U174"/>
      <c r="V174" s="77">
        <v>23.646810941534568</v>
      </c>
      <c r="W174" s="19">
        <f t="shared" si="36"/>
        <v>1.4157058854500717E-2</v>
      </c>
      <c r="X174" s="22">
        <f>+SUM($W$130:W174)</f>
        <v>0.8278140760979944</v>
      </c>
      <c r="Z174"/>
    </row>
    <row r="175" spans="2:27" ht="20" customHeight="1" x14ac:dyDescent="0.35">
      <c r="B175" s="146">
        <f t="shared" si="25"/>
        <v>7</v>
      </c>
      <c r="C175" s="147">
        <f>+'ZCB rates'!B259</f>
        <v>45614</v>
      </c>
      <c r="D175" s="148">
        <f>+'ZCB rates'!M259</f>
        <v>1.2542750000002397E-4</v>
      </c>
      <c r="E175" s="155">
        <f>+'ZCB rates'!N259</f>
        <v>2.6963400000004184E-4</v>
      </c>
      <c r="F175" s="155">
        <f>+'ZCB rates'!O259</f>
        <v>4.9466800000009495E-4</v>
      </c>
      <c r="G175" s="155">
        <f>+'ZCB rates'!P259</f>
        <v>5.9149199999999858E-4</v>
      </c>
      <c r="H175" s="150">
        <f>+'ZCB rates'!Q259</f>
        <v>8.0743000000010217E-4</v>
      </c>
      <c r="I175" s="151">
        <f t="shared" si="26"/>
        <v>0.99341366312770818</v>
      </c>
      <c r="J175" s="151">
        <f t="shared" si="27"/>
        <v>0.98792701442738717</v>
      </c>
      <c r="K175" s="151">
        <f t="shared" si="28"/>
        <v>0.97807443542696937</v>
      </c>
      <c r="L175" s="151">
        <f t="shared" si="29"/>
        <v>0.95751562964965398</v>
      </c>
      <c r="M175" s="151">
        <f t="shared" si="30"/>
        <v>0.88158194553127533</v>
      </c>
      <c r="N175" s="152">
        <f t="shared" si="9"/>
        <v>15980.778297552424</v>
      </c>
      <c r="O175" s="153">
        <f t="shared" si="10"/>
        <v>8.8650272606464569</v>
      </c>
      <c r="P175" s="154">
        <f t="shared" si="31"/>
        <v>0.64847759419263984</v>
      </c>
      <c r="Q175" s="155">
        <f t="shared" si="32"/>
        <v>4.3119297106635826E-2</v>
      </c>
      <c r="R175" s="158">
        <f t="shared" si="33"/>
        <v>14.962318876865865</v>
      </c>
      <c r="S175" s="158">
        <f t="shared" si="34"/>
        <v>57.875980185212441</v>
      </c>
      <c r="T175" s="158">
        <f t="shared" si="35"/>
        <v>223.8709861730166</v>
      </c>
      <c r="U175"/>
      <c r="V175" s="77">
        <v>26.098568211244128</v>
      </c>
      <c r="W175" s="19">
        <f t="shared" si="36"/>
        <v>3.2065758982238847E-3</v>
      </c>
      <c r="X175" s="22">
        <f>+SUM($W$130:W175)</f>
        <v>0.83102065199621833</v>
      </c>
      <c r="Z175"/>
    </row>
    <row r="176" spans="2:27" ht="20" customHeight="1" x14ac:dyDescent="0.35">
      <c r="B176" s="146">
        <f t="shared" si="25"/>
        <v>6</v>
      </c>
      <c r="C176" s="147">
        <f>+'ZCB rates'!B260</f>
        <v>45621</v>
      </c>
      <c r="D176" s="148">
        <f>+'ZCB rates'!M260</f>
        <v>2.2033200000000746E-4</v>
      </c>
      <c r="E176" s="155">
        <f>+'ZCB rates'!N260</f>
        <v>4.290800000000724E-4</v>
      </c>
      <c r="F176" s="155">
        <f>+'ZCB rates'!O260</f>
        <v>9.0708799999985809E-4</v>
      </c>
      <c r="G176" s="155">
        <f>+'ZCB rates'!P260</f>
        <v>2.1929199999999793E-3</v>
      </c>
      <c r="H176" s="150">
        <f>+'ZCB rates'!Q260</f>
        <v>6.8332999999999406E-3</v>
      </c>
      <c r="I176" s="151">
        <f t="shared" si="26"/>
        <v>0.99350794702861289</v>
      </c>
      <c r="J176" s="151">
        <f t="shared" si="27"/>
        <v>0.98808454799684464</v>
      </c>
      <c r="K176" s="151">
        <f t="shared" si="28"/>
        <v>0.97847789607752989</v>
      </c>
      <c r="L176" s="151">
        <f t="shared" si="29"/>
        <v>0.95905025045380465</v>
      </c>
      <c r="M176" s="151">
        <f t="shared" si="30"/>
        <v>0.88691028153629559</v>
      </c>
      <c r="N176" s="152">
        <f t="shared" si="9"/>
        <v>16001.832121047721</v>
      </c>
      <c r="O176" s="153">
        <f t="shared" si="10"/>
        <v>29.918850755942913</v>
      </c>
      <c r="P176" s="154">
        <f t="shared" si="31"/>
        <v>0.68986978105599994</v>
      </c>
      <c r="Q176" s="155">
        <f t="shared" si="32"/>
        <v>4.5871592666633862E-2</v>
      </c>
      <c r="R176" s="158">
        <f t="shared" si="33"/>
        <v>621.10305201881408</v>
      </c>
      <c r="S176" s="158">
        <f t="shared" si="34"/>
        <v>15479.092481033653</v>
      </c>
      <c r="T176" s="158">
        <f t="shared" si="35"/>
        <v>385769.00122708565</v>
      </c>
      <c r="U176"/>
      <c r="V176" s="77">
        <v>27.879694562430814</v>
      </c>
      <c r="W176" s="19">
        <f t="shared" si="36"/>
        <v>4.0532139280237682E-2</v>
      </c>
      <c r="X176" s="22">
        <f>+SUM($W$130:W176)</f>
        <v>0.87155279127645602</v>
      </c>
      <c r="Z176"/>
    </row>
    <row r="177" spans="2:26" ht="20" customHeight="1" x14ac:dyDescent="0.35">
      <c r="B177" s="146">
        <f t="shared" si="25"/>
        <v>5</v>
      </c>
      <c r="C177" s="147">
        <f>+'ZCB rates'!B261</f>
        <v>45628</v>
      </c>
      <c r="D177" s="148">
        <f>+'ZCB rates'!M261</f>
        <v>6.7645499999958788E-5</v>
      </c>
      <c r="E177" s="155">
        <f>+'ZCB rates'!N261</f>
        <v>1.5667399999997196E-4</v>
      </c>
      <c r="F177" s="155">
        <f>+'ZCB rates'!O261</f>
        <v>4.5842400000000702E-4</v>
      </c>
      <c r="G177" s="155">
        <f>+'ZCB rates'!P261</f>
        <v>1.5090639999999706E-3</v>
      </c>
      <c r="H177" s="150">
        <f>+'ZCB rates'!Q261</f>
        <v>5.3156400000000043E-3</v>
      </c>
      <c r="I177" s="151">
        <f t="shared" si="26"/>
        <v>0.99335626335777794</v>
      </c>
      <c r="J177" s="151">
        <f t="shared" si="27"/>
        <v>0.98781542449455551</v>
      </c>
      <c r="K177" s="151">
        <f t="shared" si="28"/>
        <v>0.9780389867395366</v>
      </c>
      <c r="L177" s="151">
        <f t="shared" si="29"/>
        <v>0.95839462238887418</v>
      </c>
      <c r="M177" s="151">
        <f t="shared" si="30"/>
        <v>0.88556527416852215</v>
      </c>
      <c r="N177" s="152">
        <f t="shared" si="9"/>
        <v>15991.945362586557</v>
      </c>
      <c r="O177" s="153">
        <f t="shared" ref="O177:O181" si="37">+N177-$G$118</f>
        <v>20.032092294779432</v>
      </c>
      <c r="P177" s="154">
        <f t="shared" si="31"/>
        <v>0.73390402239999986</v>
      </c>
      <c r="Q177" s="155">
        <f t="shared" si="32"/>
        <v>4.8799566666631766E-2</v>
      </c>
      <c r="R177" s="158">
        <f t="shared" si="33"/>
        <v>226.05665896283446</v>
      </c>
      <c r="S177" s="158">
        <f t="shared" si="34"/>
        <v>3398.8027180583017</v>
      </c>
      <c r="T177" s="158">
        <f t="shared" si="35"/>
        <v>51101.613061439246</v>
      </c>
      <c r="U177"/>
      <c r="V177" s="77">
        <v>29.918850755942913</v>
      </c>
      <c r="W177" s="19">
        <f t="shared" si="36"/>
        <v>4.5871592666633862E-2</v>
      </c>
      <c r="X177" s="22">
        <f>+SUM($W$130:W177)</f>
        <v>0.91742438394308989</v>
      </c>
      <c r="Z177"/>
    </row>
    <row r="178" spans="2:26" ht="20" customHeight="1" x14ac:dyDescent="0.35">
      <c r="B178" s="146">
        <f t="shared" si="25"/>
        <v>4</v>
      </c>
      <c r="C178" s="147">
        <f>+'ZCB rates'!B262</f>
        <v>45635</v>
      </c>
      <c r="D178" s="148">
        <f>+'ZCB rates'!M262</f>
        <v>1.8204650000007053E-4</v>
      </c>
      <c r="E178" s="155">
        <f>+'ZCB rates'!N262</f>
        <v>2.3701999999995536E-4</v>
      </c>
      <c r="F178" s="155">
        <f>+'ZCB rates'!O262</f>
        <v>1.7186800000002761E-4</v>
      </c>
      <c r="G178" s="155">
        <f>+'ZCB rates'!P262</f>
        <v>-5.0908000000062011E-5</v>
      </c>
      <c r="H178" s="150">
        <f>+'ZCB rates'!Q262</f>
        <v>-4.2954000000001335E-4</v>
      </c>
      <c r="I178" s="151">
        <f t="shared" si="26"/>
        <v>0.99346991080822944</v>
      </c>
      <c r="J178" s="151">
        <f t="shared" si="27"/>
        <v>0.98789479470114849</v>
      </c>
      <c r="K178" s="151">
        <f t="shared" si="28"/>
        <v>0.97775876395133066</v>
      </c>
      <c r="L178" s="151">
        <f t="shared" si="29"/>
        <v>0.95690071913956942</v>
      </c>
      <c r="M178" s="151">
        <f t="shared" si="30"/>
        <v>0.88049212928607201</v>
      </c>
      <c r="N178" s="152">
        <f t="shared" ref="N178:N181" si="38">+SUMPRODUCT(I178:M178,$C$113:$G$113)+$G$117</f>
        <v>15971.902161071612</v>
      </c>
      <c r="O178" s="153">
        <f t="shared" si="37"/>
        <v>-1.1109220165963052E-2</v>
      </c>
      <c r="P178" s="154">
        <f t="shared" si="31"/>
        <v>0.78074895999999994</v>
      </c>
      <c r="Q178" s="155">
        <f t="shared" si="32"/>
        <v>5.191443262407635E-2</v>
      </c>
      <c r="R178" s="158">
        <f t="shared" si="33"/>
        <v>25.080272389268316</v>
      </c>
      <c r="S178" s="158">
        <f t="shared" si="34"/>
        <v>-125.60252593543534</v>
      </c>
      <c r="T178" s="158">
        <f t="shared" si="35"/>
        <v>629.02006311989464</v>
      </c>
      <c r="U178"/>
      <c r="V178" s="77">
        <v>33.663815621708636</v>
      </c>
      <c r="W178" s="19">
        <f t="shared" si="36"/>
        <v>2.6284184167929527E-2</v>
      </c>
      <c r="X178" s="22">
        <f>+SUM($W$130:W178)</f>
        <v>0.94370856811101944</v>
      </c>
      <c r="Z178"/>
    </row>
    <row r="179" spans="2:26" ht="20" customHeight="1" x14ac:dyDescent="0.35">
      <c r="B179" s="146">
        <f t="shared" si="25"/>
        <v>3</v>
      </c>
      <c r="C179" s="147">
        <f>+'ZCB rates'!B263</f>
        <v>45642</v>
      </c>
      <c r="D179" s="148">
        <f>+'ZCB rates'!M263</f>
        <v>1.2542550000003885E-4</v>
      </c>
      <c r="E179" s="155">
        <f>+'ZCB rates'!N263</f>
        <v>1.1551100000007969E-4</v>
      </c>
      <c r="F179" s="155">
        <f>+'ZCB rates'!O263</f>
        <v>-1.9545199999984389E-4</v>
      </c>
      <c r="G179" s="155">
        <f>+'ZCB rates'!P263</f>
        <v>-1.4395719999999498E-3</v>
      </c>
      <c r="H179" s="150">
        <f>+'ZCB rates'!Q263</f>
        <v>-6.1607099999999165E-3</v>
      </c>
      <c r="I179" s="151">
        <f t="shared" si="26"/>
        <v>0.99341366114088081</v>
      </c>
      <c r="J179" s="151">
        <f t="shared" si="27"/>
        <v>0.98777476388509922</v>
      </c>
      <c r="K179" s="151">
        <f t="shared" si="28"/>
        <v>0.97739967955563378</v>
      </c>
      <c r="L179" s="151">
        <f t="shared" si="29"/>
        <v>0.95557282777018737</v>
      </c>
      <c r="M179" s="151">
        <f t="shared" si="30"/>
        <v>0.8754603120824177</v>
      </c>
      <c r="N179" s="152">
        <f t="shared" si="38"/>
        <v>15953.663893611494</v>
      </c>
      <c r="O179" s="153">
        <f t="shared" si="37"/>
        <v>-18.249376680283603</v>
      </c>
      <c r="P179" s="154">
        <f t="shared" si="31"/>
        <v>0.83058399999999988</v>
      </c>
      <c r="Q179" s="155">
        <f t="shared" si="32"/>
        <v>5.5228119812847178E-2</v>
      </c>
      <c r="R179" s="158">
        <f t="shared" si="33"/>
        <v>540.38991813259031</v>
      </c>
      <c r="S179" s="158">
        <f t="shared" si="34"/>
        <v>-12562.059812794829</v>
      </c>
      <c r="T179" s="158">
        <f t="shared" si="35"/>
        <v>292021.26361934765</v>
      </c>
      <c r="U179"/>
      <c r="V179" s="77">
        <v>37.94153813201774</v>
      </c>
      <c r="W179" s="19">
        <f t="shared" si="36"/>
        <v>2.3224705130782532E-2</v>
      </c>
      <c r="X179" s="22">
        <f>+SUM($W$130:W179)</f>
        <v>0.966933273241802</v>
      </c>
      <c r="Z179"/>
    </row>
    <row r="180" spans="2:26" ht="20" customHeight="1" x14ac:dyDescent="0.35">
      <c r="B180" s="146">
        <f t="shared" si="25"/>
        <v>2</v>
      </c>
      <c r="C180" s="147">
        <f>+'ZCB rates'!B264</f>
        <v>45649</v>
      </c>
      <c r="D180" s="148">
        <f>+'ZCB rates'!M264</f>
        <v>-9.3874999999933218E-5</v>
      </c>
      <c r="E180" s="155">
        <f>+'ZCB rates'!N264</f>
        <v>-3.5943999999955968E-5</v>
      </c>
      <c r="F180" s="155">
        <f>+'ZCB rates'!O264</f>
        <v>1.141186666665875E-4</v>
      </c>
      <c r="G180" s="155">
        <f>+'ZCB rates'!P264</f>
        <v>-2.4692533333336872E-4</v>
      </c>
      <c r="H180" s="150">
        <f>+'ZCB rates'!Q264</f>
        <v>-3.3222533333333274E-3</v>
      </c>
      <c r="I180" s="151">
        <f t="shared" si="26"/>
        <v>0.99319582891451696</v>
      </c>
      <c r="J180" s="151">
        <f t="shared" si="27"/>
        <v>0.98762517178675657</v>
      </c>
      <c r="K180" s="151">
        <f t="shared" si="28"/>
        <v>0.97770230066492581</v>
      </c>
      <c r="L180" s="151">
        <f t="shared" si="29"/>
        <v>0.95671316839453791</v>
      </c>
      <c r="M180" s="151">
        <f t="shared" si="30"/>
        <v>0.87794879830102168</v>
      </c>
      <c r="N180" s="152">
        <f t="shared" si="38"/>
        <v>15969.180493352811</v>
      </c>
      <c r="O180" s="153">
        <f t="shared" si="37"/>
        <v>-2.7327769389667083</v>
      </c>
      <c r="P180" s="154">
        <f t="shared" si="31"/>
        <v>0.88359999999999994</v>
      </c>
      <c r="Q180" s="155">
        <f t="shared" si="32"/>
        <v>5.875331894983743E-2</v>
      </c>
      <c r="R180" s="158">
        <f t="shared" si="33"/>
        <v>59.74808468416898</v>
      </c>
      <c r="S180" s="158">
        <f t="shared" si="34"/>
        <v>-461.83408453782181</v>
      </c>
      <c r="T180" s="158">
        <f t="shared" si="35"/>
        <v>3569.8336234266276</v>
      </c>
      <c r="U180"/>
      <c r="V180" s="77">
        <v>40.234270261744314</v>
      </c>
      <c r="W180" s="19">
        <f t="shared" si="36"/>
        <v>1.60220222436631E-2</v>
      </c>
      <c r="X180" s="22">
        <f>+SUM($W$130:W180)</f>
        <v>0.98295529548546512</v>
      </c>
      <c r="Z180"/>
    </row>
    <row r="181" spans="2:26" ht="20" customHeight="1" x14ac:dyDescent="0.35">
      <c r="B181" s="146">
        <f>+B391+1</f>
        <v>1</v>
      </c>
      <c r="C181" s="147">
        <f>+'ZCB rates'!B265</f>
        <v>45656</v>
      </c>
      <c r="D181" s="148">
        <f>+'ZCB rates'!M265</f>
        <v>1.3052499999999042E-5</v>
      </c>
      <c r="E181" s="155">
        <f>+'ZCB rates'!N265</f>
        <v>1.0431499999992517E-4</v>
      </c>
      <c r="F181" s="155">
        <f>+'ZCB rates'!O265</f>
        <v>9.0173333333239637E-5</v>
      </c>
      <c r="G181" s="155">
        <f>+'ZCB rates'!P265</f>
        <v>-7.3067333333333667E-4</v>
      </c>
      <c r="H181" s="150">
        <f>+'ZCB rates'!Q265</f>
        <v>-2.6279166666666621E-3</v>
      </c>
      <c r="I181" s="151">
        <f t="shared" si="26"/>
        <v>0.99330203453956289</v>
      </c>
      <c r="J181" s="151">
        <f t="shared" si="27"/>
        <v>0.98776370482075138</v>
      </c>
      <c r="K181" s="151">
        <f t="shared" si="28"/>
        <v>0.97767888953773041</v>
      </c>
      <c r="L181" s="151">
        <f t="shared" si="29"/>
        <v>0.95625047223594717</v>
      </c>
      <c r="M181" s="151">
        <f t="shared" si="30"/>
        <v>0.87855860202318092</v>
      </c>
      <c r="N181" s="152">
        <f t="shared" si="38"/>
        <v>15963.214533935712</v>
      </c>
      <c r="O181" s="153">
        <f t="shared" si="37"/>
        <v>-8.6987363560656377</v>
      </c>
      <c r="P181" s="154">
        <f t="shared" si="31"/>
        <v>0.94</v>
      </c>
      <c r="Q181" s="155">
        <f t="shared" si="32"/>
        <v>6.2503530797699394E-2</v>
      </c>
      <c r="R181" s="158">
        <f t="shared" si="33"/>
        <v>187.57077253735619</v>
      </c>
      <c r="S181" s="158">
        <f t="shared" si="34"/>
        <v>-2568.9032647857321</v>
      </c>
      <c r="T181" s="158">
        <f t="shared" si="35"/>
        <v>35182.794710260612</v>
      </c>
      <c r="U181"/>
      <c r="V181" s="77">
        <v>45.698920095210269</v>
      </c>
      <c r="W181" s="19">
        <f t="shared" si="36"/>
        <v>1.7044704514535217E-2</v>
      </c>
      <c r="X181" s="22">
        <f>+SUM($W$130:W181)</f>
        <v>1.0000000000000004</v>
      </c>
      <c r="Z181"/>
    </row>
    <row r="182" spans="2:26" ht="20" customHeight="1" x14ac:dyDescent="0.35">
      <c r="B182"/>
      <c r="C182"/>
      <c r="D182"/>
      <c r="E182"/>
      <c r="F182"/>
      <c r="G182"/>
      <c r="H182"/>
      <c r="I182"/>
      <c r="J182"/>
      <c r="K182"/>
      <c r="L182"/>
      <c r="M182"/>
      <c r="N182"/>
      <c r="O182"/>
      <c r="P182"/>
      <c r="Q182"/>
      <c r="R182"/>
      <c r="S182"/>
      <c r="T182"/>
      <c r="U182"/>
      <c r="V182" s="77"/>
      <c r="W182"/>
      <c r="X182"/>
      <c r="Z182"/>
    </row>
    <row r="183" spans="2:26" ht="20" customHeight="1" x14ac:dyDescent="0.35">
      <c r="B183"/>
      <c r="C183"/>
      <c r="D183"/>
      <c r="E183"/>
      <c r="F183"/>
      <c r="G183"/>
      <c r="H183"/>
      <c r="I183"/>
      <c r="J183"/>
      <c r="K183"/>
      <c r="L183"/>
      <c r="M183"/>
      <c r="N183"/>
      <c r="O183"/>
      <c r="P183" s="92">
        <f>+SUM(P130:P181)</f>
        <v>15.039150396838048</v>
      </c>
      <c r="Q183"/>
      <c r="R183"/>
      <c r="S183"/>
      <c r="T183"/>
      <c r="U183"/>
      <c r="V183" s="77"/>
      <c r="W183"/>
      <c r="X183"/>
      <c r="Z183"/>
    </row>
    <row r="184" spans="2:26" ht="20" customHeight="1" x14ac:dyDescent="0.35">
      <c r="B184"/>
      <c r="C184"/>
      <c r="D184"/>
      <c r="E184"/>
      <c r="F184"/>
      <c r="G184"/>
      <c r="H184"/>
      <c r="I184"/>
      <c r="J184"/>
      <c r="K184"/>
      <c r="L184"/>
      <c r="M184"/>
      <c r="N184"/>
      <c r="O184"/>
      <c r="P184"/>
      <c r="Q184"/>
      <c r="R184"/>
      <c r="S184"/>
      <c r="T184"/>
      <c r="U184"/>
      <c r="V184" s="77"/>
      <c r="W184"/>
      <c r="X184"/>
      <c r="Z184"/>
    </row>
    <row r="185" spans="2:26" ht="20" customHeight="1" x14ac:dyDescent="0.35">
      <c r="B185"/>
      <c r="C185"/>
      <c r="D185"/>
      <c r="E185"/>
      <c r="F185"/>
      <c r="G185"/>
      <c r="H185"/>
      <c r="I185"/>
      <c r="J185"/>
      <c r="K185"/>
      <c r="L185"/>
      <c r="M185"/>
      <c r="N185"/>
      <c r="O185"/>
      <c r="P185"/>
      <c r="Q185"/>
      <c r="R185"/>
      <c r="S185"/>
      <c r="T185"/>
      <c r="U185"/>
      <c r="V185" s="77"/>
      <c r="W185"/>
      <c r="X185"/>
      <c r="Z185"/>
    </row>
    <row r="186" spans="2:26" ht="20" customHeight="1" x14ac:dyDescent="0.35">
      <c r="B186"/>
      <c r="C186"/>
      <c r="D186"/>
      <c r="E186"/>
      <c r="F186"/>
      <c r="G186"/>
      <c r="H186"/>
      <c r="I186"/>
      <c r="J186"/>
      <c r="K186"/>
      <c r="L186"/>
      <c r="M186"/>
      <c r="N186"/>
      <c r="O186"/>
      <c r="P186"/>
      <c r="Q186"/>
      <c r="R186"/>
      <c r="S186"/>
      <c r="T186"/>
      <c r="U186"/>
      <c r="V186" s="77"/>
      <c r="W186"/>
      <c r="X186"/>
      <c r="Z186"/>
    </row>
    <row r="187" spans="2:26" ht="20" customHeight="1" x14ac:dyDescent="0.35">
      <c r="B187"/>
      <c r="C187"/>
      <c r="D187"/>
      <c r="E187"/>
      <c r="F187"/>
      <c r="G187"/>
      <c r="H187"/>
      <c r="I187"/>
      <c r="J187"/>
      <c r="K187"/>
      <c r="L187"/>
      <c r="M187"/>
      <c r="N187"/>
      <c r="O187"/>
      <c r="P187"/>
      <c r="Q187"/>
      <c r="R187"/>
      <c r="S187"/>
      <c r="T187"/>
      <c r="U187"/>
      <c r="V187" s="77"/>
      <c r="W187"/>
      <c r="X187"/>
      <c r="Z187"/>
    </row>
    <row r="188" spans="2:26" ht="20" customHeight="1" x14ac:dyDescent="0.35">
      <c r="B188"/>
      <c r="C188"/>
      <c r="D188"/>
      <c r="E188"/>
      <c r="F188"/>
      <c r="G188"/>
      <c r="H188"/>
      <c r="I188"/>
      <c r="J188"/>
      <c r="K188"/>
      <c r="L188"/>
      <c r="M188"/>
      <c r="N188"/>
      <c r="O188"/>
      <c r="P188"/>
      <c r="Q188"/>
      <c r="R188"/>
      <c r="S188"/>
      <c r="T188"/>
      <c r="U188"/>
      <c r="V188" s="77"/>
      <c r="W188"/>
      <c r="X188"/>
      <c r="Z188"/>
    </row>
    <row r="189" spans="2:26" ht="20" customHeight="1" x14ac:dyDescent="0.35">
      <c r="B189"/>
      <c r="C189"/>
      <c r="D189"/>
      <c r="E189"/>
      <c r="F189"/>
      <c r="G189"/>
      <c r="H189"/>
      <c r="I189"/>
      <c r="J189"/>
      <c r="K189"/>
      <c r="L189"/>
      <c r="M189"/>
      <c r="N189"/>
      <c r="O189"/>
      <c r="P189"/>
      <c r="Q189"/>
      <c r="R189"/>
      <c r="S189"/>
      <c r="T189"/>
      <c r="U189"/>
      <c r="V189" s="77"/>
      <c r="W189"/>
      <c r="X189"/>
      <c r="Z189"/>
    </row>
    <row r="190" spans="2:26" ht="20" customHeight="1" x14ac:dyDescent="0.35">
      <c r="B190"/>
      <c r="C190"/>
      <c r="D190"/>
      <c r="E190"/>
      <c r="F190"/>
      <c r="G190"/>
      <c r="H190"/>
      <c r="I190"/>
      <c r="J190"/>
      <c r="K190"/>
      <c r="L190"/>
      <c r="M190"/>
      <c r="N190"/>
      <c r="O190"/>
      <c r="P190"/>
      <c r="Q190"/>
      <c r="R190"/>
      <c r="S190"/>
      <c r="T190"/>
      <c r="U190"/>
      <c r="V190" s="77"/>
      <c r="W190"/>
      <c r="X190"/>
      <c r="Z190"/>
    </row>
    <row r="191" spans="2:26" ht="20" customHeight="1" x14ac:dyDescent="0.35">
      <c r="B191"/>
      <c r="C191"/>
      <c r="D191"/>
      <c r="E191"/>
      <c r="F191"/>
      <c r="G191"/>
      <c r="H191"/>
      <c r="I191"/>
      <c r="J191"/>
      <c r="K191"/>
      <c r="L191"/>
      <c r="M191"/>
      <c r="N191"/>
      <c r="O191"/>
      <c r="P191"/>
      <c r="Q191"/>
      <c r="R191"/>
      <c r="S191"/>
      <c r="T191"/>
      <c r="U191"/>
      <c r="V191" s="77"/>
      <c r="W191"/>
      <c r="X191"/>
      <c r="Z191"/>
    </row>
    <row r="192" spans="2:26" ht="20" customHeight="1" x14ac:dyDescent="0.35">
      <c r="B192"/>
      <c r="C192"/>
      <c r="D192"/>
      <c r="E192"/>
      <c r="F192"/>
      <c r="G192"/>
      <c r="H192"/>
      <c r="I192"/>
      <c r="J192"/>
      <c r="K192"/>
      <c r="L192"/>
      <c r="M192"/>
      <c r="N192"/>
      <c r="O192"/>
      <c r="P192"/>
      <c r="Q192"/>
      <c r="R192"/>
      <c r="S192"/>
      <c r="T192"/>
      <c r="U192"/>
      <c r="V192" s="77"/>
      <c r="W192"/>
      <c r="X192"/>
      <c r="Z192"/>
    </row>
    <row r="193" spans="2:26" ht="20" customHeight="1" x14ac:dyDescent="0.35">
      <c r="B193"/>
      <c r="C193"/>
      <c r="D193"/>
      <c r="E193"/>
      <c r="F193"/>
      <c r="G193"/>
      <c r="H193"/>
      <c r="I193"/>
      <c r="J193"/>
      <c r="K193"/>
      <c r="L193"/>
      <c r="M193"/>
      <c r="N193"/>
      <c r="O193"/>
      <c r="P193"/>
      <c r="Q193"/>
      <c r="R193"/>
      <c r="S193"/>
      <c r="T193"/>
      <c r="U193"/>
      <c r="V193" s="77"/>
      <c r="W193"/>
      <c r="X193"/>
      <c r="Z193"/>
    </row>
    <row r="194" spans="2:26" ht="20" customHeight="1" x14ac:dyDescent="0.35">
      <c r="B194"/>
      <c r="C194"/>
      <c r="D194"/>
      <c r="E194"/>
      <c r="F194"/>
      <c r="G194"/>
      <c r="H194"/>
      <c r="I194"/>
      <c r="J194"/>
      <c r="K194"/>
      <c r="L194"/>
      <c r="M194"/>
      <c r="N194"/>
      <c r="O194"/>
      <c r="P194"/>
      <c r="Q194"/>
      <c r="R194"/>
      <c r="S194"/>
      <c r="T194"/>
      <c r="U194"/>
      <c r="V194" s="77"/>
      <c r="W194"/>
      <c r="X194"/>
      <c r="Z194"/>
    </row>
    <row r="195" spans="2:26" ht="20" customHeight="1" x14ac:dyDescent="0.35">
      <c r="B195"/>
      <c r="C195"/>
      <c r="D195"/>
      <c r="E195"/>
      <c r="F195"/>
      <c r="G195"/>
      <c r="H195"/>
      <c r="I195"/>
      <c r="J195"/>
      <c r="K195"/>
      <c r="L195"/>
      <c r="M195"/>
      <c r="N195"/>
      <c r="O195"/>
      <c r="P195"/>
      <c r="Q195"/>
      <c r="R195"/>
      <c r="S195"/>
      <c r="T195"/>
      <c r="U195"/>
      <c r="V195" s="77"/>
      <c r="W195"/>
      <c r="X195"/>
      <c r="Z195"/>
    </row>
    <row r="196" spans="2:26" ht="20" customHeight="1" x14ac:dyDescent="0.35">
      <c r="B196"/>
      <c r="C196"/>
      <c r="D196"/>
      <c r="E196"/>
      <c r="F196"/>
      <c r="G196"/>
      <c r="H196"/>
      <c r="I196"/>
      <c r="J196"/>
      <c r="K196"/>
      <c r="L196"/>
      <c r="M196"/>
      <c r="N196"/>
      <c r="O196"/>
      <c r="P196"/>
      <c r="Q196"/>
      <c r="R196"/>
      <c r="S196"/>
      <c r="T196"/>
      <c r="U196"/>
      <c r="V196" s="77"/>
      <c r="W196"/>
      <c r="X196"/>
      <c r="Z196"/>
    </row>
    <row r="197" spans="2:26" ht="20" customHeight="1" x14ac:dyDescent="0.35">
      <c r="B197"/>
      <c r="C197"/>
      <c r="D197"/>
      <c r="E197"/>
      <c r="F197"/>
      <c r="G197"/>
      <c r="H197"/>
      <c r="I197"/>
      <c r="J197"/>
      <c r="K197"/>
      <c r="L197"/>
      <c r="M197"/>
      <c r="N197"/>
      <c r="O197"/>
      <c r="P197"/>
      <c r="Q197"/>
      <c r="R197"/>
      <c r="S197"/>
      <c r="T197"/>
      <c r="U197"/>
      <c r="V197" s="77"/>
      <c r="W197"/>
      <c r="X197"/>
      <c r="Z197"/>
    </row>
    <row r="198" spans="2:26" ht="20" customHeight="1" x14ac:dyDescent="0.35">
      <c r="B198"/>
      <c r="C198"/>
      <c r="D198"/>
      <c r="E198"/>
      <c r="F198"/>
      <c r="G198"/>
      <c r="H198"/>
      <c r="I198"/>
      <c r="J198"/>
      <c r="K198"/>
      <c r="L198"/>
      <c r="M198"/>
      <c r="N198"/>
      <c r="O198"/>
      <c r="P198"/>
      <c r="Q198"/>
      <c r="R198"/>
      <c r="S198"/>
      <c r="T198"/>
      <c r="U198"/>
      <c r="V198" s="77"/>
      <c r="W198"/>
      <c r="X198"/>
      <c r="Z198"/>
    </row>
    <row r="199" spans="2:26" ht="20" customHeight="1" x14ac:dyDescent="0.35">
      <c r="B199"/>
      <c r="C199"/>
      <c r="D199"/>
      <c r="E199"/>
      <c r="F199"/>
      <c r="G199"/>
      <c r="H199"/>
      <c r="I199"/>
      <c r="J199"/>
      <c r="K199"/>
      <c r="L199"/>
      <c r="M199"/>
      <c r="N199"/>
      <c r="O199"/>
      <c r="P199"/>
      <c r="Q199"/>
      <c r="R199"/>
      <c r="S199"/>
      <c r="T199"/>
      <c r="U199"/>
      <c r="V199" s="77"/>
      <c r="W199"/>
      <c r="X199"/>
      <c r="Z199"/>
    </row>
    <row r="200" spans="2:26" ht="20" customHeight="1" x14ac:dyDescent="0.35">
      <c r="B200"/>
      <c r="C200"/>
      <c r="D200"/>
      <c r="E200"/>
      <c r="F200"/>
      <c r="G200"/>
      <c r="H200"/>
      <c r="I200"/>
      <c r="J200"/>
      <c r="K200"/>
      <c r="L200"/>
      <c r="M200"/>
      <c r="N200"/>
      <c r="O200"/>
      <c r="P200"/>
      <c r="Q200"/>
      <c r="R200"/>
      <c r="S200"/>
      <c r="T200"/>
      <c r="U200"/>
      <c r="V200" s="77"/>
      <c r="W200"/>
      <c r="X200"/>
      <c r="Z200"/>
    </row>
    <row r="201" spans="2:26" ht="20" customHeight="1" x14ac:dyDescent="0.35">
      <c r="B201"/>
      <c r="C201"/>
      <c r="D201"/>
      <c r="E201"/>
      <c r="F201"/>
      <c r="G201"/>
      <c r="H201"/>
      <c r="I201"/>
      <c r="J201"/>
      <c r="K201"/>
      <c r="L201"/>
      <c r="M201"/>
      <c r="N201"/>
      <c r="O201"/>
      <c r="P201"/>
      <c r="Q201"/>
      <c r="R201"/>
      <c r="S201"/>
      <c r="T201"/>
      <c r="U201"/>
      <c r="V201" s="77"/>
      <c r="W201"/>
      <c r="X201"/>
      <c r="Z201"/>
    </row>
    <row r="202" spans="2:26" ht="20" customHeight="1" x14ac:dyDescent="0.35">
      <c r="B202"/>
      <c r="C202"/>
      <c r="D202"/>
      <c r="E202"/>
      <c r="F202"/>
      <c r="G202"/>
      <c r="H202"/>
      <c r="I202"/>
      <c r="J202"/>
      <c r="K202"/>
      <c r="L202"/>
      <c r="M202"/>
      <c r="N202"/>
      <c r="O202"/>
      <c r="P202"/>
      <c r="Q202"/>
      <c r="R202"/>
      <c r="S202"/>
      <c r="T202"/>
      <c r="U202"/>
      <c r="V202" s="77"/>
      <c r="W202"/>
      <c r="X202"/>
      <c r="Z202"/>
    </row>
    <row r="203" spans="2:26" ht="20" customHeight="1" x14ac:dyDescent="0.35">
      <c r="B203"/>
      <c r="C203"/>
      <c r="D203"/>
      <c r="E203"/>
      <c r="F203"/>
      <c r="G203"/>
      <c r="H203"/>
      <c r="I203"/>
      <c r="J203"/>
      <c r="K203"/>
      <c r="L203"/>
      <c r="M203"/>
      <c r="N203"/>
      <c r="O203"/>
      <c r="P203"/>
      <c r="Q203"/>
      <c r="R203"/>
      <c r="S203"/>
      <c r="T203"/>
      <c r="U203"/>
      <c r="V203" s="77"/>
      <c r="W203"/>
      <c r="X203"/>
      <c r="Z203"/>
    </row>
    <row r="204" spans="2:26" ht="20" customHeight="1" x14ac:dyDescent="0.35">
      <c r="B204"/>
      <c r="C204"/>
      <c r="D204"/>
      <c r="E204"/>
      <c r="F204"/>
      <c r="G204"/>
      <c r="H204"/>
      <c r="I204"/>
      <c r="J204"/>
      <c r="K204"/>
      <c r="L204"/>
      <c r="M204"/>
      <c r="N204"/>
      <c r="O204"/>
      <c r="P204"/>
      <c r="Q204"/>
      <c r="R204"/>
      <c r="S204"/>
      <c r="T204"/>
      <c r="U204"/>
      <c r="V204" s="77"/>
      <c r="W204"/>
      <c r="X204"/>
      <c r="Z204"/>
    </row>
    <row r="205" spans="2:26" ht="20" customHeight="1" x14ac:dyDescent="0.35">
      <c r="B205"/>
      <c r="C205"/>
      <c r="D205"/>
      <c r="E205"/>
      <c r="F205"/>
      <c r="G205"/>
      <c r="H205"/>
      <c r="I205"/>
      <c r="J205"/>
      <c r="K205"/>
      <c r="L205"/>
      <c r="M205"/>
      <c r="N205"/>
      <c r="O205"/>
      <c r="P205"/>
      <c r="Q205"/>
      <c r="R205"/>
      <c r="S205"/>
      <c r="T205"/>
      <c r="U205"/>
      <c r="V205" s="77"/>
      <c r="W205"/>
      <c r="X205"/>
      <c r="Z205"/>
    </row>
    <row r="206" spans="2:26" ht="20" customHeight="1" x14ac:dyDescent="0.35">
      <c r="B206"/>
      <c r="C206"/>
      <c r="D206"/>
      <c r="E206"/>
      <c r="F206"/>
      <c r="G206"/>
      <c r="H206"/>
      <c r="I206"/>
      <c r="J206"/>
      <c r="K206"/>
      <c r="L206"/>
      <c r="M206"/>
      <c r="N206"/>
      <c r="O206"/>
      <c r="P206"/>
      <c r="Q206"/>
      <c r="R206"/>
      <c r="S206"/>
      <c r="T206"/>
      <c r="U206"/>
      <c r="V206" s="77"/>
      <c r="W206"/>
      <c r="X206"/>
      <c r="Z206"/>
    </row>
    <row r="207" spans="2:26" ht="20" customHeight="1" x14ac:dyDescent="0.35">
      <c r="B207"/>
      <c r="C207"/>
      <c r="D207"/>
      <c r="E207"/>
      <c r="F207"/>
      <c r="G207"/>
      <c r="H207"/>
      <c r="I207"/>
      <c r="J207"/>
      <c r="K207"/>
      <c r="L207"/>
      <c r="M207"/>
      <c r="N207"/>
      <c r="O207"/>
      <c r="P207"/>
      <c r="Q207"/>
      <c r="R207"/>
      <c r="S207"/>
      <c r="T207"/>
      <c r="U207"/>
      <c r="V207" s="77"/>
      <c r="W207"/>
      <c r="X207"/>
      <c r="Z207"/>
    </row>
    <row r="208" spans="2:26" ht="20" customHeight="1" x14ac:dyDescent="0.35">
      <c r="B208"/>
      <c r="C208"/>
      <c r="D208"/>
      <c r="E208"/>
      <c r="F208"/>
      <c r="G208"/>
      <c r="H208"/>
      <c r="I208"/>
      <c r="J208"/>
      <c r="K208"/>
      <c r="L208"/>
      <c r="M208"/>
      <c r="N208"/>
      <c r="O208"/>
      <c r="P208"/>
      <c r="Q208"/>
      <c r="R208"/>
      <c r="S208"/>
      <c r="T208"/>
      <c r="U208"/>
      <c r="V208" s="77"/>
      <c r="W208"/>
      <c r="X208"/>
      <c r="Z208"/>
    </row>
    <row r="209" spans="2:26" ht="20" customHeight="1" x14ac:dyDescent="0.35">
      <c r="B209"/>
      <c r="C209"/>
      <c r="D209"/>
      <c r="E209"/>
      <c r="F209"/>
      <c r="G209"/>
      <c r="H209"/>
      <c r="I209"/>
      <c r="J209"/>
      <c r="K209"/>
      <c r="L209"/>
      <c r="M209"/>
      <c r="N209"/>
      <c r="O209"/>
      <c r="P209"/>
      <c r="Q209"/>
      <c r="R209"/>
      <c r="S209"/>
      <c r="T209"/>
      <c r="U209"/>
      <c r="V209" s="77"/>
      <c r="W209"/>
      <c r="X209"/>
      <c r="Z209"/>
    </row>
    <row r="210" spans="2:26" ht="20" customHeight="1" x14ac:dyDescent="0.35">
      <c r="B210"/>
      <c r="C210"/>
      <c r="D210"/>
      <c r="E210"/>
      <c r="F210"/>
      <c r="G210"/>
      <c r="H210"/>
      <c r="I210"/>
      <c r="J210"/>
      <c r="K210"/>
      <c r="L210"/>
      <c r="M210"/>
      <c r="N210"/>
      <c r="O210"/>
      <c r="P210"/>
      <c r="Q210"/>
      <c r="R210"/>
      <c r="S210"/>
      <c r="T210"/>
      <c r="U210"/>
      <c r="V210" s="77"/>
      <c r="W210"/>
      <c r="X210"/>
      <c r="Z210"/>
    </row>
    <row r="211" spans="2:26" ht="20" customHeight="1" x14ac:dyDescent="0.35">
      <c r="B211"/>
      <c r="C211"/>
      <c r="D211"/>
      <c r="E211"/>
      <c r="F211"/>
      <c r="G211"/>
      <c r="H211"/>
      <c r="I211"/>
      <c r="J211"/>
      <c r="K211"/>
      <c r="L211"/>
      <c r="M211"/>
      <c r="N211"/>
      <c r="O211"/>
      <c r="P211"/>
      <c r="Q211"/>
      <c r="R211"/>
      <c r="S211"/>
      <c r="T211"/>
      <c r="U211"/>
      <c r="V211" s="77"/>
      <c r="W211"/>
      <c r="X211"/>
      <c r="Z211"/>
    </row>
    <row r="212" spans="2:26" ht="20" customHeight="1" x14ac:dyDescent="0.35">
      <c r="B212"/>
      <c r="C212"/>
      <c r="D212"/>
      <c r="E212"/>
      <c r="F212"/>
      <c r="G212"/>
      <c r="H212"/>
      <c r="I212"/>
      <c r="J212"/>
      <c r="K212"/>
      <c r="L212"/>
      <c r="M212"/>
      <c r="N212"/>
      <c r="O212"/>
      <c r="P212"/>
      <c r="Q212"/>
      <c r="R212"/>
      <c r="S212"/>
      <c r="T212"/>
      <c r="U212"/>
      <c r="V212" s="77"/>
      <c r="W212"/>
      <c r="X212"/>
      <c r="Z212"/>
    </row>
    <row r="213" spans="2:26" ht="20" customHeight="1" x14ac:dyDescent="0.35">
      <c r="B213"/>
      <c r="C213"/>
      <c r="D213"/>
      <c r="E213"/>
      <c r="F213"/>
      <c r="G213"/>
      <c r="H213"/>
      <c r="I213"/>
      <c r="J213"/>
      <c r="K213"/>
      <c r="L213"/>
      <c r="M213"/>
      <c r="N213"/>
      <c r="O213"/>
      <c r="P213"/>
      <c r="Q213"/>
      <c r="R213"/>
      <c r="S213"/>
      <c r="T213"/>
      <c r="U213"/>
      <c r="V213" s="77"/>
      <c r="W213"/>
      <c r="X213"/>
      <c r="Z213"/>
    </row>
    <row r="214" spans="2:26" ht="20" customHeight="1" x14ac:dyDescent="0.35">
      <c r="B214"/>
      <c r="C214"/>
      <c r="D214"/>
      <c r="E214"/>
      <c r="F214"/>
      <c r="G214"/>
      <c r="H214"/>
      <c r="I214"/>
      <c r="J214"/>
      <c r="K214"/>
      <c r="L214"/>
      <c r="M214"/>
      <c r="N214"/>
      <c r="O214"/>
      <c r="P214"/>
      <c r="Q214"/>
      <c r="R214"/>
      <c r="S214"/>
      <c r="T214"/>
      <c r="U214"/>
      <c r="V214" s="77"/>
      <c r="W214"/>
      <c r="X214"/>
      <c r="Z214"/>
    </row>
    <row r="215" spans="2:26" ht="20" customHeight="1" x14ac:dyDescent="0.35">
      <c r="B215"/>
      <c r="C215"/>
      <c r="D215"/>
      <c r="E215"/>
      <c r="F215"/>
      <c r="G215"/>
      <c r="H215"/>
      <c r="I215"/>
      <c r="J215"/>
      <c r="K215"/>
      <c r="L215"/>
      <c r="M215"/>
      <c r="N215"/>
      <c r="O215"/>
      <c r="P215"/>
      <c r="Q215"/>
      <c r="R215"/>
      <c r="S215"/>
      <c r="T215"/>
      <c r="U215"/>
      <c r="V215" s="77"/>
      <c r="W215"/>
      <c r="X215"/>
      <c r="Z215"/>
    </row>
    <row r="216" spans="2:26" ht="20" customHeight="1" x14ac:dyDescent="0.35">
      <c r="B216"/>
      <c r="C216"/>
      <c r="D216"/>
      <c r="E216"/>
      <c r="F216"/>
      <c r="G216"/>
      <c r="H216"/>
      <c r="I216"/>
      <c r="J216"/>
      <c r="K216"/>
      <c r="L216"/>
      <c r="M216"/>
      <c r="N216"/>
      <c r="O216"/>
      <c r="P216"/>
      <c r="Q216"/>
      <c r="R216"/>
      <c r="S216"/>
      <c r="T216"/>
      <c r="U216"/>
      <c r="V216" s="77"/>
      <c r="W216"/>
      <c r="X216"/>
      <c r="Z216"/>
    </row>
    <row r="217" spans="2:26" ht="20" customHeight="1" x14ac:dyDescent="0.35">
      <c r="B217"/>
      <c r="C217"/>
      <c r="D217"/>
      <c r="E217"/>
      <c r="F217"/>
      <c r="G217"/>
      <c r="H217"/>
      <c r="I217"/>
      <c r="J217"/>
      <c r="K217"/>
      <c r="L217"/>
      <c r="M217"/>
      <c r="N217"/>
      <c r="O217"/>
      <c r="P217"/>
      <c r="Q217"/>
      <c r="R217"/>
      <c r="S217"/>
      <c r="T217"/>
      <c r="U217"/>
      <c r="V217" s="77"/>
      <c r="W217"/>
      <c r="X217"/>
      <c r="Z217"/>
    </row>
    <row r="218" spans="2:26" ht="20" customHeight="1" x14ac:dyDescent="0.35">
      <c r="B218"/>
      <c r="C218"/>
      <c r="D218"/>
      <c r="E218"/>
      <c r="F218"/>
      <c r="G218"/>
      <c r="H218"/>
      <c r="I218"/>
      <c r="J218"/>
      <c r="K218"/>
      <c r="L218"/>
      <c r="M218"/>
      <c r="N218"/>
      <c r="O218"/>
      <c r="P218"/>
      <c r="Q218"/>
      <c r="R218"/>
      <c r="S218"/>
      <c r="T218"/>
      <c r="U218"/>
      <c r="V218" s="77"/>
      <c r="W218"/>
      <c r="X218"/>
      <c r="Z218"/>
    </row>
    <row r="219" spans="2:26" ht="20" customHeight="1" x14ac:dyDescent="0.35">
      <c r="B219"/>
      <c r="C219"/>
      <c r="D219"/>
      <c r="E219"/>
      <c r="F219"/>
      <c r="G219"/>
      <c r="H219"/>
      <c r="I219"/>
      <c r="J219"/>
      <c r="K219"/>
      <c r="L219"/>
      <c r="M219"/>
      <c r="N219"/>
      <c r="O219"/>
      <c r="P219"/>
      <c r="Q219"/>
      <c r="R219"/>
      <c r="S219"/>
      <c r="T219"/>
      <c r="U219"/>
      <c r="V219" s="77"/>
      <c r="W219"/>
      <c r="X219"/>
      <c r="Z219"/>
    </row>
    <row r="220" spans="2:26" ht="20" customHeight="1" x14ac:dyDescent="0.35">
      <c r="B220"/>
      <c r="C220"/>
      <c r="D220"/>
      <c r="E220"/>
      <c r="F220"/>
      <c r="G220"/>
      <c r="H220"/>
      <c r="I220"/>
      <c r="J220"/>
      <c r="K220"/>
      <c r="L220"/>
      <c r="M220"/>
      <c r="N220"/>
      <c r="O220"/>
      <c r="P220"/>
      <c r="Q220"/>
      <c r="R220"/>
      <c r="S220"/>
      <c r="T220"/>
      <c r="U220"/>
      <c r="V220" s="77"/>
      <c r="W220"/>
      <c r="X220"/>
      <c r="Z220"/>
    </row>
    <row r="221" spans="2:26" ht="20" customHeight="1" x14ac:dyDescent="0.35">
      <c r="B221"/>
      <c r="C221"/>
      <c r="D221"/>
      <c r="E221"/>
      <c r="F221"/>
      <c r="G221"/>
      <c r="H221"/>
      <c r="I221"/>
      <c r="J221"/>
      <c r="K221"/>
      <c r="L221"/>
      <c r="M221"/>
      <c r="N221"/>
      <c r="O221"/>
      <c r="P221"/>
      <c r="Q221"/>
      <c r="R221"/>
      <c r="S221"/>
      <c r="T221"/>
      <c r="U221"/>
      <c r="V221" s="77"/>
      <c r="W221"/>
      <c r="X221"/>
      <c r="Z221"/>
    </row>
    <row r="222" spans="2:26" ht="20" customHeight="1" x14ac:dyDescent="0.35">
      <c r="B222"/>
      <c r="C222"/>
      <c r="D222"/>
      <c r="E222"/>
      <c r="F222"/>
      <c r="G222"/>
      <c r="H222"/>
      <c r="I222"/>
      <c r="J222"/>
      <c r="K222"/>
      <c r="L222"/>
      <c r="M222"/>
      <c r="N222"/>
      <c r="O222"/>
      <c r="P222"/>
      <c r="Q222"/>
      <c r="R222"/>
      <c r="S222"/>
      <c r="T222"/>
      <c r="U222"/>
      <c r="V222" s="77"/>
      <c r="W222"/>
      <c r="X222"/>
      <c r="Z222"/>
    </row>
    <row r="223" spans="2:26" ht="20" customHeight="1" x14ac:dyDescent="0.35">
      <c r="B223"/>
      <c r="C223"/>
      <c r="D223"/>
      <c r="E223"/>
      <c r="F223"/>
      <c r="G223"/>
      <c r="H223"/>
      <c r="I223"/>
      <c r="J223"/>
      <c r="K223"/>
      <c r="L223"/>
      <c r="M223"/>
      <c r="N223"/>
      <c r="O223"/>
      <c r="P223"/>
      <c r="Q223"/>
      <c r="R223"/>
      <c r="S223"/>
      <c r="T223"/>
      <c r="U223"/>
      <c r="V223" s="77"/>
      <c r="W223"/>
      <c r="X223"/>
      <c r="Z223"/>
    </row>
    <row r="224" spans="2:26" ht="20" customHeight="1" x14ac:dyDescent="0.35">
      <c r="B224"/>
      <c r="C224"/>
      <c r="D224"/>
      <c r="E224"/>
      <c r="F224"/>
      <c r="G224"/>
      <c r="H224"/>
      <c r="I224"/>
      <c r="J224"/>
      <c r="K224"/>
      <c r="L224"/>
      <c r="M224"/>
      <c r="N224"/>
      <c r="O224"/>
      <c r="P224"/>
      <c r="Q224"/>
      <c r="R224"/>
      <c r="S224"/>
      <c r="T224"/>
      <c r="U224"/>
      <c r="V224" s="77"/>
      <c r="W224"/>
      <c r="X224"/>
      <c r="Z224"/>
    </row>
    <row r="225" spans="2:26" ht="20" customHeight="1" x14ac:dyDescent="0.35">
      <c r="B225"/>
      <c r="C225"/>
      <c r="D225"/>
      <c r="E225"/>
      <c r="F225"/>
      <c r="G225"/>
      <c r="H225"/>
      <c r="I225"/>
      <c r="J225"/>
      <c r="K225"/>
      <c r="L225"/>
      <c r="M225"/>
      <c r="N225"/>
      <c r="O225"/>
      <c r="P225"/>
      <c r="Q225"/>
      <c r="R225"/>
      <c r="S225"/>
      <c r="T225"/>
      <c r="U225"/>
      <c r="V225" s="77"/>
      <c r="W225"/>
      <c r="X225"/>
      <c r="Z225"/>
    </row>
    <row r="226" spans="2:26" ht="20" customHeight="1" x14ac:dyDescent="0.35">
      <c r="B226"/>
      <c r="C226"/>
      <c r="D226"/>
      <c r="E226"/>
      <c r="F226"/>
      <c r="G226"/>
      <c r="H226"/>
      <c r="I226"/>
      <c r="J226"/>
      <c r="K226"/>
      <c r="L226"/>
      <c r="M226"/>
      <c r="N226"/>
      <c r="O226"/>
      <c r="P226"/>
      <c r="Q226"/>
      <c r="R226"/>
      <c r="S226"/>
      <c r="T226"/>
      <c r="U226"/>
      <c r="V226" s="77"/>
      <c r="W226"/>
      <c r="X226"/>
      <c r="Z226"/>
    </row>
    <row r="227" spans="2:26" ht="20" customHeight="1" x14ac:dyDescent="0.35">
      <c r="B227"/>
      <c r="C227"/>
      <c r="D227"/>
      <c r="E227"/>
      <c r="F227"/>
      <c r="G227"/>
      <c r="H227"/>
      <c r="I227"/>
      <c r="J227"/>
      <c r="K227"/>
      <c r="L227"/>
      <c r="M227"/>
      <c r="N227"/>
      <c r="O227"/>
      <c r="P227"/>
      <c r="Q227"/>
      <c r="R227"/>
      <c r="S227"/>
      <c r="T227"/>
      <c r="U227"/>
      <c r="V227" s="77"/>
      <c r="W227"/>
      <c r="X227"/>
      <c r="Z227"/>
    </row>
    <row r="228" spans="2:26" ht="20" customHeight="1" x14ac:dyDescent="0.35">
      <c r="B228"/>
      <c r="C228"/>
      <c r="D228"/>
      <c r="E228"/>
      <c r="F228"/>
      <c r="G228"/>
      <c r="H228"/>
      <c r="I228"/>
      <c r="J228"/>
      <c r="K228"/>
      <c r="L228"/>
      <c r="M228"/>
      <c r="N228"/>
      <c r="O228"/>
      <c r="P228"/>
      <c r="Q228"/>
      <c r="R228"/>
      <c r="S228"/>
      <c r="T228"/>
      <c r="U228"/>
      <c r="V228" s="77"/>
      <c r="W228"/>
      <c r="X228"/>
      <c r="Z228"/>
    </row>
    <row r="229" spans="2:26" ht="20" customHeight="1" x14ac:dyDescent="0.35">
      <c r="B229"/>
      <c r="C229"/>
      <c r="D229"/>
      <c r="E229"/>
      <c r="F229"/>
      <c r="G229"/>
      <c r="H229"/>
      <c r="I229"/>
      <c r="J229"/>
      <c r="K229"/>
      <c r="L229"/>
      <c r="M229"/>
      <c r="N229"/>
      <c r="O229"/>
      <c r="P229"/>
      <c r="Q229"/>
      <c r="R229"/>
      <c r="S229"/>
      <c r="T229"/>
      <c r="U229"/>
      <c r="V229" s="77"/>
      <c r="W229"/>
      <c r="X229"/>
      <c r="Z229"/>
    </row>
    <row r="230" spans="2:26" ht="20" customHeight="1" x14ac:dyDescent="0.35">
      <c r="B230"/>
      <c r="C230"/>
      <c r="D230"/>
      <c r="E230"/>
      <c r="F230"/>
      <c r="G230"/>
      <c r="H230"/>
      <c r="I230"/>
      <c r="J230"/>
      <c r="K230"/>
      <c r="L230"/>
      <c r="M230"/>
      <c r="N230"/>
      <c r="O230"/>
      <c r="P230"/>
      <c r="Q230"/>
      <c r="R230"/>
      <c r="S230"/>
      <c r="T230"/>
      <c r="U230"/>
      <c r="V230" s="77"/>
      <c r="W230"/>
      <c r="X230"/>
      <c r="Z230"/>
    </row>
    <row r="231" spans="2:26" ht="20" customHeight="1" x14ac:dyDescent="0.35">
      <c r="B231"/>
      <c r="C231"/>
      <c r="D231"/>
      <c r="E231"/>
      <c r="F231"/>
      <c r="G231"/>
      <c r="H231"/>
      <c r="I231"/>
      <c r="J231"/>
      <c r="K231"/>
      <c r="L231"/>
      <c r="M231"/>
      <c r="N231"/>
      <c r="O231"/>
      <c r="P231"/>
      <c r="Q231"/>
      <c r="R231"/>
      <c r="S231"/>
      <c r="T231"/>
      <c r="U231"/>
      <c r="V231" s="77"/>
      <c r="W231"/>
      <c r="X231"/>
      <c r="Z231"/>
    </row>
    <row r="232" spans="2:26" ht="20" customHeight="1" x14ac:dyDescent="0.35">
      <c r="B232"/>
      <c r="C232"/>
      <c r="D232"/>
      <c r="E232"/>
      <c r="F232"/>
      <c r="G232"/>
      <c r="H232"/>
      <c r="I232"/>
      <c r="J232"/>
      <c r="K232"/>
      <c r="L232"/>
      <c r="M232"/>
      <c r="N232"/>
      <c r="O232"/>
      <c r="P232"/>
      <c r="Q232"/>
      <c r="R232"/>
      <c r="S232"/>
      <c r="T232"/>
      <c r="U232"/>
      <c r="V232" s="77"/>
      <c r="W232"/>
      <c r="X232"/>
      <c r="Z232"/>
    </row>
    <row r="233" spans="2:26" ht="20" customHeight="1" x14ac:dyDescent="0.35">
      <c r="B233"/>
      <c r="C233"/>
      <c r="D233"/>
      <c r="E233"/>
      <c r="F233"/>
      <c r="G233"/>
      <c r="H233"/>
      <c r="I233"/>
      <c r="J233"/>
      <c r="K233"/>
      <c r="L233"/>
      <c r="M233"/>
      <c r="N233"/>
      <c r="O233"/>
      <c r="P233"/>
      <c r="Q233"/>
      <c r="R233"/>
      <c r="S233"/>
      <c r="T233"/>
      <c r="U233"/>
      <c r="V233" s="77"/>
      <c r="W233"/>
      <c r="X233"/>
      <c r="Z233"/>
    </row>
    <row r="234" spans="2:26" ht="20" customHeight="1" x14ac:dyDescent="0.35">
      <c r="B234"/>
      <c r="C234"/>
      <c r="D234"/>
      <c r="E234"/>
      <c r="F234"/>
      <c r="G234"/>
      <c r="H234"/>
      <c r="I234"/>
      <c r="J234"/>
      <c r="K234"/>
      <c r="L234"/>
      <c r="M234"/>
      <c r="N234"/>
      <c r="O234"/>
      <c r="P234"/>
      <c r="Q234"/>
      <c r="R234"/>
      <c r="S234"/>
      <c r="T234"/>
      <c r="U234"/>
      <c r="V234" s="77"/>
      <c r="W234"/>
      <c r="X234"/>
      <c r="Z234"/>
    </row>
    <row r="235" spans="2:26" ht="20" customHeight="1" x14ac:dyDescent="0.35">
      <c r="B235"/>
      <c r="C235"/>
      <c r="D235"/>
      <c r="E235"/>
      <c r="F235"/>
      <c r="G235"/>
      <c r="H235"/>
      <c r="I235"/>
      <c r="J235"/>
      <c r="K235"/>
      <c r="L235"/>
      <c r="M235"/>
      <c r="N235"/>
      <c r="O235"/>
      <c r="P235"/>
      <c r="Q235"/>
      <c r="R235"/>
      <c r="S235"/>
      <c r="T235"/>
      <c r="U235"/>
      <c r="V235" s="77"/>
      <c r="W235"/>
      <c r="X235"/>
      <c r="Z235"/>
    </row>
    <row r="236" spans="2:26" ht="20" customHeight="1" x14ac:dyDescent="0.35">
      <c r="B236"/>
      <c r="C236"/>
      <c r="D236"/>
      <c r="E236"/>
      <c r="F236"/>
      <c r="G236"/>
      <c r="H236"/>
      <c r="I236"/>
      <c r="J236"/>
      <c r="K236"/>
      <c r="L236"/>
      <c r="M236"/>
      <c r="N236"/>
      <c r="O236"/>
      <c r="P236"/>
      <c r="Q236"/>
      <c r="R236"/>
      <c r="S236"/>
      <c r="T236"/>
      <c r="U236"/>
      <c r="V236" s="77"/>
      <c r="W236"/>
      <c r="X236"/>
      <c r="Z236"/>
    </row>
    <row r="237" spans="2:26" ht="20" customHeight="1" x14ac:dyDescent="0.35">
      <c r="B237"/>
      <c r="C237"/>
      <c r="D237"/>
      <c r="E237"/>
      <c r="F237"/>
      <c r="G237"/>
      <c r="H237"/>
      <c r="I237"/>
      <c r="J237"/>
      <c r="K237"/>
      <c r="L237"/>
      <c r="M237"/>
      <c r="N237"/>
      <c r="O237"/>
      <c r="P237"/>
      <c r="Q237"/>
      <c r="R237"/>
      <c r="S237"/>
      <c r="T237"/>
      <c r="U237"/>
      <c r="V237" s="77"/>
      <c r="W237"/>
      <c r="X237"/>
      <c r="Z237"/>
    </row>
    <row r="238" spans="2:26" ht="20" customHeight="1" x14ac:dyDescent="0.35">
      <c r="B238"/>
      <c r="C238"/>
      <c r="D238"/>
      <c r="E238"/>
      <c r="F238"/>
      <c r="G238"/>
      <c r="H238"/>
      <c r="I238"/>
      <c r="J238"/>
      <c r="K238"/>
      <c r="L238"/>
      <c r="M238"/>
      <c r="N238"/>
      <c r="O238"/>
      <c r="P238"/>
      <c r="Q238"/>
      <c r="R238"/>
      <c r="S238"/>
      <c r="T238"/>
      <c r="U238"/>
      <c r="V238" s="77"/>
      <c r="W238"/>
      <c r="X238"/>
      <c r="Z238"/>
    </row>
    <row r="239" spans="2:26" ht="20" customHeight="1" x14ac:dyDescent="0.35">
      <c r="B239"/>
      <c r="C239"/>
      <c r="D239"/>
      <c r="E239"/>
      <c r="F239"/>
      <c r="G239"/>
      <c r="H239"/>
      <c r="I239"/>
      <c r="J239"/>
      <c r="K239"/>
      <c r="L239"/>
      <c r="M239"/>
      <c r="N239"/>
      <c r="O239"/>
      <c r="P239"/>
      <c r="Q239"/>
      <c r="R239"/>
      <c r="S239"/>
      <c r="T239"/>
      <c r="U239"/>
      <c r="V239" s="77"/>
      <c r="W239"/>
      <c r="X239"/>
      <c r="Z239"/>
    </row>
    <row r="240" spans="2:26" ht="20" customHeight="1" x14ac:dyDescent="0.35">
      <c r="B240"/>
      <c r="C240"/>
      <c r="D240"/>
      <c r="E240"/>
      <c r="F240"/>
      <c r="G240"/>
      <c r="H240"/>
      <c r="I240"/>
      <c r="J240"/>
      <c r="K240"/>
      <c r="L240"/>
      <c r="M240"/>
      <c r="N240"/>
      <c r="O240"/>
      <c r="P240"/>
      <c r="Q240"/>
      <c r="R240"/>
      <c r="S240"/>
      <c r="T240"/>
      <c r="U240"/>
      <c r="V240" s="77"/>
      <c r="W240"/>
      <c r="X240"/>
      <c r="Z240"/>
    </row>
    <row r="241" spans="2:26" ht="20" customHeight="1" x14ac:dyDescent="0.35">
      <c r="B241"/>
      <c r="C241"/>
      <c r="D241"/>
      <c r="E241"/>
      <c r="F241"/>
      <c r="G241"/>
      <c r="H241"/>
      <c r="I241"/>
      <c r="J241"/>
      <c r="K241"/>
      <c r="L241"/>
      <c r="M241"/>
      <c r="N241"/>
      <c r="O241"/>
      <c r="P241"/>
      <c r="Q241"/>
      <c r="R241"/>
      <c r="S241"/>
      <c r="T241"/>
      <c r="U241"/>
      <c r="V241" s="77"/>
      <c r="W241"/>
      <c r="X241"/>
      <c r="Z241"/>
    </row>
    <row r="242" spans="2:26" ht="20" customHeight="1" x14ac:dyDescent="0.35">
      <c r="B242"/>
      <c r="C242"/>
      <c r="D242"/>
      <c r="E242"/>
      <c r="F242"/>
      <c r="G242"/>
      <c r="H242"/>
      <c r="I242"/>
      <c r="J242"/>
      <c r="K242"/>
      <c r="L242"/>
      <c r="M242"/>
      <c r="N242"/>
      <c r="O242"/>
      <c r="P242"/>
      <c r="Q242"/>
      <c r="R242"/>
      <c r="S242"/>
      <c r="T242"/>
      <c r="U242"/>
      <c r="V242" s="77"/>
      <c r="W242"/>
      <c r="X242"/>
      <c r="Z242"/>
    </row>
    <row r="243" spans="2:26" ht="20" customHeight="1" x14ac:dyDescent="0.35">
      <c r="B243"/>
      <c r="C243"/>
      <c r="D243"/>
      <c r="E243"/>
      <c r="F243"/>
      <c r="G243"/>
      <c r="H243"/>
      <c r="I243"/>
      <c r="J243"/>
      <c r="K243"/>
      <c r="L243"/>
      <c r="M243"/>
      <c r="N243"/>
      <c r="O243"/>
      <c r="P243"/>
      <c r="Q243"/>
      <c r="R243"/>
      <c r="S243"/>
      <c r="T243"/>
      <c r="U243"/>
      <c r="V243" s="77"/>
      <c r="W243"/>
      <c r="X243"/>
      <c r="Z243"/>
    </row>
    <row r="244" spans="2:26" ht="20" customHeight="1" x14ac:dyDescent="0.35">
      <c r="B244"/>
      <c r="C244"/>
      <c r="D244"/>
      <c r="E244"/>
      <c r="F244"/>
      <c r="G244"/>
      <c r="H244"/>
      <c r="I244"/>
      <c r="J244"/>
      <c r="K244"/>
      <c r="L244"/>
      <c r="M244"/>
      <c r="N244"/>
      <c r="O244"/>
      <c r="P244"/>
      <c r="Q244"/>
      <c r="R244"/>
      <c r="S244"/>
      <c r="T244"/>
      <c r="U244"/>
      <c r="V244" s="77"/>
      <c r="W244"/>
      <c r="X244"/>
      <c r="Z244"/>
    </row>
    <row r="245" spans="2:26" ht="20" customHeight="1" x14ac:dyDescent="0.35">
      <c r="B245"/>
      <c r="C245"/>
      <c r="D245"/>
      <c r="E245"/>
      <c r="F245"/>
      <c r="G245"/>
      <c r="H245"/>
      <c r="I245"/>
      <c r="J245"/>
      <c r="K245"/>
      <c r="L245"/>
      <c r="M245"/>
      <c r="N245"/>
      <c r="O245"/>
      <c r="P245"/>
      <c r="Q245"/>
      <c r="R245"/>
      <c r="S245"/>
      <c r="T245"/>
      <c r="U245"/>
      <c r="V245" s="77"/>
      <c r="W245"/>
      <c r="X245"/>
      <c r="Z245"/>
    </row>
    <row r="246" spans="2:26" ht="20" customHeight="1" x14ac:dyDescent="0.35">
      <c r="B246"/>
      <c r="C246"/>
      <c r="D246"/>
      <c r="E246"/>
      <c r="F246"/>
      <c r="G246"/>
      <c r="H246"/>
      <c r="I246"/>
      <c r="J246"/>
      <c r="K246"/>
      <c r="L246"/>
      <c r="M246"/>
      <c r="N246"/>
      <c r="O246"/>
      <c r="P246"/>
      <c r="Q246"/>
      <c r="R246"/>
      <c r="S246"/>
      <c r="T246"/>
      <c r="U246"/>
      <c r="V246" s="77"/>
      <c r="W246"/>
      <c r="X246"/>
      <c r="Z246"/>
    </row>
    <row r="247" spans="2:26" ht="20" customHeight="1" x14ac:dyDescent="0.35">
      <c r="B247"/>
      <c r="C247"/>
      <c r="D247"/>
      <c r="E247"/>
      <c r="F247"/>
      <c r="G247"/>
      <c r="H247"/>
      <c r="I247"/>
      <c r="J247"/>
      <c r="K247"/>
      <c r="L247"/>
      <c r="M247"/>
      <c r="N247"/>
      <c r="O247"/>
      <c r="P247"/>
      <c r="Q247"/>
      <c r="R247"/>
      <c r="S247"/>
      <c r="T247"/>
      <c r="U247"/>
      <c r="V247" s="77"/>
      <c r="W247"/>
      <c r="X247"/>
      <c r="Z247"/>
    </row>
    <row r="248" spans="2:26" ht="20" customHeight="1" x14ac:dyDescent="0.35">
      <c r="B248"/>
      <c r="C248"/>
      <c r="D248"/>
      <c r="E248"/>
      <c r="F248"/>
      <c r="G248"/>
      <c r="H248"/>
      <c r="I248"/>
      <c r="J248"/>
      <c r="K248"/>
      <c r="L248"/>
      <c r="M248"/>
      <c r="N248"/>
      <c r="O248"/>
      <c r="P248"/>
      <c r="Q248"/>
      <c r="R248"/>
      <c r="S248"/>
      <c r="T248"/>
      <c r="U248"/>
      <c r="V248" s="77"/>
      <c r="W248"/>
      <c r="X248"/>
      <c r="Z248"/>
    </row>
    <row r="249" spans="2:26" ht="20" customHeight="1" x14ac:dyDescent="0.35">
      <c r="B249"/>
      <c r="C249"/>
      <c r="D249"/>
      <c r="E249"/>
      <c r="F249"/>
      <c r="G249"/>
      <c r="H249"/>
      <c r="I249"/>
      <c r="J249"/>
      <c r="K249"/>
      <c r="L249"/>
      <c r="M249"/>
      <c r="N249"/>
      <c r="O249"/>
      <c r="P249"/>
      <c r="Q249"/>
      <c r="R249"/>
      <c r="S249"/>
      <c r="T249"/>
      <c r="U249"/>
      <c r="V249" s="77"/>
      <c r="W249"/>
      <c r="X249"/>
      <c r="Z249"/>
    </row>
    <row r="250" spans="2:26" ht="20" customHeight="1" x14ac:dyDescent="0.35">
      <c r="B250"/>
      <c r="C250"/>
      <c r="D250"/>
      <c r="E250"/>
      <c r="F250"/>
      <c r="G250"/>
      <c r="H250"/>
      <c r="I250"/>
      <c r="J250"/>
      <c r="K250"/>
      <c r="L250"/>
      <c r="M250"/>
      <c r="N250"/>
      <c r="O250"/>
      <c r="P250"/>
      <c r="Q250"/>
      <c r="R250"/>
      <c r="S250"/>
      <c r="T250"/>
      <c r="U250"/>
      <c r="V250" s="77"/>
      <c r="W250"/>
      <c r="X250"/>
      <c r="Z250"/>
    </row>
    <row r="251" spans="2:26" ht="20" customHeight="1" x14ac:dyDescent="0.35">
      <c r="B251"/>
      <c r="C251"/>
      <c r="D251"/>
      <c r="E251"/>
      <c r="F251"/>
      <c r="G251"/>
      <c r="H251"/>
      <c r="I251"/>
      <c r="J251"/>
      <c r="K251"/>
      <c r="L251"/>
      <c r="M251"/>
      <c r="N251"/>
      <c r="O251"/>
      <c r="P251"/>
      <c r="Q251"/>
      <c r="R251"/>
      <c r="S251"/>
      <c r="T251"/>
      <c r="U251"/>
      <c r="V251" s="77"/>
      <c r="W251"/>
      <c r="X251"/>
      <c r="Z251"/>
    </row>
    <row r="252" spans="2:26" ht="20" customHeight="1" x14ac:dyDescent="0.35">
      <c r="B252"/>
      <c r="C252"/>
      <c r="D252"/>
      <c r="E252"/>
      <c r="F252"/>
      <c r="G252"/>
      <c r="H252"/>
      <c r="I252"/>
      <c r="J252"/>
      <c r="K252"/>
      <c r="L252"/>
      <c r="M252"/>
      <c r="N252"/>
      <c r="O252"/>
      <c r="P252"/>
      <c r="Q252"/>
      <c r="R252"/>
      <c r="S252"/>
      <c r="T252"/>
      <c r="U252"/>
      <c r="V252" s="77"/>
      <c r="W252"/>
      <c r="X252"/>
      <c r="Z252"/>
    </row>
    <row r="253" spans="2:26" ht="20" customHeight="1" x14ac:dyDescent="0.35">
      <c r="B253"/>
      <c r="C253"/>
      <c r="D253"/>
      <c r="E253"/>
      <c r="F253"/>
      <c r="G253"/>
      <c r="H253"/>
      <c r="I253"/>
      <c r="J253"/>
      <c r="K253"/>
      <c r="L253"/>
      <c r="M253"/>
      <c r="N253"/>
      <c r="O253"/>
      <c r="P253"/>
      <c r="Q253"/>
      <c r="R253"/>
      <c r="S253"/>
      <c r="T253"/>
      <c r="U253"/>
      <c r="V253" s="77"/>
      <c r="W253"/>
      <c r="X253"/>
      <c r="Z253"/>
    </row>
    <row r="254" spans="2:26" ht="20" customHeight="1" x14ac:dyDescent="0.35">
      <c r="B254"/>
      <c r="C254"/>
      <c r="D254"/>
      <c r="E254"/>
      <c r="F254"/>
      <c r="G254"/>
      <c r="H254"/>
      <c r="I254"/>
      <c r="J254"/>
      <c r="K254"/>
      <c r="L254"/>
      <c r="M254"/>
      <c r="N254"/>
      <c r="O254"/>
      <c r="P254"/>
      <c r="Q254"/>
      <c r="R254"/>
      <c r="S254"/>
      <c r="T254"/>
      <c r="U254"/>
      <c r="V254" s="77"/>
      <c r="W254"/>
      <c r="X254"/>
      <c r="Z254"/>
    </row>
    <row r="255" spans="2:26" ht="20" customHeight="1" x14ac:dyDescent="0.35">
      <c r="B255"/>
      <c r="C255"/>
      <c r="D255"/>
      <c r="E255"/>
      <c r="F255"/>
      <c r="G255"/>
      <c r="H255"/>
      <c r="I255"/>
      <c r="J255"/>
      <c r="K255"/>
      <c r="L255"/>
      <c r="M255"/>
      <c r="N255"/>
      <c r="O255"/>
      <c r="P255"/>
      <c r="Q255"/>
      <c r="R255"/>
      <c r="S255"/>
      <c r="T255"/>
      <c r="U255"/>
      <c r="V255" s="77"/>
      <c r="W255"/>
      <c r="X255"/>
      <c r="Z255"/>
    </row>
    <row r="256" spans="2:26" ht="20" customHeight="1" x14ac:dyDescent="0.35">
      <c r="B256"/>
      <c r="C256"/>
      <c r="D256"/>
      <c r="E256"/>
      <c r="F256"/>
      <c r="G256"/>
      <c r="H256"/>
      <c r="I256"/>
      <c r="J256"/>
      <c r="K256"/>
      <c r="L256"/>
      <c r="M256"/>
      <c r="N256"/>
      <c r="O256"/>
      <c r="P256"/>
      <c r="Q256"/>
      <c r="R256"/>
      <c r="S256"/>
      <c r="T256"/>
      <c r="U256"/>
      <c r="V256" s="77"/>
      <c r="W256"/>
      <c r="X256"/>
      <c r="Z256"/>
    </row>
    <row r="257" spans="2:26" ht="20" customHeight="1" x14ac:dyDescent="0.35">
      <c r="B257"/>
      <c r="C257"/>
      <c r="D257"/>
      <c r="E257"/>
      <c r="F257"/>
      <c r="G257"/>
      <c r="H257"/>
      <c r="I257"/>
      <c r="J257"/>
      <c r="K257"/>
      <c r="L257"/>
      <c r="M257"/>
      <c r="N257"/>
      <c r="O257"/>
      <c r="P257"/>
      <c r="Q257"/>
      <c r="R257"/>
      <c r="S257"/>
      <c r="T257"/>
      <c r="U257"/>
      <c r="V257" s="77"/>
      <c r="W257"/>
      <c r="X257"/>
      <c r="Z257"/>
    </row>
    <row r="258" spans="2:26" ht="20" customHeight="1" x14ac:dyDescent="0.35">
      <c r="B258"/>
      <c r="C258"/>
      <c r="D258"/>
      <c r="E258"/>
      <c r="F258"/>
      <c r="G258"/>
      <c r="H258"/>
      <c r="I258"/>
      <c r="J258"/>
      <c r="K258"/>
      <c r="L258"/>
      <c r="M258"/>
      <c r="N258"/>
      <c r="O258"/>
      <c r="P258"/>
      <c r="Q258"/>
      <c r="R258"/>
      <c r="S258"/>
      <c r="T258"/>
      <c r="U258"/>
      <c r="V258" s="77"/>
      <c r="W258"/>
      <c r="X258"/>
      <c r="Z258"/>
    </row>
    <row r="259" spans="2:26" ht="20" customHeight="1" x14ac:dyDescent="0.35">
      <c r="B259"/>
      <c r="C259"/>
      <c r="D259"/>
      <c r="E259"/>
      <c r="F259"/>
      <c r="G259"/>
      <c r="H259"/>
      <c r="I259"/>
      <c r="J259"/>
      <c r="K259"/>
      <c r="L259"/>
      <c r="M259"/>
      <c r="N259"/>
      <c r="O259"/>
      <c r="P259"/>
      <c r="Q259"/>
      <c r="R259"/>
      <c r="S259"/>
      <c r="T259"/>
      <c r="U259"/>
      <c r="V259" s="77"/>
      <c r="W259"/>
      <c r="X259"/>
      <c r="Z259"/>
    </row>
    <row r="260" spans="2:26" ht="20" customHeight="1" x14ac:dyDescent="0.35">
      <c r="B260"/>
      <c r="C260"/>
      <c r="D260"/>
      <c r="E260"/>
      <c r="F260"/>
      <c r="G260"/>
      <c r="H260"/>
      <c r="I260"/>
      <c r="J260"/>
      <c r="K260"/>
      <c r="L260"/>
      <c r="M260"/>
      <c r="N260"/>
      <c r="O260"/>
      <c r="P260"/>
      <c r="Q260"/>
      <c r="R260"/>
      <c r="S260"/>
      <c r="T260"/>
      <c r="U260"/>
      <c r="V260" s="77"/>
      <c r="W260"/>
      <c r="X260"/>
      <c r="Z260"/>
    </row>
    <row r="261" spans="2:26" ht="20" customHeight="1" x14ac:dyDescent="0.35">
      <c r="B261"/>
      <c r="C261"/>
      <c r="D261"/>
      <c r="E261"/>
      <c r="F261"/>
      <c r="G261"/>
      <c r="H261"/>
      <c r="I261"/>
      <c r="J261"/>
      <c r="K261"/>
      <c r="L261"/>
      <c r="M261"/>
      <c r="N261"/>
      <c r="O261"/>
      <c r="P261"/>
      <c r="Q261"/>
      <c r="R261"/>
      <c r="S261"/>
      <c r="T261"/>
      <c r="U261"/>
      <c r="V261" s="77"/>
      <c r="W261"/>
      <c r="X261"/>
      <c r="Z261"/>
    </row>
    <row r="262" spans="2:26" ht="20" customHeight="1" x14ac:dyDescent="0.35">
      <c r="B262"/>
      <c r="C262"/>
      <c r="D262"/>
      <c r="E262"/>
      <c r="F262"/>
      <c r="G262"/>
      <c r="H262"/>
      <c r="I262"/>
      <c r="J262"/>
      <c r="K262"/>
      <c r="L262"/>
      <c r="M262"/>
      <c r="N262"/>
      <c r="O262"/>
      <c r="P262"/>
      <c r="Q262"/>
      <c r="R262"/>
      <c r="S262"/>
      <c r="T262"/>
      <c r="U262"/>
      <c r="V262" s="77"/>
      <c r="W262"/>
      <c r="X262"/>
      <c r="Z262"/>
    </row>
    <row r="263" spans="2:26" ht="20" customHeight="1" x14ac:dyDescent="0.35">
      <c r="B263"/>
      <c r="C263"/>
      <c r="D263"/>
      <c r="E263"/>
      <c r="F263"/>
      <c r="G263"/>
      <c r="H263"/>
      <c r="I263"/>
      <c r="J263"/>
      <c r="K263"/>
      <c r="L263"/>
      <c r="M263"/>
      <c r="N263"/>
      <c r="O263"/>
      <c r="P263"/>
      <c r="Q263"/>
      <c r="R263"/>
      <c r="S263"/>
      <c r="T263"/>
      <c r="U263"/>
      <c r="V263" s="77"/>
      <c r="W263"/>
      <c r="X263"/>
      <c r="Z263"/>
    </row>
    <row r="264" spans="2:26" ht="20" customHeight="1" x14ac:dyDescent="0.35">
      <c r="B264"/>
      <c r="C264"/>
      <c r="D264"/>
      <c r="E264"/>
      <c r="F264"/>
      <c r="G264"/>
      <c r="H264"/>
      <c r="I264"/>
      <c r="J264"/>
      <c r="K264"/>
      <c r="L264"/>
      <c r="M264"/>
      <c r="N264"/>
      <c r="O264"/>
      <c r="P264"/>
      <c r="Q264"/>
      <c r="R264"/>
      <c r="S264"/>
      <c r="T264"/>
      <c r="U264"/>
      <c r="V264" s="77"/>
      <c r="W264"/>
      <c r="X264"/>
      <c r="Z264"/>
    </row>
    <row r="265" spans="2:26" ht="20" customHeight="1" x14ac:dyDescent="0.35">
      <c r="B265"/>
      <c r="C265"/>
      <c r="D265"/>
      <c r="E265"/>
      <c r="F265"/>
      <c r="G265"/>
      <c r="H265"/>
      <c r="I265"/>
      <c r="J265"/>
      <c r="K265"/>
      <c r="L265"/>
      <c r="M265"/>
      <c r="N265"/>
      <c r="O265"/>
      <c r="P265"/>
      <c r="Q265"/>
      <c r="R265"/>
      <c r="S265"/>
      <c r="T265"/>
      <c r="U265"/>
      <c r="V265" s="77"/>
      <c r="W265"/>
      <c r="X265"/>
      <c r="Z265"/>
    </row>
    <row r="266" spans="2:26" ht="20" customHeight="1" x14ac:dyDescent="0.35">
      <c r="B266"/>
      <c r="C266"/>
      <c r="D266"/>
      <c r="E266"/>
      <c r="F266"/>
      <c r="G266"/>
      <c r="H266"/>
      <c r="I266"/>
      <c r="J266"/>
      <c r="K266"/>
      <c r="L266"/>
      <c r="M266"/>
      <c r="N266"/>
      <c r="O266"/>
      <c r="P266"/>
      <c r="Q266"/>
      <c r="R266"/>
      <c r="S266"/>
      <c r="T266"/>
      <c r="U266"/>
      <c r="V266" s="77"/>
      <c r="W266"/>
      <c r="X266"/>
      <c r="Z266"/>
    </row>
    <row r="267" spans="2:26" ht="20" customHeight="1" x14ac:dyDescent="0.35">
      <c r="B267"/>
      <c r="C267"/>
      <c r="D267"/>
      <c r="E267"/>
      <c r="F267"/>
      <c r="G267"/>
      <c r="H267"/>
      <c r="I267"/>
      <c r="J267"/>
      <c r="K267"/>
      <c r="L267"/>
      <c r="M267"/>
      <c r="N267"/>
      <c r="O267"/>
      <c r="P267"/>
      <c r="Q267"/>
      <c r="R267"/>
      <c r="S267"/>
      <c r="T267"/>
      <c r="U267"/>
      <c r="V267" s="77"/>
      <c r="W267"/>
      <c r="X267"/>
      <c r="Z267"/>
    </row>
    <row r="268" spans="2:26" ht="20" customHeight="1" x14ac:dyDescent="0.35">
      <c r="B268"/>
      <c r="C268"/>
      <c r="D268"/>
      <c r="E268"/>
      <c r="F268"/>
      <c r="G268"/>
      <c r="H268"/>
      <c r="I268"/>
      <c r="J268"/>
      <c r="K268"/>
      <c r="L268"/>
      <c r="M268"/>
      <c r="N268"/>
      <c r="O268"/>
      <c r="P268"/>
      <c r="Q268"/>
      <c r="R268"/>
      <c r="S268"/>
      <c r="T268"/>
      <c r="U268"/>
      <c r="V268" s="77"/>
      <c r="W268"/>
      <c r="X268"/>
      <c r="Z268"/>
    </row>
    <row r="269" spans="2:26" ht="20" customHeight="1" x14ac:dyDescent="0.35">
      <c r="B269"/>
      <c r="C269"/>
      <c r="D269"/>
      <c r="E269"/>
      <c r="F269"/>
      <c r="G269"/>
      <c r="H269"/>
      <c r="I269"/>
      <c r="J269"/>
      <c r="K269"/>
      <c r="L269"/>
      <c r="M269"/>
      <c r="N269"/>
      <c r="O269"/>
      <c r="P269"/>
      <c r="Q269"/>
      <c r="R269"/>
      <c r="S269"/>
      <c r="T269"/>
      <c r="U269"/>
      <c r="V269" s="77"/>
      <c r="W269"/>
      <c r="X269"/>
      <c r="Z269"/>
    </row>
    <row r="270" spans="2:26" ht="20" customHeight="1" x14ac:dyDescent="0.35">
      <c r="B270"/>
      <c r="C270"/>
      <c r="D270"/>
      <c r="E270"/>
      <c r="F270"/>
      <c r="G270"/>
      <c r="H270"/>
      <c r="I270"/>
      <c r="J270"/>
      <c r="K270"/>
      <c r="L270"/>
      <c r="M270"/>
      <c r="N270"/>
      <c r="O270"/>
      <c r="P270"/>
      <c r="Q270"/>
      <c r="R270"/>
      <c r="S270"/>
      <c r="T270"/>
      <c r="U270"/>
      <c r="V270" s="77"/>
      <c r="W270"/>
      <c r="X270"/>
      <c r="Z270"/>
    </row>
    <row r="271" spans="2:26" ht="20" customHeight="1" x14ac:dyDescent="0.35">
      <c r="B271"/>
      <c r="C271"/>
      <c r="D271"/>
      <c r="E271"/>
      <c r="F271"/>
      <c r="G271"/>
      <c r="H271"/>
      <c r="I271"/>
      <c r="J271"/>
      <c r="K271"/>
      <c r="L271"/>
      <c r="M271"/>
      <c r="N271"/>
      <c r="O271"/>
      <c r="P271"/>
      <c r="Q271"/>
      <c r="R271"/>
      <c r="S271"/>
      <c r="T271"/>
      <c r="U271"/>
      <c r="V271" s="77"/>
      <c r="W271"/>
      <c r="X271"/>
      <c r="Z271"/>
    </row>
    <row r="272" spans="2:26" ht="20" customHeight="1" x14ac:dyDescent="0.35">
      <c r="B272"/>
      <c r="C272"/>
      <c r="D272"/>
      <c r="E272"/>
      <c r="F272"/>
      <c r="G272"/>
      <c r="H272"/>
      <c r="I272"/>
      <c r="J272"/>
      <c r="K272"/>
      <c r="L272"/>
      <c r="M272"/>
      <c r="N272"/>
      <c r="O272"/>
      <c r="P272"/>
      <c r="Q272"/>
      <c r="R272"/>
      <c r="S272"/>
      <c r="T272"/>
      <c r="U272"/>
      <c r="V272" s="77"/>
      <c r="W272"/>
      <c r="X272"/>
      <c r="Z272"/>
    </row>
    <row r="273" spans="2:26" ht="20" customHeight="1" x14ac:dyDescent="0.35">
      <c r="B273"/>
      <c r="C273"/>
      <c r="D273"/>
      <c r="E273"/>
      <c r="F273"/>
      <c r="G273"/>
      <c r="H273"/>
      <c r="I273"/>
      <c r="J273"/>
      <c r="K273"/>
      <c r="L273"/>
      <c r="M273"/>
      <c r="N273"/>
      <c r="O273"/>
      <c r="P273"/>
      <c r="Q273"/>
      <c r="R273"/>
      <c r="S273"/>
      <c r="T273"/>
      <c r="U273"/>
      <c r="V273" s="77"/>
      <c r="W273"/>
      <c r="X273"/>
      <c r="Z273"/>
    </row>
    <row r="274" spans="2:26" ht="20" customHeight="1" x14ac:dyDescent="0.35">
      <c r="B274"/>
      <c r="C274"/>
      <c r="D274"/>
      <c r="E274"/>
      <c r="F274"/>
      <c r="G274"/>
      <c r="H274"/>
      <c r="I274"/>
      <c r="J274"/>
      <c r="K274"/>
      <c r="L274"/>
      <c r="M274"/>
      <c r="N274"/>
      <c r="O274"/>
      <c r="P274"/>
      <c r="Q274"/>
      <c r="R274"/>
      <c r="S274"/>
      <c r="T274"/>
      <c r="U274"/>
      <c r="V274" s="77"/>
      <c r="W274"/>
      <c r="X274"/>
      <c r="Z274"/>
    </row>
    <row r="275" spans="2:26" ht="20" customHeight="1" x14ac:dyDescent="0.35">
      <c r="B275"/>
      <c r="C275"/>
      <c r="D275"/>
      <c r="E275"/>
      <c r="F275"/>
      <c r="G275"/>
      <c r="H275"/>
      <c r="I275"/>
      <c r="J275"/>
      <c r="K275"/>
      <c r="L275"/>
      <c r="M275"/>
      <c r="N275"/>
      <c r="O275"/>
      <c r="P275"/>
      <c r="Q275"/>
      <c r="R275"/>
      <c r="S275"/>
      <c r="T275"/>
      <c r="U275"/>
      <c r="V275" s="77"/>
      <c r="W275"/>
      <c r="X275"/>
      <c r="Z275"/>
    </row>
    <row r="276" spans="2:26" ht="20" customHeight="1" x14ac:dyDescent="0.35">
      <c r="B276"/>
      <c r="C276"/>
      <c r="D276"/>
      <c r="E276"/>
      <c r="F276"/>
      <c r="G276"/>
      <c r="H276"/>
      <c r="I276"/>
      <c r="J276"/>
      <c r="K276"/>
      <c r="L276"/>
      <c r="M276"/>
      <c r="N276"/>
      <c r="O276"/>
      <c r="P276"/>
      <c r="Q276"/>
      <c r="R276"/>
      <c r="S276"/>
      <c r="T276"/>
      <c r="U276"/>
      <c r="V276" s="77"/>
      <c r="W276"/>
      <c r="X276"/>
      <c r="Z276"/>
    </row>
    <row r="277" spans="2:26" ht="20" customHeight="1" x14ac:dyDescent="0.35">
      <c r="B277"/>
      <c r="C277"/>
      <c r="D277"/>
      <c r="E277"/>
      <c r="F277"/>
      <c r="G277"/>
      <c r="H277"/>
      <c r="I277"/>
      <c r="J277"/>
      <c r="K277"/>
      <c r="L277"/>
      <c r="M277"/>
      <c r="N277"/>
      <c r="O277"/>
      <c r="P277"/>
      <c r="Q277"/>
      <c r="R277"/>
      <c r="S277"/>
      <c r="T277"/>
      <c r="U277"/>
      <c r="V277" s="77"/>
      <c r="W277"/>
      <c r="X277"/>
      <c r="Z277"/>
    </row>
    <row r="278" spans="2:26" ht="20" customHeight="1" x14ac:dyDescent="0.35">
      <c r="B278"/>
      <c r="C278"/>
      <c r="D278"/>
      <c r="E278"/>
      <c r="F278"/>
      <c r="G278"/>
      <c r="H278"/>
      <c r="I278"/>
      <c r="J278"/>
      <c r="K278"/>
      <c r="L278"/>
      <c r="M278"/>
      <c r="N278"/>
      <c r="O278"/>
      <c r="P278"/>
      <c r="Q278"/>
      <c r="R278"/>
      <c r="S278"/>
      <c r="T278"/>
      <c r="U278"/>
      <c r="V278" s="77"/>
      <c r="W278"/>
      <c r="X278"/>
      <c r="Z278"/>
    </row>
    <row r="279" spans="2:26" ht="20" customHeight="1" x14ac:dyDescent="0.35">
      <c r="B279"/>
      <c r="C279"/>
      <c r="D279"/>
      <c r="E279"/>
      <c r="F279"/>
      <c r="G279"/>
      <c r="H279"/>
      <c r="I279"/>
      <c r="J279"/>
      <c r="K279"/>
      <c r="L279"/>
      <c r="M279"/>
      <c r="N279"/>
      <c r="O279"/>
      <c r="P279"/>
      <c r="Q279"/>
      <c r="R279"/>
      <c r="S279"/>
      <c r="T279"/>
      <c r="U279"/>
      <c r="V279" s="77"/>
      <c r="W279"/>
      <c r="X279"/>
      <c r="Z279"/>
    </row>
    <row r="280" spans="2:26" ht="20" customHeight="1" x14ac:dyDescent="0.35">
      <c r="B280"/>
      <c r="C280"/>
      <c r="D280"/>
      <c r="E280"/>
      <c r="F280"/>
      <c r="G280"/>
      <c r="H280"/>
      <c r="I280"/>
      <c r="J280"/>
      <c r="K280"/>
      <c r="L280"/>
      <c r="M280"/>
      <c r="N280"/>
      <c r="O280"/>
      <c r="P280"/>
      <c r="Q280"/>
      <c r="R280"/>
      <c r="S280"/>
      <c r="T280"/>
      <c r="U280"/>
      <c r="V280" s="77"/>
      <c r="W280"/>
      <c r="X280"/>
      <c r="Z280"/>
    </row>
    <row r="281" spans="2:26" ht="20" customHeight="1" x14ac:dyDescent="0.35">
      <c r="B281"/>
      <c r="C281"/>
      <c r="D281"/>
      <c r="E281"/>
      <c r="F281"/>
      <c r="G281"/>
      <c r="H281"/>
      <c r="I281"/>
      <c r="J281"/>
      <c r="K281"/>
      <c r="L281"/>
      <c r="M281"/>
      <c r="N281"/>
      <c r="O281"/>
      <c r="P281"/>
      <c r="Q281"/>
      <c r="R281"/>
      <c r="S281"/>
      <c r="T281"/>
      <c r="U281"/>
      <c r="V281" s="77"/>
      <c r="W281"/>
      <c r="X281"/>
      <c r="Z281"/>
    </row>
    <row r="282" spans="2:26" ht="20" customHeight="1" x14ac:dyDescent="0.35">
      <c r="B282"/>
      <c r="C282"/>
      <c r="D282"/>
      <c r="E282"/>
      <c r="F282"/>
      <c r="G282"/>
      <c r="H282"/>
      <c r="I282"/>
      <c r="J282"/>
      <c r="K282"/>
      <c r="L282"/>
      <c r="M282"/>
      <c r="N282"/>
      <c r="O282"/>
      <c r="P282"/>
      <c r="Q282"/>
      <c r="R282"/>
      <c r="S282"/>
      <c r="T282"/>
      <c r="U282"/>
      <c r="V282" s="77"/>
      <c r="W282"/>
      <c r="X282"/>
      <c r="Z282"/>
    </row>
    <row r="283" spans="2:26" ht="20" customHeight="1" x14ac:dyDescent="0.35">
      <c r="B283"/>
      <c r="C283"/>
      <c r="D283"/>
      <c r="E283"/>
      <c r="F283"/>
      <c r="G283"/>
      <c r="H283"/>
      <c r="I283"/>
      <c r="J283"/>
      <c r="K283"/>
      <c r="L283"/>
      <c r="M283"/>
      <c r="N283"/>
      <c r="O283"/>
      <c r="P283"/>
      <c r="Q283"/>
      <c r="R283"/>
      <c r="S283"/>
      <c r="T283"/>
      <c r="U283"/>
      <c r="V283" s="77"/>
      <c r="W283"/>
      <c r="X283"/>
      <c r="Z283"/>
    </row>
    <row r="284" spans="2:26" ht="20" customHeight="1" x14ac:dyDescent="0.35">
      <c r="B284"/>
      <c r="C284"/>
      <c r="D284"/>
      <c r="E284"/>
      <c r="F284"/>
      <c r="G284"/>
      <c r="H284"/>
      <c r="I284"/>
      <c r="J284"/>
      <c r="K284"/>
      <c r="L284"/>
      <c r="M284"/>
      <c r="N284"/>
      <c r="O284"/>
      <c r="P284"/>
      <c r="Q284"/>
      <c r="R284"/>
      <c r="S284"/>
      <c r="T284"/>
      <c r="U284"/>
      <c r="V284" s="77"/>
      <c r="W284"/>
      <c r="X284"/>
      <c r="Z284"/>
    </row>
    <row r="285" spans="2:26" ht="20" customHeight="1" x14ac:dyDescent="0.35">
      <c r="B285"/>
      <c r="C285"/>
      <c r="D285"/>
      <c r="E285"/>
      <c r="F285"/>
      <c r="G285"/>
      <c r="H285"/>
      <c r="I285"/>
      <c r="J285"/>
      <c r="K285"/>
      <c r="L285"/>
      <c r="M285"/>
      <c r="N285"/>
      <c r="O285"/>
      <c r="P285"/>
      <c r="Q285"/>
      <c r="R285"/>
      <c r="S285"/>
      <c r="T285"/>
      <c r="U285"/>
      <c r="V285" s="77"/>
      <c r="W285"/>
      <c r="X285"/>
      <c r="Z285"/>
    </row>
    <row r="286" spans="2:26" ht="20" customHeight="1" x14ac:dyDescent="0.35">
      <c r="B286"/>
      <c r="C286"/>
      <c r="D286"/>
      <c r="E286"/>
      <c r="F286"/>
      <c r="G286"/>
      <c r="H286"/>
      <c r="I286"/>
      <c r="J286"/>
      <c r="K286"/>
      <c r="L286"/>
      <c r="M286"/>
      <c r="N286"/>
      <c r="O286"/>
      <c r="P286"/>
      <c r="Q286"/>
      <c r="R286"/>
      <c r="S286"/>
      <c r="T286"/>
      <c r="U286"/>
      <c r="V286" s="77"/>
      <c r="W286"/>
      <c r="X286"/>
      <c r="Z286"/>
    </row>
    <row r="287" spans="2:26" ht="20" customHeight="1" x14ac:dyDescent="0.35">
      <c r="B287"/>
      <c r="C287"/>
      <c r="D287"/>
      <c r="E287"/>
      <c r="F287"/>
      <c r="G287"/>
      <c r="H287"/>
      <c r="I287"/>
      <c r="J287"/>
      <c r="K287"/>
      <c r="L287"/>
      <c r="M287"/>
      <c r="N287"/>
      <c r="O287"/>
      <c r="P287"/>
      <c r="Q287"/>
      <c r="R287"/>
      <c r="S287"/>
      <c r="T287"/>
      <c r="U287"/>
      <c r="V287" s="77"/>
      <c r="W287"/>
      <c r="X287"/>
      <c r="Z287"/>
    </row>
    <row r="288" spans="2:26" ht="20" customHeight="1" x14ac:dyDescent="0.35">
      <c r="B288"/>
      <c r="C288"/>
      <c r="D288"/>
      <c r="E288"/>
      <c r="F288"/>
      <c r="G288"/>
      <c r="H288"/>
      <c r="I288"/>
      <c r="J288"/>
      <c r="K288"/>
      <c r="L288"/>
      <c r="M288"/>
      <c r="N288"/>
      <c r="O288"/>
      <c r="P288"/>
      <c r="Q288"/>
      <c r="R288"/>
      <c r="S288"/>
      <c r="T288"/>
      <c r="U288"/>
      <c r="V288" s="77"/>
      <c r="W288"/>
      <c r="X288"/>
      <c r="Z288"/>
    </row>
    <row r="289" spans="2:26" ht="20" customHeight="1" x14ac:dyDescent="0.35">
      <c r="B289"/>
      <c r="C289"/>
      <c r="D289"/>
      <c r="E289"/>
      <c r="F289"/>
      <c r="G289"/>
      <c r="H289"/>
      <c r="I289"/>
      <c r="J289"/>
      <c r="K289"/>
      <c r="L289"/>
      <c r="M289"/>
      <c r="N289"/>
      <c r="O289"/>
      <c r="P289"/>
      <c r="Q289"/>
      <c r="R289"/>
      <c r="S289"/>
      <c r="T289"/>
      <c r="U289"/>
      <c r="V289" s="77"/>
      <c r="W289"/>
      <c r="X289"/>
      <c r="Z289"/>
    </row>
    <row r="290" spans="2:26" ht="20" customHeight="1" x14ac:dyDescent="0.35">
      <c r="B290"/>
      <c r="C290"/>
      <c r="D290"/>
      <c r="E290"/>
      <c r="F290"/>
      <c r="G290"/>
      <c r="H290"/>
      <c r="I290"/>
      <c r="J290"/>
      <c r="K290"/>
      <c r="L290"/>
      <c r="M290"/>
      <c r="N290"/>
      <c r="O290"/>
      <c r="P290"/>
      <c r="Q290"/>
      <c r="R290"/>
      <c r="S290"/>
      <c r="T290"/>
      <c r="U290"/>
      <c r="V290" s="77"/>
      <c r="W290"/>
      <c r="X290"/>
      <c r="Z290"/>
    </row>
    <row r="291" spans="2:26" ht="20" customHeight="1" x14ac:dyDescent="0.35">
      <c r="B291"/>
      <c r="C291"/>
      <c r="D291"/>
      <c r="E291"/>
      <c r="F291"/>
      <c r="G291"/>
      <c r="H291"/>
      <c r="I291"/>
      <c r="J291"/>
      <c r="K291"/>
      <c r="L291"/>
      <c r="M291"/>
      <c r="N291"/>
      <c r="O291"/>
      <c r="P291"/>
      <c r="Q291"/>
      <c r="R291"/>
      <c r="S291"/>
      <c r="T291"/>
      <c r="U291"/>
      <c r="V291" s="77"/>
      <c r="W291"/>
      <c r="X291"/>
      <c r="Z291"/>
    </row>
    <row r="292" spans="2:26" ht="20" customHeight="1" x14ac:dyDescent="0.35">
      <c r="B292"/>
      <c r="C292"/>
      <c r="D292"/>
      <c r="E292"/>
      <c r="F292"/>
      <c r="G292"/>
      <c r="H292"/>
      <c r="I292"/>
      <c r="J292"/>
      <c r="K292"/>
      <c r="L292"/>
      <c r="M292"/>
      <c r="N292"/>
      <c r="O292"/>
      <c r="P292"/>
      <c r="Q292"/>
      <c r="R292"/>
      <c r="S292"/>
      <c r="T292"/>
      <c r="U292"/>
      <c r="V292" s="77"/>
      <c r="W292"/>
      <c r="X292"/>
      <c r="Z292"/>
    </row>
    <row r="293" spans="2:26" ht="20" customHeight="1" x14ac:dyDescent="0.35">
      <c r="B293"/>
      <c r="C293"/>
      <c r="D293"/>
      <c r="E293"/>
      <c r="F293"/>
      <c r="G293"/>
      <c r="H293"/>
      <c r="I293"/>
      <c r="J293"/>
      <c r="K293"/>
      <c r="L293"/>
      <c r="M293"/>
      <c r="N293"/>
      <c r="O293"/>
      <c r="P293"/>
      <c r="Q293"/>
      <c r="R293"/>
      <c r="S293"/>
      <c r="T293"/>
      <c r="U293"/>
      <c r="V293" s="77"/>
      <c r="W293"/>
      <c r="X293"/>
      <c r="Z293"/>
    </row>
    <row r="294" spans="2:26" ht="20" customHeight="1" x14ac:dyDescent="0.35">
      <c r="B294"/>
      <c r="C294"/>
      <c r="D294"/>
      <c r="E294"/>
      <c r="F294"/>
      <c r="G294"/>
      <c r="H294"/>
      <c r="I294"/>
      <c r="J294"/>
      <c r="K294"/>
      <c r="L294"/>
      <c r="M294"/>
      <c r="N294"/>
      <c r="O294"/>
      <c r="P294"/>
      <c r="Q294"/>
      <c r="R294"/>
      <c r="S294"/>
      <c r="T294"/>
      <c r="U294"/>
      <c r="V294" s="77"/>
      <c r="W294"/>
      <c r="X294"/>
      <c r="Z294"/>
    </row>
    <row r="295" spans="2:26" ht="20" customHeight="1" x14ac:dyDescent="0.35">
      <c r="B295"/>
      <c r="C295"/>
      <c r="D295"/>
      <c r="E295"/>
      <c r="F295"/>
      <c r="G295"/>
      <c r="H295"/>
      <c r="I295"/>
      <c r="J295"/>
      <c r="K295"/>
      <c r="L295"/>
      <c r="M295"/>
      <c r="N295"/>
      <c r="O295"/>
      <c r="P295"/>
      <c r="Q295"/>
      <c r="R295"/>
      <c r="S295"/>
      <c r="T295"/>
      <c r="U295"/>
      <c r="V295" s="77"/>
      <c r="W295"/>
      <c r="X295"/>
      <c r="Z295"/>
    </row>
    <row r="296" spans="2:26" ht="20" customHeight="1" x14ac:dyDescent="0.35">
      <c r="B296"/>
      <c r="C296"/>
      <c r="D296"/>
      <c r="E296"/>
      <c r="F296"/>
      <c r="G296"/>
      <c r="H296"/>
      <c r="I296"/>
      <c r="J296"/>
      <c r="K296"/>
      <c r="L296"/>
      <c r="M296"/>
      <c r="N296"/>
      <c r="O296"/>
      <c r="P296"/>
      <c r="Q296"/>
      <c r="R296"/>
      <c r="S296"/>
      <c r="T296"/>
      <c r="U296"/>
      <c r="V296" s="77"/>
      <c r="W296"/>
      <c r="X296"/>
      <c r="Z296"/>
    </row>
    <row r="297" spans="2:26" ht="20" customHeight="1" x14ac:dyDescent="0.35">
      <c r="B297"/>
      <c r="C297"/>
      <c r="D297"/>
      <c r="E297"/>
      <c r="F297"/>
      <c r="G297"/>
      <c r="H297"/>
      <c r="I297"/>
      <c r="J297"/>
      <c r="K297"/>
      <c r="L297"/>
      <c r="M297"/>
      <c r="N297"/>
      <c r="O297"/>
      <c r="P297"/>
      <c r="Q297"/>
      <c r="R297"/>
      <c r="S297"/>
      <c r="T297"/>
      <c r="U297"/>
      <c r="V297" s="77"/>
      <c r="W297"/>
      <c r="X297"/>
      <c r="Z297"/>
    </row>
    <row r="298" spans="2:26" ht="20" customHeight="1" x14ac:dyDescent="0.35">
      <c r="B298"/>
      <c r="C298"/>
      <c r="D298"/>
      <c r="E298"/>
      <c r="F298"/>
      <c r="G298"/>
      <c r="H298"/>
      <c r="I298"/>
      <c r="J298"/>
      <c r="K298"/>
      <c r="L298"/>
      <c r="M298"/>
      <c r="N298"/>
      <c r="O298"/>
      <c r="P298"/>
      <c r="Q298"/>
      <c r="R298"/>
      <c r="S298"/>
      <c r="T298"/>
      <c r="U298"/>
      <c r="V298" s="77"/>
      <c r="W298"/>
      <c r="X298"/>
      <c r="Z298"/>
    </row>
    <row r="299" spans="2:26" ht="20" customHeight="1" x14ac:dyDescent="0.35">
      <c r="B299"/>
      <c r="C299"/>
      <c r="D299"/>
      <c r="E299"/>
      <c r="F299"/>
      <c r="G299"/>
      <c r="H299"/>
      <c r="I299"/>
      <c r="J299"/>
      <c r="K299"/>
      <c r="L299"/>
      <c r="M299"/>
      <c r="N299"/>
      <c r="O299"/>
      <c r="P299"/>
      <c r="Q299"/>
      <c r="R299"/>
      <c r="S299"/>
      <c r="T299"/>
      <c r="U299"/>
      <c r="V299" s="77"/>
      <c r="W299"/>
      <c r="X299"/>
      <c r="Z299"/>
    </row>
    <row r="300" spans="2:26" ht="20" customHeight="1" x14ac:dyDescent="0.35">
      <c r="B300"/>
      <c r="C300"/>
      <c r="D300"/>
      <c r="E300"/>
      <c r="F300"/>
      <c r="G300"/>
      <c r="H300"/>
      <c r="I300"/>
      <c r="J300"/>
      <c r="K300"/>
      <c r="L300"/>
      <c r="M300"/>
      <c r="N300"/>
      <c r="O300"/>
      <c r="P300"/>
      <c r="Q300"/>
      <c r="R300"/>
      <c r="S300"/>
      <c r="T300"/>
      <c r="U300"/>
      <c r="V300" s="77"/>
      <c r="W300"/>
      <c r="X300"/>
      <c r="Z300"/>
    </row>
    <row r="301" spans="2:26" ht="20" customHeight="1" x14ac:dyDescent="0.35">
      <c r="B301"/>
      <c r="C301"/>
      <c r="D301"/>
      <c r="E301"/>
      <c r="F301"/>
      <c r="G301"/>
      <c r="H301"/>
      <c r="I301"/>
      <c r="J301"/>
      <c r="K301"/>
      <c r="L301"/>
      <c r="M301"/>
      <c r="N301"/>
      <c r="O301"/>
      <c r="P301"/>
      <c r="Q301"/>
      <c r="R301"/>
      <c r="S301"/>
      <c r="T301"/>
      <c r="U301"/>
      <c r="V301" s="77"/>
      <c r="W301"/>
      <c r="X301"/>
      <c r="Z301"/>
    </row>
    <row r="302" spans="2:26" ht="20" customHeight="1" x14ac:dyDescent="0.35">
      <c r="B302"/>
      <c r="C302"/>
      <c r="D302"/>
      <c r="E302"/>
      <c r="F302"/>
      <c r="G302"/>
      <c r="H302"/>
      <c r="I302"/>
      <c r="J302"/>
      <c r="K302"/>
      <c r="L302"/>
      <c r="M302"/>
      <c r="N302"/>
      <c r="O302"/>
      <c r="P302"/>
      <c r="Q302"/>
      <c r="R302"/>
      <c r="S302"/>
      <c r="T302"/>
      <c r="U302"/>
      <c r="V302" s="77"/>
      <c r="W302"/>
      <c r="X302"/>
      <c r="Z302"/>
    </row>
    <row r="303" spans="2:26" ht="20" customHeight="1" x14ac:dyDescent="0.35">
      <c r="B303"/>
      <c r="C303"/>
      <c r="D303"/>
      <c r="E303"/>
      <c r="F303"/>
      <c r="G303"/>
      <c r="H303"/>
      <c r="I303"/>
      <c r="J303"/>
      <c r="K303"/>
      <c r="L303"/>
      <c r="M303"/>
      <c r="N303"/>
      <c r="O303"/>
      <c r="P303"/>
      <c r="Q303"/>
      <c r="R303"/>
      <c r="S303"/>
      <c r="T303"/>
      <c r="U303"/>
      <c r="V303" s="77"/>
      <c r="W303"/>
      <c r="X303"/>
      <c r="Z303"/>
    </row>
    <row r="304" spans="2:26" ht="20" customHeight="1" x14ac:dyDescent="0.35">
      <c r="B304"/>
      <c r="C304"/>
      <c r="D304"/>
      <c r="E304"/>
      <c r="F304"/>
      <c r="G304"/>
      <c r="H304"/>
      <c r="I304"/>
      <c r="J304"/>
      <c r="K304"/>
      <c r="L304"/>
      <c r="M304"/>
      <c r="N304"/>
      <c r="O304"/>
      <c r="P304"/>
      <c r="Q304"/>
      <c r="R304"/>
      <c r="S304"/>
      <c r="T304"/>
      <c r="U304"/>
      <c r="V304" s="77"/>
      <c r="W304"/>
      <c r="X304"/>
      <c r="Z304"/>
    </row>
    <row r="305" spans="2:26" ht="20" customHeight="1" x14ac:dyDescent="0.35">
      <c r="B305"/>
      <c r="C305"/>
      <c r="D305"/>
      <c r="E305"/>
      <c r="F305"/>
      <c r="G305"/>
      <c r="H305"/>
      <c r="I305"/>
      <c r="J305"/>
      <c r="K305"/>
      <c r="L305"/>
      <c r="M305"/>
      <c r="N305"/>
      <c r="O305"/>
      <c r="P305"/>
      <c r="Q305"/>
      <c r="R305"/>
      <c r="S305"/>
      <c r="T305"/>
      <c r="U305"/>
      <c r="V305" s="77"/>
      <c r="W305"/>
      <c r="X305"/>
      <c r="Z305"/>
    </row>
    <row r="306" spans="2:26" ht="20" customHeight="1" x14ac:dyDescent="0.35">
      <c r="B306"/>
      <c r="C306"/>
      <c r="D306"/>
      <c r="E306"/>
      <c r="F306"/>
      <c r="G306"/>
      <c r="H306"/>
      <c r="I306"/>
      <c r="J306"/>
      <c r="K306"/>
      <c r="L306"/>
      <c r="M306"/>
      <c r="N306"/>
      <c r="O306"/>
      <c r="P306"/>
      <c r="Q306"/>
      <c r="R306"/>
      <c r="S306"/>
      <c r="T306"/>
      <c r="U306"/>
      <c r="V306" s="77"/>
      <c r="W306"/>
      <c r="X306"/>
      <c r="Z306"/>
    </row>
    <row r="307" spans="2:26" ht="20" customHeight="1" x14ac:dyDescent="0.35">
      <c r="B307"/>
      <c r="C307"/>
      <c r="D307"/>
      <c r="E307"/>
      <c r="F307"/>
      <c r="G307"/>
      <c r="H307"/>
      <c r="I307"/>
      <c r="J307"/>
      <c r="K307"/>
      <c r="L307"/>
      <c r="M307"/>
      <c r="N307"/>
      <c r="O307"/>
      <c r="P307"/>
      <c r="Q307"/>
      <c r="R307"/>
      <c r="S307"/>
      <c r="T307"/>
      <c r="U307"/>
      <c r="V307" s="77"/>
      <c r="W307"/>
      <c r="X307"/>
      <c r="Z307"/>
    </row>
    <row r="308" spans="2:26" ht="20" customHeight="1" x14ac:dyDescent="0.35">
      <c r="B308"/>
      <c r="C308"/>
      <c r="D308"/>
      <c r="E308"/>
      <c r="F308"/>
      <c r="G308"/>
      <c r="H308"/>
      <c r="I308"/>
      <c r="J308"/>
      <c r="K308"/>
      <c r="L308"/>
      <c r="M308"/>
      <c r="N308"/>
      <c r="O308"/>
      <c r="P308"/>
      <c r="Q308"/>
      <c r="R308"/>
      <c r="S308"/>
      <c r="T308"/>
      <c r="U308"/>
      <c r="V308" s="77"/>
      <c r="W308"/>
      <c r="X308"/>
      <c r="Z308"/>
    </row>
    <row r="309" spans="2:26" ht="20" customHeight="1" x14ac:dyDescent="0.35">
      <c r="B309"/>
      <c r="C309"/>
      <c r="D309"/>
      <c r="E309"/>
      <c r="F309"/>
      <c r="G309"/>
      <c r="H309"/>
      <c r="I309"/>
      <c r="J309"/>
      <c r="K309"/>
      <c r="L309"/>
      <c r="M309"/>
      <c r="N309"/>
      <c r="O309"/>
      <c r="P309"/>
      <c r="Q309"/>
      <c r="R309"/>
      <c r="S309"/>
      <c r="T309"/>
      <c r="U309"/>
      <c r="V309" s="77"/>
      <c r="W309"/>
      <c r="X309"/>
      <c r="Z309"/>
    </row>
    <row r="310" spans="2:26" ht="20" customHeight="1" x14ac:dyDescent="0.35">
      <c r="B310"/>
      <c r="C310"/>
      <c r="D310"/>
      <c r="E310"/>
      <c r="F310"/>
      <c r="G310"/>
      <c r="H310"/>
      <c r="I310"/>
      <c r="J310"/>
      <c r="K310"/>
      <c r="L310"/>
      <c r="M310"/>
      <c r="N310"/>
      <c r="O310"/>
      <c r="P310"/>
      <c r="Q310"/>
      <c r="R310"/>
      <c r="S310"/>
      <c r="T310"/>
      <c r="U310"/>
      <c r="V310" s="77"/>
      <c r="W310"/>
      <c r="X310"/>
      <c r="Z310"/>
    </row>
    <row r="311" spans="2:26" ht="20" customHeight="1" x14ac:dyDescent="0.35">
      <c r="B311"/>
      <c r="C311"/>
      <c r="D311"/>
      <c r="E311"/>
      <c r="F311"/>
      <c r="G311"/>
      <c r="H311"/>
      <c r="I311"/>
      <c r="J311"/>
      <c r="K311"/>
      <c r="L311"/>
      <c r="M311"/>
      <c r="N311"/>
      <c r="O311"/>
      <c r="P311"/>
      <c r="Q311"/>
      <c r="R311"/>
      <c r="S311"/>
      <c r="T311"/>
      <c r="U311"/>
      <c r="V311" s="77"/>
      <c r="W311"/>
      <c r="X311"/>
      <c r="Z311"/>
    </row>
    <row r="312" spans="2:26" ht="20" customHeight="1" x14ac:dyDescent="0.35">
      <c r="B312"/>
      <c r="C312"/>
      <c r="D312"/>
      <c r="E312"/>
      <c r="F312"/>
      <c r="G312"/>
      <c r="H312"/>
      <c r="I312"/>
      <c r="J312"/>
      <c r="K312"/>
      <c r="L312"/>
      <c r="M312"/>
      <c r="N312"/>
      <c r="O312"/>
      <c r="P312"/>
      <c r="Q312"/>
      <c r="R312"/>
      <c r="S312"/>
      <c r="T312"/>
      <c r="U312"/>
      <c r="V312" s="77"/>
      <c r="W312"/>
      <c r="X312"/>
      <c r="Z312"/>
    </row>
    <row r="313" spans="2:26" ht="20" customHeight="1" x14ac:dyDescent="0.35">
      <c r="B313"/>
      <c r="C313"/>
      <c r="D313"/>
      <c r="E313"/>
      <c r="F313"/>
      <c r="G313"/>
      <c r="H313"/>
      <c r="I313"/>
      <c r="J313"/>
      <c r="K313"/>
      <c r="L313"/>
      <c r="M313"/>
      <c r="N313"/>
      <c r="O313"/>
      <c r="P313"/>
      <c r="Q313"/>
      <c r="R313"/>
      <c r="S313"/>
      <c r="T313"/>
      <c r="U313"/>
      <c r="V313" s="77"/>
      <c r="W313"/>
      <c r="X313"/>
      <c r="Z313"/>
    </row>
    <row r="314" spans="2:26" ht="20" customHeight="1" x14ac:dyDescent="0.35">
      <c r="B314"/>
      <c r="C314"/>
      <c r="D314"/>
      <c r="E314"/>
      <c r="F314"/>
      <c r="G314"/>
      <c r="H314"/>
      <c r="I314"/>
      <c r="J314"/>
      <c r="K314"/>
      <c r="L314"/>
      <c r="M314"/>
      <c r="N314"/>
      <c r="O314"/>
      <c r="P314"/>
      <c r="Q314"/>
      <c r="R314"/>
      <c r="S314"/>
      <c r="T314"/>
      <c r="U314"/>
      <c r="V314" s="77"/>
      <c r="W314"/>
      <c r="X314"/>
      <c r="Z314"/>
    </row>
    <row r="315" spans="2:26" ht="20" customHeight="1" x14ac:dyDescent="0.35">
      <c r="B315"/>
      <c r="C315"/>
      <c r="D315"/>
      <c r="E315"/>
      <c r="F315"/>
      <c r="G315"/>
      <c r="H315"/>
      <c r="I315"/>
      <c r="J315"/>
      <c r="K315"/>
      <c r="L315"/>
      <c r="M315"/>
      <c r="N315"/>
      <c r="O315"/>
      <c r="P315"/>
      <c r="Q315"/>
      <c r="R315"/>
      <c r="S315"/>
      <c r="T315"/>
      <c r="U315"/>
      <c r="V315" s="77"/>
      <c r="W315"/>
      <c r="X315"/>
      <c r="Z315"/>
    </row>
    <row r="316" spans="2:26" ht="20" customHeight="1" x14ac:dyDescent="0.35">
      <c r="B316"/>
      <c r="C316"/>
      <c r="D316"/>
      <c r="E316"/>
      <c r="F316"/>
      <c r="G316"/>
      <c r="H316"/>
      <c r="I316"/>
      <c r="J316"/>
      <c r="K316"/>
      <c r="L316"/>
      <c r="M316"/>
      <c r="N316"/>
      <c r="O316"/>
      <c r="P316"/>
      <c r="Q316"/>
      <c r="R316"/>
      <c r="S316"/>
      <c r="T316"/>
      <c r="U316"/>
      <c r="V316" s="77"/>
      <c r="W316"/>
      <c r="X316"/>
      <c r="Z316"/>
    </row>
    <row r="317" spans="2:26" ht="20" customHeight="1" x14ac:dyDescent="0.35">
      <c r="B317"/>
      <c r="C317"/>
      <c r="D317"/>
      <c r="E317"/>
      <c r="F317"/>
      <c r="G317"/>
      <c r="H317"/>
      <c r="I317"/>
      <c r="J317"/>
      <c r="K317"/>
      <c r="L317"/>
      <c r="M317"/>
      <c r="N317"/>
      <c r="O317"/>
      <c r="P317"/>
      <c r="Q317"/>
      <c r="R317"/>
      <c r="S317"/>
      <c r="T317"/>
      <c r="U317"/>
      <c r="V317" s="77"/>
      <c r="W317"/>
      <c r="X317"/>
      <c r="Z317"/>
    </row>
    <row r="318" spans="2:26" ht="20" customHeight="1" x14ac:dyDescent="0.35">
      <c r="B318"/>
      <c r="C318"/>
      <c r="D318"/>
      <c r="E318"/>
      <c r="F318"/>
      <c r="G318"/>
      <c r="H318"/>
      <c r="I318"/>
      <c r="J318"/>
      <c r="K318"/>
      <c r="L318"/>
      <c r="M318"/>
      <c r="N318"/>
      <c r="O318"/>
      <c r="P318"/>
      <c r="Q318"/>
      <c r="R318"/>
      <c r="S318"/>
      <c r="T318"/>
      <c r="U318"/>
      <c r="V318" s="77"/>
      <c r="W318"/>
      <c r="X318"/>
      <c r="Z318"/>
    </row>
    <row r="319" spans="2:26" ht="20" customHeight="1" x14ac:dyDescent="0.35">
      <c r="B319"/>
      <c r="C319"/>
      <c r="D319"/>
      <c r="E319"/>
      <c r="F319"/>
      <c r="G319"/>
      <c r="H319"/>
      <c r="I319"/>
      <c r="J319"/>
      <c r="K319"/>
      <c r="L319"/>
      <c r="M319"/>
      <c r="N319"/>
      <c r="O319"/>
      <c r="P319"/>
      <c r="Q319"/>
      <c r="R319"/>
      <c r="S319"/>
      <c r="T319"/>
      <c r="U319"/>
      <c r="V319" s="77"/>
      <c r="W319"/>
      <c r="X319"/>
      <c r="Z319"/>
    </row>
    <row r="320" spans="2:26" ht="20" customHeight="1" x14ac:dyDescent="0.35">
      <c r="B320"/>
      <c r="C320"/>
      <c r="D320"/>
      <c r="E320"/>
      <c r="F320"/>
      <c r="G320"/>
      <c r="H320"/>
      <c r="I320"/>
      <c r="J320"/>
      <c r="K320"/>
      <c r="L320"/>
      <c r="M320"/>
      <c r="N320"/>
      <c r="O320"/>
      <c r="P320"/>
      <c r="Q320"/>
      <c r="R320"/>
      <c r="S320"/>
      <c r="T320"/>
      <c r="U320"/>
      <c r="V320" s="77"/>
      <c r="W320"/>
      <c r="X320"/>
      <c r="Z320"/>
    </row>
    <row r="321" spans="2:26" ht="20" customHeight="1" x14ac:dyDescent="0.35">
      <c r="B321"/>
      <c r="C321"/>
      <c r="D321"/>
      <c r="E321"/>
      <c r="F321"/>
      <c r="G321"/>
      <c r="H321"/>
      <c r="I321"/>
      <c r="J321"/>
      <c r="K321"/>
      <c r="L321"/>
      <c r="M321"/>
      <c r="N321"/>
      <c r="O321"/>
      <c r="P321"/>
      <c r="Q321"/>
      <c r="R321"/>
      <c r="S321"/>
      <c r="T321"/>
      <c r="U321"/>
      <c r="V321" s="77"/>
      <c r="W321"/>
      <c r="X321"/>
      <c r="Z321"/>
    </row>
    <row r="322" spans="2:26" ht="20" customHeight="1" x14ac:dyDescent="0.35">
      <c r="B322"/>
      <c r="C322"/>
      <c r="D322"/>
      <c r="E322"/>
      <c r="F322"/>
      <c r="G322"/>
      <c r="H322"/>
      <c r="I322"/>
      <c r="J322"/>
      <c r="K322"/>
      <c r="L322"/>
      <c r="M322"/>
      <c r="N322"/>
      <c r="O322"/>
      <c r="P322"/>
      <c r="Q322"/>
      <c r="R322"/>
      <c r="S322"/>
      <c r="T322"/>
      <c r="U322"/>
      <c r="V322" s="77"/>
      <c r="W322"/>
      <c r="X322"/>
      <c r="Z322"/>
    </row>
    <row r="323" spans="2:26" ht="20" customHeight="1" x14ac:dyDescent="0.35">
      <c r="B323"/>
      <c r="C323"/>
      <c r="D323"/>
      <c r="E323"/>
      <c r="F323"/>
      <c r="G323"/>
      <c r="H323"/>
      <c r="I323"/>
      <c r="J323"/>
      <c r="K323"/>
      <c r="L323"/>
      <c r="M323"/>
      <c r="N323"/>
      <c r="O323"/>
      <c r="P323"/>
      <c r="Q323"/>
      <c r="R323"/>
      <c r="S323"/>
      <c r="T323"/>
      <c r="U323"/>
      <c r="V323" s="77"/>
      <c r="W323"/>
      <c r="X323"/>
      <c r="Z323"/>
    </row>
    <row r="324" spans="2:26" ht="20" customHeight="1" x14ac:dyDescent="0.35">
      <c r="B324"/>
      <c r="C324"/>
      <c r="D324"/>
      <c r="E324"/>
      <c r="F324"/>
      <c r="G324"/>
      <c r="H324"/>
      <c r="I324"/>
      <c r="J324"/>
      <c r="K324"/>
      <c r="L324"/>
      <c r="M324"/>
      <c r="N324"/>
      <c r="O324"/>
      <c r="P324"/>
      <c r="Q324"/>
      <c r="R324"/>
      <c r="S324"/>
      <c r="T324"/>
      <c r="U324"/>
      <c r="V324" s="77"/>
      <c r="W324"/>
      <c r="X324"/>
      <c r="Z324"/>
    </row>
    <row r="325" spans="2:26" ht="20" customHeight="1" x14ac:dyDescent="0.35">
      <c r="B325"/>
      <c r="C325"/>
      <c r="D325"/>
      <c r="E325"/>
      <c r="F325"/>
      <c r="G325"/>
      <c r="H325"/>
      <c r="I325"/>
      <c r="J325"/>
      <c r="K325"/>
      <c r="L325"/>
      <c r="M325"/>
      <c r="N325"/>
      <c r="O325"/>
      <c r="P325"/>
      <c r="Q325"/>
      <c r="R325"/>
      <c r="S325"/>
      <c r="T325"/>
      <c r="U325"/>
      <c r="V325" s="77"/>
      <c r="W325"/>
      <c r="X325"/>
      <c r="Z325"/>
    </row>
    <row r="326" spans="2:26" ht="20" customHeight="1" x14ac:dyDescent="0.35">
      <c r="B326"/>
      <c r="C326"/>
      <c r="D326"/>
      <c r="E326"/>
      <c r="F326"/>
      <c r="G326"/>
      <c r="H326"/>
      <c r="I326"/>
      <c r="J326"/>
      <c r="K326"/>
      <c r="L326"/>
      <c r="M326"/>
      <c r="N326"/>
      <c r="O326"/>
      <c r="P326"/>
      <c r="Q326"/>
      <c r="R326"/>
      <c r="S326"/>
      <c r="T326"/>
      <c r="U326"/>
      <c r="V326" s="77"/>
      <c r="W326"/>
      <c r="X326"/>
      <c r="Z326"/>
    </row>
    <row r="327" spans="2:26" ht="20" customHeight="1" x14ac:dyDescent="0.35">
      <c r="B327"/>
      <c r="C327"/>
      <c r="D327"/>
      <c r="E327"/>
      <c r="F327"/>
      <c r="G327"/>
      <c r="H327"/>
      <c r="I327"/>
      <c r="J327"/>
      <c r="K327"/>
      <c r="L327"/>
      <c r="M327"/>
      <c r="N327"/>
      <c r="O327"/>
      <c r="P327"/>
      <c r="Q327"/>
      <c r="R327"/>
      <c r="S327"/>
      <c r="T327"/>
      <c r="U327"/>
      <c r="V327" s="77"/>
      <c r="W327"/>
      <c r="X327"/>
      <c r="Z327"/>
    </row>
    <row r="328" spans="2:26" ht="20" customHeight="1" x14ac:dyDescent="0.35">
      <c r="B328"/>
      <c r="C328"/>
      <c r="D328"/>
      <c r="E328"/>
      <c r="F328"/>
      <c r="G328"/>
      <c r="H328"/>
      <c r="I328"/>
      <c r="J328"/>
      <c r="K328"/>
      <c r="L328"/>
      <c r="M328"/>
      <c r="N328"/>
      <c r="O328"/>
      <c r="P328"/>
      <c r="Q328"/>
      <c r="R328"/>
      <c r="S328"/>
      <c r="T328"/>
      <c r="U328"/>
      <c r="V328" s="77"/>
      <c r="W328"/>
      <c r="X328"/>
      <c r="Z328"/>
    </row>
    <row r="329" spans="2:26" ht="20" customHeight="1" x14ac:dyDescent="0.35">
      <c r="B329"/>
      <c r="C329"/>
      <c r="D329"/>
      <c r="E329"/>
      <c r="F329"/>
      <c r="G329"/>
      <c r="H329"/>
      <c r="I329"/>
      <c r="J329"/>
      <c r="K329"/>
      <c r="L329"/>
      <c r="M329"/>
      <c r="N329"/>
      <c r="O329"/>
      <c r="P329"/>
      <c r="Q329"/>
      <c r="R329"/>
      <c r="S329"/>
      <c r="T329"/>
      <c r="U329"/>
      <c r="V329" s="77"/>
      <c r="W329"/>
      <c r="X329"/>
      <c r="Z329"/>
    </row>
    <row r="330" spans="2:26" ht="20" customHeight="1" x14ac:dyDescent="0.35">
      <c r="B330"/>
      <c r="C330"/>
      <c r="D330"/>
      <c r="E330"/>
      <c r="F330"/>
      <c r="G330"/>
      <c r="H330"/>
      <c r="I330"/>
      <c r="J330"/>
      <c r="K330"/>
      <c r="L330"/>
      <c r="M330"/>
      <c r="N330"/>
      <c r="O330"/>
      <c r="P330"/>
      <c r="Q330"/>
      <c r="R330"/>
      <c r="S330"/>
      <c r="T330"/>
      <c r="U330"/>
      <c r="V330" s="77"/>
      <c r="W330"/>
      <c r="X330"/>
      <c r="Z330"/>
    </row>
    <row r="331" spans="2:26" ht="20" customHeight="1" x14ac:dyDescent="0.35">
      <c r="B331"/>
      <c r="C331"/>
      <c r="D331"/>
      <c r="E331"/>
      <c r="F331"/>
      <c r="G331"/>
      <c r="H331"/>
      <c r="I331"/>
      <c r="J331"/>
      <c r="K331"/>
      <c r="L331"/>
      <c r="M331"/>
      <c r="N331"/>
      <c r="O331"/>
      <c r="P331"/>
      <c r="Q331"/>
      <c r="R331"/>
      <c r="S331"/>
      <c r="T331"/>
      <c r="U331"/>
      <c r="V331" s="77"/>
      <c r="W331"/>
      <c r="X331"/>
      <c r="Z331"/>
    </row>
    <row r="332" spans="2:26" ht="20" customHeight="1" x14ac:dyDescent="0.35">
      <c r="B332"/>
      <c r="C332"/>
      <c r="D332"/>
      <c r="E332"/>
      <c r="F332"/>
      <c r="G332"/>
      <c r="H332"/>
      <c r="I332"/>
      <c r="J332"/>
      <c r="K332"/>
      <c r="L332"/>
      <c r="M332"/>
      <c r="N332"/>
      <c r="O332"/>
      <c r="P332"/>
      <c r="Q332"/>
      <c r="R332"/>
      <c r="S332"/>
      <c r="T332"/>
      <c r="U332"/>
      <c r="V332" s="77"/>
      <c r="W332"/>
      <c r="X332"/>
      <c r="Z332"/>
    </row>
    <row r="333" spans="2:26" ht="20" customHeight="1" x14ac:dyDescent="0.35">
      <c r="B333"/>
      <c r="C333"/>
      <c r="D333"/>
      <c r="E333"/>
      <c r="F333"/>
      <c r="G333"/>
      <c r="H333"/>
      <c r="I333"/>
      <c r="J333"/>
      <c r="K333"/>
      <c r="L333"/>
      <c r="M333"/>
      <c r="N333"/>
      <c r="O333"/>
      <c r="P333"/>
      <c r="Q333"/>
      <c r="R333"/>
      <c r="S333"/>
      <c r="T333"/>
      <c r="U333"/>
      <c r="V333" s="77"/>
      <c r="W333"/>
      <c r="X333"/>
      <c r="Z333"/>
    </row>
    <row r="334" spans="2:26" ht="20" customHeight="1" x14ac:dyDescent="0.35">
      <c r="B334"/>
      <c r="C334"/>
      <c r="D334"/>
      <c r="E334"/>
      <c r="F334"/>
      <c r="G334"/>
      <c r="H334"/>
      <c r="I334"/>
      <c r="J334"/>
      <c r="K334"/>
      <c r="L334"/>
      <c r="M334"/>
      <c r="N334"/>
      <c r="O334"/>
      <c r="P334"/>
      <c r="Q334"/>
      <c r="R334"/>
      <c r="S334"/>
      <c r="T334"/>
      <c r="U334"/>
      <c r="V334" s="77"/>
      <c r="W334"/>
      <c r="X334"/>
      <c r="Z334"/>
    </row>
    <row r="335" spans="2:26" ht="20" customHeight="1" x14ac:dyDescent="0.35">
      <c r="B335"/>
      <c r="C335"/>
      <c r="D335"/>
      <c r="E335"/>
      <c r="F335"/>
      <c r="G335"/>
      <c r="H335"/>
      <c r="I335"/>
      <c r="J335"/>
      <c r="K335"/>
      <c r="L335"/>
      <c r="M335"/>
      <c r="N335"/>
      <c r="O335"/>
      <c r="P335"/>
      <c r="Q335"/>
      <c r="R335"/>
      <c r="S335"/>
      <c r="T335"/>
      <c r="U335"/>
      <c r="V335" s="77"/>
      <c r="W335"/>
      <c r="X335"/>
      <c r="Z335"/>
    </row>
    <row r="336" spans="2:26" ht="20" customHeight="1" x14ac:dyDescent="0.35">
      <c r="B336"/>
      <c r="C336"/>
      <c r="D336"/>
      <c r="E336"/>
      <c r="F336"/>
      <c r="G336"/>
      <c r="H336"/>
      <c r="I336"/>
      <c r="J336"/>
      <c r="K336"/>
      <c r="L336"/>
      <c r="M336"/>
      <c r="N336"/>
      <c r="O336"/>
      <c r="P336"/>
      <c r="Q336"/>
      <c r="R336"/>
      <c r="S336"/>
      <c r="T336"/>
      <c r="U336"/>
      <c r="V336" s="77"/>
      <c r="W336"/>
      <c r="X336"/>
      <c r="Z336"/>
    </row>
    <row r="337" spans="2:26" ht="20" customHeight="1" x14ac:dyDescent="0.35">
      <c r="B337"/>
      <c r="C337"/>
      <c r="D337"/>
      <c r="E337"/>
      <c r="F337"/>
      <c r="G337"/>
      <c r="H337"/>
      <c r="I337"/>
      <c r="J337"/>
      <c r="K337"/>
      <c r="L337"/>
      <c r="M337"/>
      <c r="N337"/>
      <c r="O337"/>
      <c r="P337"/>
      <c r="Q337"/>
      <c r="R337"/>
      <c r="S337"/>
      <c r="T337"/>
      <c r="U337"/>
      <c r="V337" s="77"/>
      <c r="W337"/>
      <c r="X337"/>
      <c r="Z337"/>
    </row>
    <row r="338" spans="2:26" ht="20" customHeight="1" x14ac:dyDescent="0.35">
      <c r="B338"/>
      <c r="C338"/>
      <c r="D338"/>
      <c r="E338"/>
      <c r="F338"/>
      <c r="G338"/>
      <c r="H338"/>
      <c r="I338"/>
      <c r="J338"/>
      <c r="K338"/>
      <c r="L338"/>
      <c r="M338"/>
      <c r="N338"/>
      <c r="O338"/>
      <c r="P338"/>
      <c r="Q338"/>
      <c r="R338"/>
      <c r="S338"/>
      <c r="T338"/>
      <c r="U338"/>
      <c r="V338" s="77"/>
      <c r="W338"/>
      <c r="X338"/>
      <c r="Z338"/>
    </row>
    <row r="339" spans="2:26" ht="20" customHeight="1" x14ac:dyDescent="0.35">
      <c r="U339"/>
      <c r="V339" s="77"/>
      <c r="W339"/>
      <c r="X339"/>
      <c r="Z339"/>
    </row>
    <row r="340" spans="2:26" ht="20" customHeight="1" x14ac:dyDescent="0.35">
      <c r="R340"/>
      <c r="S340"/>
      <c r="T340"/>
      <c r="U340"/>
      <c r="V340"/>
      <c r="W340"/>
      <c r="X340"/>
      <c r="Z340"/>
    </row>
    <row r="341" spans="2:26" ht="20" customHeight="1" x14ac:dyDescent="0.35">
      <c r="R341"/>
      <c r="S341"/>
      <c r="T341"/>
      <c r="U341"/>
      <c r="V341"/>
      <c r="W341"/>
      <c r="X341"/>
      <c r="Z341"/>
    </row>
    <row r="342" spans="2:26" ht="20" customHeight="1" x14ac:dyDescent="0.35">
      <c r="R342"/>
      <c r="S342"/>
      <c r="T342"/>
      <c r="U342"/>
      <c r="V342"/>
      <c r="W342"/>
      <c r="X342"/>
      <c r="Z342"/>
    </row>
    <row r="343" spans="2:26" ht="20" customHeight="1" x14ac:dyDescent="0.35">
      <c r="R343"/>
      <c r="S343"/>
      <c r="T343"/>
      <c r="U343"/>
      <c r="V343"/>
      <c r="W343"/>
      <c r="X343"/>
      <c r="Z343"/>
    </row>
    <row r="344" spans="2:26" ht="20" customHeight="1" x14ac:dyDescent="0.35">
      <c r="R344"/>
      <c r="S344"/>
      <c r="T344"/>
      <c r="U344"/>
      <c r="V344"/>
      <c r="W344"/>
      <c r="X344"/>
      <c r="Z344"/>
    </row>
    <row r="345" spans="2:26" ht="20" customHeight="1" x14ac:dyDescent="0.35">
      <c r="R345"/>
      <c r="S345"/>
      <c r="T345"/>
      <c r="U345"/>
      <c r="V345"/>
      <c r="W345"/>
      <c r="X345"/>
      <c r="Z345"/>
    </row>
    <row r="346" spans="2:26" ht="20" customHeight="1" x14ac:dyDescent="0.35">
      <c r="R346"/>
      <c r="S346"/>
      <c r="T346"/>
      <c r="U346"/>
      <c r="V346"/>
      <c r="W346"/>
      <c r="X346"/>
      <c r="Z346"/>
    </row>
    <row r="347" spans="2:26" ht="20" customHeight="1" x14ac:dyDescent="0.35">
      <c r="R347"/>
      <c r="S347"/>
      <c r="T347"/>
      <c r="U347"/>
      <c r="V347"/>
      <c r="W347"/>
      <c r="X347"/>
      <c r="Z347"/>
    </row>
    <row r="348" spans="2:26" ht="20" customHeight="1" x14ac:dyDescent="0.35">
      <c r="R348"/>
      <c r="S348"/>
      <c r="T348"/>
      <c r="U348"/>
      <c r="V348"/>
      <c r="W348"/>
      <c r="X348"/>
      <c r="Z348"/>
    </row>
    <row r="349" spans="2:26" ht="20" customHeight="1" x14ac:dyDescent="0.35">
      <c r="R349"/>
      <c r="S349"/>
      <c r="T349"/>
      <c r="U349"/>
      <c r="V349"/>
      <c r="W349"/>
      <c r="X349"/>
      <c r="Z349"/>
    </row>
    <row r="350" spans="2:26" ht="20" customHeight="1" x14ac:dyDescent="0.35">
      <c r="R350"/>
      <c r="S350"/>
      <c r="T350"/>
      <c r="U350"/>
      <c r="V350"/>
      <c r="W350"/>
      <c r="X350"/>
      <c r="Z350"/>
    </row>
    <row r="351" spans="2:26" ht="20" customHeight="1" x14ac:dyDescent="0.35">
      <c r="R351"/>
      <c r="S351"/>
      <c r="T351"/>
      <c r="U351"/>
      <c r="V351"/>
      <c r="W351"/>
      <c r="X351"/>
    </row>
    <row r="352" spans="2:26" ht="20" customHeight="1" x14ac:dyDescent="0.35">
      <c r="R352"/>
      <c r="S352"/>
      <c r="T352"/>
      <c r="U352"/>
      <c r="V352"/>
      <c r="W352"/>
      <c r="X352"/>
    </row>
    <row r="353" spans="18:24" ht="20" customHeight="1" x14ac:dyDescent="0.35">
      <c r="R353"/>
      <c r="S353"/>
      <c r="T353"/>
      <c r="U353"/>
      <c r="V353"/>
      <c r="W353"/>
      <c r="X353"/>
    </row>
    <row r="354" spans="18:24" ht="20" customHeight="1" x14ac:dyDescent="0.35">
      <c r="R354"/>
      <c r="S354"/>
      <c r="T354"/>
      <c r="U354"/>
      <c r="V354"/>
      <c r="W354"/>
      <c r="X354"/>
    </row>
    <row r="355" spans="18:24" ht="20" customHeight="1" x14ac:dyDescent="0.35">
      <c r="R355"/>
      <c r="S355"/>
      <c r="T355"/>
      <c r="U355"/>
      <c r="V355"/>
      <c r="W355"/>
      <c r="X355"/>
    </row>
    <row r="356" spans="18:24" ht="20" customHeight="1" x14ac:dyDescent="0.35">
      <c r="R356"/>
      <c r="S356"/>
      <c r="T356"/>
      <c r="U356"/>
      <c r="V356"/>
      <c r="W356"/>
      <c r="X356"/>
    </row>
    <row r="357" spans="18:24" ht="20" customHeight="1" x14ac:dyDescent="0.35">
      <c r="R357"/>
      <c r="S357"/>
      <c r="T357"/>
      <c r="U357"/>
      <c r="V357"/>
      <c r="W357"/>
      <c r="X357"/>
    </row>
    <row r="358" spans="18:24" ht="20" customHeight="1" x14ac:dyDescent="0.35">
      <c r="R358"/>
      <c r="S358"/>
      <c r="T358"/>
      <c r="U358"/>
      <c r="V358"/>
      <c r="W358"/>
      <c r="X358"/>
    </row>
    <row r="359" spans="18:24" ht="20" customHeight="1" x14ac:dyDescent="0.35">
      <c r="R359"/>
      <c r="S359"/>
      <c r="T359"/>
      <c r="U359"/>
      <c r="V359"/>
      <c r="W359"/>
      <c r="X359"/>
    </row>
    <row r="360" spans="18:24" ht="20" customHeight="1" x14ac:dyDescent="0.35">
      <c r="R360"/>
      <c r="S360"/>
      <c r="T360"/>
      <c r="U360"/>
      <c r="V360"/>
      <c r="W360"/>
      <c r="X360"/>
    </row>
    <row r="361" spans="18:24" ht="20" customHeight="1" x14ac:dyDescent="0.35">
      <c r="R361"/>
      <c r="S361"/>
      <c r="T361"/>
      <c r="U361"/>
      <c r="V361"/>
      <c r="W361"/>
      <c r="X361"/>
    </row>
    <row r="362" spans="18:24" ht="20" customHeight="1" x14ac:dyDescent="0.35">
      <c r="R362"/>
      <c r="S362"/>
      <c r="T362"/>
      <c r="U362"/>
      <c r="V362"/>
      <c r="W362"/>
      <c r="X362"/>
    </row>
    <row r="363" spans="18:24" ht="20" customHeight="1" x14ac:dyDescent="0.35">
      <c r="R363"/>
      <c r="S363"/>
      <c r="T363"/>
      <c r="U363"/>
      <c r="V363"/>
      <c r="W363"/>
      <c r="X363"/>
    </row>
    <row r="364" spans="18:24" ht="20" customHeight="1" x14ac:dyDescent="0.35">
      <c r="R364"/>
      <c r="S364"/>
      <c r="T364"/>
      <c r="U364"/>
      <c r="V364"/>
      <c r="W364"/>
      <c r="X364"/>
    </row>
    <row r="365" spans="18:24" ht="20" customHeight="1" x14ac:dyDescent="0.35">
      <c r="R365"/>
      <c r="S365"/>
      <c r="T365"/>
      <c r="U365"/>
      <c r="V365"/>
      <c r="W365"/>
      <c r="X365"/>
    </row>
    <row r="366" spans="18:24" ht="20" customHeight="1" x14ac:dyDescent="0.35">
      <c r="R366"/>
      <c r="S366"/>
      <c r="T366"/>
      <c r="U366"/>
      <c r="V366"/>
      <c r="W366"/>
      <c r="X366"/>
    </row>
    <row r="367" spans="18:24" ht="20" customHeight="1" x14ac:dyDescent="0.35">
      <c r="R367"/>
      <c r="S367"/>
      <c r="T367"/>
      <c r="U367"/>
      <c r="V367"/>
      <c r="W367"/>
      <c r="X367"/>
    </row>
    <row r="368" spans="18:24" ht="20" customHeight="1" x14ac:dyDescent="0.35">
      <c r="R368"/>
      <c r="S368"/>
      <c r="T368"/>
      <c r="U368"/>
      <c r="V368"/>
      <c r="W368"/>
      <c r="X368"/>
    </row>
    <row r="369" spans="18:24" ht="20" customHeight="1" x14ac:dyDescent="0.35">
      <c r="R369"/>
      <c r="S369"/>
      <c r="T369"/>
      <c r="U369"/>
      <c r="V369"/>
      <c r="W369"/>
      <c r="X369"/>
    </row>
    <row r="370" spans="18:24" ht="20" customHeight="1" x14ac:dyDescent="0.35">
      <c r="R370"/>
      <c r="S370"/>
      <c r="T370"/>
      <c r="U370"/>
      <c r="V370"/>
      <c r="W370"/>
      <c r="X370"/>
    </row>
    <row r="371" spans="18:24" ht="20" customHeight="1" x14ac:dyDescent="0.35">
      <c r="R371"/>
      <c r="S371"/>
      <c r="T371"/>
      <c r="U371"/>
      <c r="V371"/>
      <c r="W371"/>
      <c r="X371"/>
    </row>
    <row r="372" spans="18:24" ht="20" customHeight="1" x14ac:dyDescent="0.35">
      <c r="R372"/>
      <c r="S372"/>
      <c r="T372"/>
      <c r="U372"/>
      <c r="V372"/>
      <c r="W372"/>
      <c r="X372"/>
    </row>
    <row r="373" spans="18:24" ht="20" customHeight="1" x14ac:dyDescent="0.35">
      <c r="R373"/>
      <c r="S373"/>
      <c r="T373"/>
      <c r="U373"/>
      <c r="V373"/>
      <c r="W373"/>
      <c r="X373"/>
    </row>
    <row r="374" spans="18:24" ht="20" customHeight="1" x14ac:dyDescent="0.35">
      <c r="R374"/>
      <c r="S374"/>
      <c r="T374"/>
      <c r="U374"/>
      <c r="V374"/>
      <c r="W374"/>
      <c r="X374"/>
    </row>
    <row r="375" spans="18:24" ht="20" customHeight="1" x14ac:dyDescent="0.35">
      <c r="R375"/>
      <c r="S375"/>
      <c r="T375"/>
      <c r="U375"/>
      <c r="V375"/>
      <c r="W375"/>
      <c r="X375"/>
    </row>
    <row r="376" spans="18:24" ht="20" customHeight="1" x14ac:dyDescent="0.35">
      <c r="R376"/>
      <c r="S376"/>
      <c r="T376"/>
      <c r="U376"/>
      <c r="V376"/>
      <c r="W376"/>
      <c r="X376"/>
    </row>
    <row r="377" spans="18:24" ht="20" customHeight="1" x14ac:dyDescent="0.35">
      <c r="R377"/>
      <c r="S377"/>
      <c r="T377"/>
      <c r="U377"/>
      <c r="V377"/>
      <c r="W377"/>
      <c r="X377"/>
    </row>
    <row r="378" spans="18:24" ht="20" customHeight="1" x14ac:dyDescent="0.35">
      <c r="R378"/>
      <c r="S378"/>
      <c r="T378"/>
      <c r="U378"/>
      <c r="V378"/>
      <c r="W378"/>
      <c r="X378"/>
    </row>
    <row r="379" spans="18:24" ht="20" customHeight="1" x14ac:dyDescent="0.35">
      <c r="R379"/>
      <c r="S379"/>
      <c r="T379"/>
      <c r="U379"/>
      <c r="V379"/>
      <c r="W379"/>
      <c r="X379"/>
    </row>
    <row r="380" spans="18:24" ht="20" customHeight="1" x14ac:dyDescent="0.35">
      <c r="R380"/>
      <c r="S380"/>
      <c r="T380"/>
      <c r="U380"/>
      <c r="V380"/>
      <c r="W380"/>
      <c r="X380"/>
    </row>
    <row r="381" spans="18:24" ht="20" customHeight="1" x14ac:dyDescent="0.35">
      <c r="R381"/>
      <c r="S381"/>
      <c r="T381"/>
      <c r="U381"/>
      <c r="V381"/>
      <c r="W381"/>
      <c r="X381"/>
    </row>
    <row r="382" spans="18:24" ht="20" customHeight="1" x14ac:dyDescent="0.35">
      <c r="R382"/>
      <c r="S382"/>
      <c r="T382"/>
      <c r="U382"/>
      <c r="V382"/>
      <c r="W382"/>
      <c r="X382"/>
    </row>
    <row r="383" spans="18:24" ht="20" customHeight="1" x14ac:dyDescent="0.35">
      <c r="R383"/>
      <c r="S383"/>
      <c r="T383"/>
      <c r="U383"/>
      <c r="V383"/>
      <c r="W383"/>
      <c r="X383"/>
    </row>
    <row r="384" spans="18:24" ht="20" customHeight="1" x14ac:dyDescent="0.35">
      <c r="R384"/>
      <c r="S384"/>
      <c r="T384"/>
      <c r="U384"/>
      <c r="V384"/>
      <c r="W384"/>
      <c r="X384"/>
    </row>
    <row r="385" spans="2:24" ht="20" customHeight="1" x14ac:dyDescent="0.35">
      <c r="R385"/>
      <c r="S385"/>
      <c r="T385"/>
      <c r="U385"/>
      <c r="V385"/>
      <c r="W385"/>
      <c r="X385"/>
    </row>
    <row r="386" spans="2:24" ht="20" customHeight="1" x14ac:dyDescent="0.35">
      <c r="R386"/>
      <c r="S386"/>
      <c r="T386"/>
      <c r="U386"/>
      <c r="V386"/>
      <c r="W386"/>
      <c r="X386"/>
    </row>
    <row r="387" spans="2:24" ht="20" customHeight="1" x14ac:dyDescent="0.35">
      <c r="R387"/>
      <c r="S387"/>
      <c r="T387"/>
      <c r="U387"/>
      <c r="V387"/>
      <c r="W387"/>
      <c r="X387"/>
    </row>
    <row r="388" spans="2:24" ht="20" customHeight="1" x14ac:dyDescent="0.35">
      <c r="R388"/>
      <c r="S388"/>
      <c r="T388"/>
      <c r="U388"/>
      <c r="V388"/>
      <c r="W388"/>
      <c r="X388"/>
    </row>
    <row r="389" spans="2:24" ht="20" customHeight="1" x14ac:dyDescent="0.35">
      <c r="R389"/>
      <c r="S389"/>
      <c r="T389"/>
      <c r="U389"/>
      <c r="V389"/>
      <c r="W389"/>
      <c r="X389"/>
    </row>
    <row r="390" spans="2:24" ht="20" customHeight="1" x14ac:dyDescent="0.35">
      <c r="R390"/>
      <c r="S390"/>
      <c r="T390"/>
      <c r="U390"/>
      <c r="V390"/>
      <c r="W390"/>
      <c r="X390"/>
    </row>
    <row r="391" spans="2:24" ht="15.5" x14ac:dyDescent="0.35">
      <c r="B391" s="18"/>
      <c r="C391"/>
      <c r="D391"/>
      <c r="E391"/>
      <c r="F391"/>
      <c r="G391"/>
      <c r="H391"/>
      <c r="I391"/>
      <c r="J391"/>
      <c r="K391"/>
      <c r="L391"/>
      <c r="M391"/>
      <c r="N391"/>
      <c r="O391"/>
      <c r="P391"/>
      <c r="Q391"/>
      <c r="R391"/>
      <c r="S391"/>
      <c r="T391"/>
      <c r="U391"/>
      <c r="V391"/>
    </row>
    <row r="392" spans="2:24" ht="15.5" x14ac:dyDescent="0.35">
      <c r="B392" s="18"/>
      <c r="C392"/>
      <c r="D392"/>
      <c r="E392"/>
      <c r="F392"/>
      <c r="G392"/>
      <c r="H392"/>
      <c r="I392"/>
      <c r="J392"/>
      <c r="K392"/>
      <c r="L392"/>
      <c r="M392"/>
      <c r="N392"/>
      <c r="O392"/>
      <c r="Q392"/>
      <c r="R392"/>
      <c r="S392"/>
      <c r="T392"/>
      <c r="U392"/>
      <c r="V392"/>
    </row>
    <row r="393" spans="2:24" ht="15.5" x14ac:dyDescent="0.35">
      <c r="B393" s="18"/>
      <c r="C393"/>
      <c r="D393"/>
      <c r="E393"/>
      <c r="F393"/>
      <c r="G393"/>
      <c r="H393"/>
      <c r="I393"/>
      <c r="J393"/>
      <c r="K393"/>
      <c r="L393"/>
      <c r="M393"/>
      <c r="N393"/>
      <c r="O393"/>
      <c r="P393"/>
      <c r="Q393"/>
      <c r="R393"/>
      <c r="S393"/>
      <c r="T393"/>
      <c r="U393"/>
      <c r="V393"/>
    </row>
    <row r="394" spans="2:24" ht="15.5" x14ac:dyDescent="0.35">
      <c r="B394" s="18"/>
      <c r="C394"/>
      <c r="D394"/>
      <c r="E394"/>
      <c r="F394"/>
      <c r="G394"/>
      <c r="H394"/>
      <c r="I394"/>
      <c r="J394"/>
      <c r="K394"/>
      <c r="L394"/>
      <c r="M394"/>
      <c r="N394"/>
      <c r="O394"/>
      <c r="P394"/>
      <c r="Q394"/>
      <c r="R394"/>
      <c r="S394"/>
      <c r="T394"/>
      <c r="U394"/>
      <c r="V394"/>
    </row>
    <row r="395" spans="2:24" ht="15.5" x14ac:dyDescent="0.35">
      <c r="B395" s="18"/>
      <c r="C395"/>
      <c r="D395"/>
      <c r="E395"/>
      <c r="F395"/>
      <c r="G395"/>
      <c r="H395"/>
      <c r="I395"/>
      <c r="J395"/>
      <c r="K395"/>
      <c r="L395"/>
      <c r="M395"/>
      <c r="N395"/>
      <c r="O395"/>
      <c r="P395"/>
      <c r="Q395"/>
      <c r="R395"/>
      <c r="S395"/>
      <c r="T395"/>
      <c r="U395"/>
      <c r="V395"/>
    </row>
    <row r="396" spans="2:24" ht="15.5" x14ac:dyDescent="0.35">
      <c r="B396" s="18"/>
      <c r="C396"/>
      <c r="D396"/>
      <c r="E396"/>
      <c r="F396"/>
      <c r="G396"/>
      <c r="H396"/>
      <c r="I396"/>
      <c r="J396"/>
      <c r="K396"/>
      <c r="L396"/>
      <c r="M396"/>
      <c r="N396"/>
      <c r="O396"/>
      <c r="P396"/>
      <c r="Q396"/>
      <c r="R396"/>
      <c r="S396"/>
      <c r="T396"/>
      <c r="U396"/>
      <c r="V396"/>
    </row>
    <row r="397" spans="2:24" ht="15.5" x14ac:dyDescent="0.35">
      <c r="B397" s="18"/>
      <c r="R397"/>
      <c r="S397"/>
      <c r="T397"/>
      <c r="U397"/>
      <c r="V397"/>
    </row>
    <row r="398" spans="2:24" ht="15.5" x14ac:dyDescent="0.35">
      <c r="B398" s="18"/>
      <c r="R398"/>
      <c r="S398"/>
      <c r="T398"/>
      <c r="U398"/>
      <c r="V398"/>
    </row>
    <row r="399" spans="2:24" ht="15.5" x14ac:dyDescent="0.35">
      <c r="B399" s="18"/>
      <c r="R399"/>
      <c r="S399"/>
      <c r="T399"/>
      <c r="U399"/>
      <c r="V399"/>
    </row>
    <row r="400" spans="2:24" ht="15.5" x14ac:dyDescent="0.35">
      <c r="B400" s="18"/>
      <c r="R400"/>
      <c r="S400"/>
      <c r="T400"/>
      <c r="U400"/>
      <c r="V400"/>
    </row>
    <row r="401" spans="2:22" ht="15.5" x14ac:dyDescent="0.35">
      <c r="B401" s="18"/>
      <c r="R401"/>
      <c r="S401"/>
      <c r="T401"/>
      <c r="U401"/>
      <c r="V401"/>
    </row>
    <row r="402" spans="2:22" ht="15.5" x14ac:dyDescent="0.35">
      <c r="B402" s="18"/>
      <c r="R402"/>
      <c r="S402"/>
      <c r="T402"/>
      <c r="U402"/>
      <c r="V402"/>
    </row>
    <row r="403" spans="2:22" ht="15.5" x14ac:dyDescent="0.35">
      <c r="B403" s="18"/>
      <c r="R403"/>
      <c r="S403"/>
      <c r="T403"/>
      <c r="U403"/>
      <c r="V403"/>
    </row>
    <row r="404" spans="2:22" ht="15.5" x14ac:dyDescent="0.35">
      <c r="B404" s="18"/>
      <c r="R404"/>
      <c r="S404"/>
      <c r="T404"/>
      <c r="U404"/>
      <c r="V404"/>
    </row>
    <row r="405" spans="2:22" ht="15.5" x14ac:dyDescent="0.35">
      <c r="B405" s="18"/>
      <c r="R405"/>
      <c r="S405"/>
      <c r="T405"/>
      <c r="U405"/>
      <c r="V405"/>
    </row>
    <row r="406" spans="2:22" ht="15.5" x14ac:dyDescent="0.35">
      <c r="B406" s="18"/>
      <c r="R406"/>
      <c r="S406"/>
      <c r="T406"/>
      <c r="U406"/>
      <c r="V406"/>
    </row>
    <row r="407" spans="2:22" ht="15.5" x14ac:dyDescent="0.35">
      <c r="B407" s="18"/>
      <c r="R407"/>
      <c r="S407"/>
      <c r="T407"/>
      <c r="U407"/>
      <c r="V407"/>
    </row>
    <row r="408" spans="2:22" ht="15.5" x14ac:dyDescent="0.35">
      <c r="B408" s="18"/>
      <c r="R408"/>
      <c r="S408"/>
      <c r="T408"/>
      <c r="U408"/>
      <c r="V408"/>
    </row>
    <row r="409" spans="2:22" ht="15.5" x14ac:dyDescent="0.35">
      <c r="B409" s="18"/>
      <c r="R409"/>
      <c r="S409"/>
      <c r="T409"/>
      <c r="U409"/>
      <c r="V409"/>
    </row>
    <row r="410" spans="2:22" ht="15.5" x14ac:dyDescent="0.35">
      <c r="B410" s="18"/>
      <c r="R410"/>
      <c r="S410"/>
      <c r="T410"/>
      <c r="U410"/>
      <c r="V410"/>
    </row>
    <row r="411" spans="2:22" ht="15.5" x14ac:dyDescent="0.35">
      <c r="B411" s="18"/>
      <c r="R411"/>
      <c r="S411"/>
      <c r="T411"/>
      <c r="U411"/>
      <c r="V411"/>
    </row>
    <row r="412" spans="2:22" ht="15.5" x14ac:dyDescent="0.35">
      <c r="B412" s="18"/>
      <c r="R412"/>
      <c r="S412"/>
      <c r="T412"/>
      <c r="U412"/>
      <c r="V412"/>
    </row>
    <row r="413" spans="2:22" ht="15.5" x14ac:dyDescent="0.35">
      <c r="B413" s="18"/>
      <c r="R413"/>
      <c r="S413"/>
      <c r="T413"/>
      <c r="U413"/>
      <c r="V413"/>
    </row>
    <row r="414" spans="2:22" ht="15.5" x14ac:dyDescent="0.35">
      <c r="B414" s="18"/>
      <c r="R414"/>
      <c r="S414"/>
      <c r="T414"/>
      <c r="U414"/>
      <c r="V414"/>
    </row>
    <row r="415" spans="2:22" ht="15.5" x14ac:dyDescent="0.35">
      <c r="B415" s="18"/>
    </row>
    <row r="416" spans="2:22" ht="15.5" x14ac:dyDescent="0.35">
      <c r="B416" s="18"/>
    </row>
    <row r="417" spans="2:2" ht="15.5" x14ac:dyDescent="0.35">
      <c r="B417" s="18"/>
    </row>
    <row r="418" spans="2:2" ht="15.5" x14ac:dyDescent="0.35">
      <c r="B418" s="18"/>
    </row>
    <row r="419" spans="2:2" ht="15.5" x14ac:dyDescent="0.35">
      <c r="B419" s="18"/>
    </row>
    <row r="420" spans="2:2" ht="15.5" x14ac:dyDescent="0.35">
      <c r="B420" s="18"/>
    </row>
    <row r="421" spans="2:2" ht="15.5" x14ac:dyDescent="0.35">
      <c r="B421" s="18"/>
    </row>
    <row r="422" spans="2:2" ht="15.5" x14ac:dyDescent="0.35">
      <c r="B422" s="18"/>
    </row>
    <row r="423" spans="2:2" ht="15.5" x14ac:dyDescent="0.35">
      <c r="B423" s="18"/>
    </row>
    <row r="424" spans="2:2" ht="15.5" x14ac:dyDescent="0.35">
      <c r="B424" s="18"/>
    </row>
    <row r="425" spans="2:2" ht="15.5" x14ac:dyDescent="0.35">
      <c r="B425" s="18"/>
    </row>
    <row r="426" spans="2:2" ht="15.5" x14ac:dyDescent="0.35">
      <c r="B426" s="18"/>
    </row>
    <row r="427" spans="2:2" ht="15.5" x14ac:dyDescent="0.35">
      <c r="B427" s="18"/>
    </row>
    <row r="428" spans="2:2" ht="15.5" x14ac:dyDescent="0.35">
      <c r="B428" s="18"/>
    </row>
    <row r="429" spans="2:2" ht="15.5" x14ac:dyDescent="0.35">
      <c r="B429" s="18"/>
    </row>
    <row r="430" spans="2:2" ht="15.5" x14ac:dyDescent="0.35">
      <c r="B430" s="18"/>
    </row>
    <row r="431" spans="2:2" ht="15.5" x14ac:dyDescent="0.35">
      <c r="B431" s="18"/>
    </row>
    <row r="432" spans="2:2" ht="15.5" x14ac:dyDescent="0.35">
      <c r="B432" s="18"/>
    </row>
    <row r="433" spans="2:2" ht="15.5" x14ac:dyDescent="0.35">
      <c r="B433" s="18"/>
    </row>
    <row r="434" spans="2:2" ht="15.5" x14ac:dyDescent="0.35">
      <c r="B434" s="18"/>
    </row>
    <row r="435" spans="2:2" ht="15.5" x14ac:dyDescent="0.35">
      <c r="B435" s="18"/>
    </row>
    <row r="436" spans="2:2" ht="15.5" x14ac:dyDescent="0.35">
      <c r="B436" s="18"/>
    </row>
    <row r="437" spans="2:2" ht="15.5" x14ac:dyDescent="0.35">
      <c r="B437" s="18"/>
    </row>
    <row r="438" spans="2:2" ht="15.5" x14ac:dyDescent="0.35">
      <c r="B438" s="18"/>
    </row>
    <row r="439" spans="2:2" ht="15.5" x14ac:dyDescent="0.35">
      <c r="B439" s="18"/>
    </row>
    <row r="440" spans="2:2" ht="15.5" x14ac:dyDescent="0.35">
      <c r="B440" s="18"/>
    </row>
    <row r="441" spans="2:2" ht="15.5" x14ac:dyDescent="0.35">
      <c r="B441" s="18"/>
    </row>
    <row r="442" spans="2:2" ht="15.5" x14ac:dyDescent="0.35">
      <c r="B442" s="18"/>
    </row>
    <row r="443" spans="2:2" ht="15.5" x14ac:dyDescent="0.35">
      <c r="B443" s="18"/>
    </row>
    <row r="444" spans="2:2" ht="15.5" x14ac:dyDescent="0.35">
      <c r="B444" s="18"/>
    </row>
    <row r="445" spans="2:2" ht="15.5" x14ac:dyDescent="0.35">
      <c r="B445" s="18"/>
    </row>
    <row r="446" spans="2:2" ht="15.5" x14ac:dyDescent="0.35">
      <c r="B446" s="18"/>
    </row>
    <row r="447" spans="2:2" ht="15.5" x14ac:dyDescent="0.35">
      <c r="B447" s="18"/>
    </row>
    <row r="448" spans="2:2" ht="15.5" x14ac:dyDescent="0.35">
      <c r="B448" s="18"/>
    </row>
    <row r="449" spans="2:2" ht="15.5" x14ac:dyDescent="0.35">
      <c r="B449" s="18"/>
    </row>
    <row r="450" spans="2:2" ht="15.5" x14ac:dyDescent="0.35">
      <c r="B450" s="18"/>
    </row>
    <row r="451" spans="2:2" ht="15.5" x14ac:dyDescent="0.35">
      <c r="B451" s="18"/>
    </row>
    <row r="452" spans="2:2" ht="15.5" x14ac:dyDescent="0.35">
      <c r="B452" s="18"/>
    </row>
    <row r="453" spans="2:2" ht="15.5" x14ac:dyDescent="0.35">
      <c r="B453" s="18"/>
    </row>
    <row r="454" spans="2:2" ht="15.5" x14ac:dyDescent="0.35">
      <c r="B454" s="18"/>
    </row>
    <row r="455" spans="2:2" ht="15.5" x14ac:dyDescent="0.35">
      <c r="B455" s="18"/>
    </row>
    <row r="456" spans="2:2" ht="15.5" x14ac:dyDescent="0.35">
      <c r="B456" s="18"/>
    </row>
    <row r="457" spans="2:2" ht="15.5" x14ac:dyDescent="0.35">
      <c r="B457" s="18"/>
    </row>
    <row r="458" spans="2:2" ht="15.5" x14ac:dyDescent="0.35">
      <c r="B458" s="18"/>
    </row>
    <row r="459" spans="2:2" ht="15.5" x14ac:dyDescent="0.35">
      <c r="B459" s="18"/>
    </row>
    <row r="460" spans="2:2" ht="15.5" x14ac:dyDescent="0.35">
      <c r="B460" s="18"/>
    </row>
    <row r="461" spans="2:2" ht="15.5" x14ac:dyDescent="0.35">
      <c r="B461" s="18"/>
    </row>
    <row r="462" spans="2:2" ht="15.5" x14ac:dyDescent="0.35">
      <c r="B462" s="18"/>
    </row>
    <row r="463" spans="2:2" ht="15.5" x14ac:dyDescent="0.35">
      <c r="B463" s="18"/>
    </row>
    <row r="464" spans="2:2" ht="15.5" x14ac:dyDescent="0.35">
      <c r="B464" s="18"/>
    </row>
    <row r="465" spans="2:2" ht="15.5" x14ac:dyDescent="0.35">
      <c r="B465" s="18"/>
    </row>
    <row r="466" spans="2:2" ht="15.5" x14ac:dyDescent="0.35">
      <c r="B466" s="18"/>
    </row>
    <row r="467" spans="2:2" ht="15.5" x14ac:dyDescent="0.35">
      <c r="B467" s="18"/>
    </row>
    <row r="468" spans="2:2" ht="15.5" x14ac:dyDescent="0.35">
      <c r="B468" s="18"/>
    </row>
    <row r="469" spans="2:2" ht="15.5" x14ac:dyDescent="0.35">
      <c r="B469" s="18"/>
    </row>
    <row r="470" spans="2:2" ht="15.5" x14ac:dyDescent="0.35">
      <c r="B470" s="18"/>
    </row>
    <row r="471" spans="2:2" ht="15.5" x14ac:dyDescent="0.35">
      <c r="B471" s="18"/>
    </row>
    <row r="472" spans="2:2" ht="15.5" x14ac:dyDescent="0.35">
      <c r="B472" s="18"/>
    </row>
    <row r="473" spans="2:2" ht="15.5" x14ac:dyDescent="0.35">
      <c r="B473" s="18"/>
    </row>
    <row r="474" spans="2:2" ht="15.5" x14ac:dyDescent="0.35">
      <c r="B474" s="18"/>
    </row>
    <row r="475" spans="2:2" ht="15.5" x14ac:dyDescent="0.35">
      <c r="B475" s="18"/>
    </row>
    <row r="476" spans="2:2" ht="15.5" x14ac:dyDescent="0.35">
      <c r="B476" s="18"/>
    </row>
    <row r="477" spans="2:2" ht="15.5" x14ac:dyDescent="0.35">
      <c r="B477" s="18"/>
    </row>
    <row r="478" spans="2:2" ht="15.5" x14ac:dyDescent="0.35">
      <c r="B478" s="18"/>
    </row>
    <row r="479" spans="2:2" ht="15.5" x14ac:dyDescent="0.35">
      <c r="B479" s="18"/>
    </row>
    <row r="480" spans="2:2" ht="15.5" x14ac:dyDescent="0.35">
      <c r="B480" s="18"/>
    </row>
    <row r="481" spans="2:2" ht="15.5" x14ac:dyDescent="0.35">
      <c r="B481" s="18"/>
    </row>
    <row r="482" spans="2:2" ht="15.5" x14ac:dyDescent="0.35">
      <c r="B482" s="18"/>
    </row>
    <row r="483" spans="2:2" ht="15.5" x14ac:dyDescent="0.35">
      <c r="B483" s="18"/>
    </row>
    <row r="484" spans="2:2" ht="15.5" x14ac:dyDescent="0.35">
      <c r="B484" s="18"/>
    </row>
    <row r="485" spans="2:2" ht="15.5" x14ac:dyDescent="0.35">
      <c r="B485" s="18"/>
    </row>
    <row r="486" spans="2:2" ht="15.5" x14ac:dyDescent="0.35">
      <c r="B486" s="18"/>
    </row>
    <row r="487" spans="2:2" ht="15.5" x14ac:dyDescent="0.35">
      <c r="B487" s="18"/>
    </row>
    <row r="488" spans="2:2" ht="15.5" x14ac:dyDescent="0.35">
      <c r="B488" s="18"/>
    </row>
    <row r="489" spans="2:2" ht="15.5" x14ac:dyDescent="0.35">
      <c r="B489" s="18"/>
    </row>
    <row r="490" spans="2:2" ht="15.5" x14ac:dyDescent="0.35">
      <c r="B490" s="18"/>
    </row>
    <row r="491" spans="2:2" ht="15.5" x14ac:dyDescent="0.35">
      <c r="B491" s="18"/>
    </row>
    <row r="492" spans="2:2" ht="15.5" x14ac:dyDescent="0.35">
      <c r="B492" s="18"/>
    </row>
    <row r="493" spans="2:2" ht="15.5" x14ac:dyDescent="0.35">
      <c r="B493" s="18"/>
    </row>
    <row r="494" spans="2:2" ht="15.5" x14ac:dyDescent="0.35">
      <c r="B494" s="18"/>
    </row>
    <row r="495" spans="2:2" ht="15.5" x14ac:dyDescent="0.35">
      <c r="B495" s="18"/>
    </row>
    <row r="496" spans="2:2" ht="15.5" x14ac:dyDescent="0.35">
      <c r="B496" s="18"/>
    </row>
    <row r="497" spans="2:2" ht="15.5" x14ac:dyDescent="0.35">
      <c r="B497" s="18"/>
    </row>
    <row r="498" spans="2:2" ht="15.5" x14ac:dyDescent="0.35">
      <c r="B498" s="18"/>
    </row>
    <row r="499" spans="2:2" ht="15.5" x14ac:dyDescent="0.35">
      <c r="B499" s="18"/>
    </row>
    <row r="500" spans="2:2" ht="15.5" x14ac:dyDescent="0.35">
      <c r="B500" s="18"/>
    </row>
    <row r="501" spans="2:2" ht="15.5" x14ac:dyDescent="0.35">
      <c r="B501" s="18"/>
    </row>
    <row r="502" spans="2:2" ht="15.5" x14ac:dyDescent="0.35">
      <c r="B502" s="18"/>
    </row>
    <row r="503" spans="2:2" ht="15.5" x14ac:dyDescent="0.35">
      <c r="B503" s="18"/>
    </row>
    <row r="504" spans="2:2" ht="15.5" x14ac:dyDescent="0.35">
      <c r="B504" s="18"/>
    </row>
    <row r="505" spans="2:2" ht="15.5" x14ac:dyDescent="0.35">
      <c r="B505" s="18"/>
    </row>
    <row r="506" spans="2:2" ht="15.5" x14ac:dyDescent="0.35">
      <c r="B506" s="18"/>
    </row>
    <row r="507" spans="2:2" ht="15.5" x14ac:dyDescent="0.35">
      <c r="B507" s="18"/>
    </row>
    <row r="508" spans="2:2" ht="15.5" x14ac:dyDescent="0.35">
      <c r="B508" s="18"/>
    </row>
    <row r="509" spans="2:2" ht="15.5" x14ac:dyDescent="0.35">
      <c r="B509" s="18"/>
    </row>
    <row r="510" spans="2:2" ht="15.5" x14ac:dyDescent="0.35">
      <c r="B510" s="18"/>
    </row>
    <row r="511" spans="2:2" ht="15.5" x14ac:dyDescent="0.35">
      <c r="B511" s="18"/>
    </row>
    <row r="512" spans="2:2" ht="15.5" x14ac:dyDescent="0.35">
      <c r="B512" s="18"/>
    </row>
    <row r="513" spans="2:2" ht="15.5" x14ac:dyDescent="0.35">
      <c r="B513" s="18"/>
    </row>
    <row r="514" spans="2:2" ht="15.5" x14ac:dyDescent="0.35">
      <c r="B514" s="18"/>
    </row>
    <row r="515" spans="2:2" ht="15.5" x14ac:dyDescent="0.35">
      <c r="B515" s="18"/>
    </row>
    <row r="516" spans="2:2" ht="15.5" x14ac:dyDescent="0.35">
      <c r="B516" s="18"/>
    </row>
    <row r="517" spans="2:2" ht="15.5" x14ac:dyDescent="0.35">
      <c r="B517" s="18"/>
    </row>
    <row r="518" spans="2:2" ht="15.5" x14ac:dyDescent="0.35">
      <c r="B518" s="18"/>
    </row>
    <row r="519" spans="2:2" ht="15.5" x14ac:dyDescent="0.35">
      <c r="B519" s="18"/>
    </row>
    <row r="520" spans="2:2" ht="15.5" x14ac:dyDescent="0.35">
      <c r="B520" s="18"/>
    </row>
    <row r="521" spans="2:2" ht="15.5" x14ac:dyDescent="0.35">
      <c r="B521" s="18"/>
    </row>
    <row r="522" spans="2:2" ht="15.5" x14ac:dyDescent="0.35">
      <c r="B522" s="18"/>
    </row>
    <row r="523" spans="2:2" ht="15.5" x14ac:dyDescent="0.35">
      <c r="B523" s="18"/>
    </row>
    <row r="524" spans="2:2" ht="15.5" x14ac:dyDescent="0.35">
      <c r="B524" s="18"/>
    </row>
    <row r="525" spans="2:2" ht="15.5" x14ac:dyDescent="0.35">
      <c r="B525" s="18"/>
    </row>
    <row r="526" spans="2:2" ht="15.5" x14ac:dyDescent="0.35">
      <c r="B526" s="18"/>
    </row>
    <row r="527" spans="2:2" ht="15.5" x14ac:dyDescent="0.35">
      <c r="B527" s="18"/>
    </row>
    <row r="528" spans="2:2" ht="15.5" x14ac:dyDescent="0.35">
      <c r="B528" s="18"/>
    </row>
    <row r="529" spans="2:2" ht="15.5" x14ac:dyDescent="0.35">
      <c r="B529" s="18"/>
    </row>
    <row r="530" spans="2:2" ht="15.5" x14ac:dyDescent="0.35">
      <c r="B530" s="18"/>
    </row>
    <row r="531" spans="2:2" ht="15.5" x14ac:dyDescent="0.35">
      <c r="B531" s="18"/>
    </row>
    <row r="532" spans="2:2" ht="15.5" x14ac:dyDescent="0.35">
      <c r="B532" s="18"/>
    </row>
    <row r="533" spans="2:2" ht="15.5" x14ac:dyDescent="0.35">
      <c r="B533" s="18"/>
    </row>
    <row r="534" spans="2:2" ht="15.5" x14ac:dyDescent="0.35">
      <c r="B534" s="18"/>
    </row>
    <row r="535" spans="2:2" ht="15.5" x14ac:dyDescent="0.35">
      <c r="B535" s="18"/>
    </row>
    <row r="536" spans="2:2" ht="15.5" x14ac:dyDescent="0.35">
      <c r="B536" s="18"/>
    </row>
    <row r="537" spans="2:2" ht="15.5" x14ac:dyDescent="0.35">
      <c r="B537" s="18"/>
    </row>
    <row r="538" spans="2:2" ht="15.5" x14ac:dyDescent="0.35">
      <c r="B538" s="18"/>
    </row>
    <row r="539" spans="2:2" ht="15.5" x14ac:dyDescent="0.35">
      <c r="B539" s="18"/>
    </row>
    <row r="540" spans="2:2" ht="15.5" x14ac:dyDescent="0.35">
      <c r="B540" s="18"/>
    </row>
    <row r="541" spans="2:2" ht="15.5" x14ac:dyDescent="0.35">
      <c r="B541" s="18"/>
    </row>
    <row r="542" spans="2:2" ht="15.5" x14ac:dyDescent="0.35">
      <c r="B542" s="18"/>
    </row>
    <row r="543" spans="2:2" ht="15.5" x14ac:dyDescent="0.35">
      <c r="B543" s="18"/>
    </row>
    <row r="544" spans="2:2" ht="15.5" x14ac:dyDescent="0.35">
      <c r="B544" s="18"/>
    </row>
    <row r="545" spans="2:2" ht="15.5" x14ac:dyDescent="0.35">
      <c r="B545" s="18"/>
    </row>
    <row r="546" spans="2:2" ht="15.5" x14ac:dyDescent="0.35">
      <c r="B546" s="18"/>
    </row>
    <row r="547" spans="2:2" ht="15.5" x14ac:dyDescent="0.35">
      <c r="B547" s="18"/>
    </row>
    <row r="548" spans="2:2" ht="15.5" x14ac:dyDescent="0.35">
      <c r="B548" s="18"/>
    </row>
    <row r="549" spans="2:2" ht="15.5" x14ac:dyDescent="0.35">
      <c r="B549" s="18"/>
    </row>
    <row r="550" spans="2:2" ht="15.5" x14ac:dyDescent="0.35">
      <c r="B550" s="18"/>
    </row>
    <row r="551" spans="2:2" ht="15.5" x14ac:dyDescent="0.35">
      <c r="B551" s="18"/>
    </row>
    <row r="552" spans="2:2" ht="15.5" x14ac:dyDescent="0.35">
      <c r="B552" s="18"/>
    </row>
    <row r="553" spans="2:2" ht="15.5" x14ac:dyDescent="0.35">
      <c r="B553" s="18"/>
    </row>
    <row r="554" spans="2:2" ht="15.5" x14ac:dyDescent="0.35">
      <c r="B554" s="18"/>
    </row>
    <row r="555" spans="2:2" ht="15.5" x14ac:dyDescent="0.35">
      <c r="B555" s="18"/>
    </row>
    <row r="556" spans="2:2" ht="15.5" x14ac:dyDescent="0.35">
      <c r="B556" s="18"/>
    </row>
    <row r="557" spans="2:2" ht="15.5" x14ac:dyDescent="0.35">
      <c r="B557" s="18"/>
    </row>
    <row r="558" spans="2:2" ht="15.5" x14ac:dyDescent="0.35">
      <c r="B558" s="18"/>
    </row>
    <row r="559" spans="2:2" ht="15.5" x14ac:dyDescent="0.35">
      <c r="B559" s="18"/>
    </row>
    <row r="560" spans="2:2" ht="15.5" x14ac:dyDescent="0.35">
      <c r="B560" s="18"/>
    </row>
    <row r="561" spans="2:2" ht="15.5" x14ac:dyDescent="0.35">
      <c r="B561" s="18"/>
    </row>
    <row r="562" spans="2:2" ht="15.5" x14ac:dyDescent="0.35">
      <c r="B562" s="18"/>
    </row>
    <row r="563" spans="2:2" ht="15.5" x14ac:dyDescent="0.35">
      <c r="B563" s="18"/>
    </row>
    <row r="564" spans="2:2" ht="15.5" x14ac:dyDescent="0.35">
      <c r="B564" s="18"/>
    </row>
    <row r="565" spans="2:2" ht="15.5" x14ac:dyDescent="0.35">
      <c r="B565" s="18"/>
    </row>
    <row r="566" spans="2:2" ht="15.5" x14ac:dyDescent="0.35">
      <c r="B566" s="18"/>
    </row>
    <row r="567" spans="2:2" ht="15.5" x14ac:dyDescent="0.35">
      <c r="B567" s="18"/>
    </row>
    <row r="568" spans="2:2" ht="15.5" x14ac:dyDescent="0.35">
      <c r="B568" s="18"/>
    </row>
    <row r="569" spans="2:2" ht="15.5" x14ac:dyDescent="0.35">
      <c r="B569" s="18"/>
    </row>
    <row r="570" spans="2:2" ht="15.5" x14ac:dyDescent="0.35">
      <c r="B570" s="18"/>
    </row>
    <row r="571" spans="2:2" ht="15.5" x14ac:dyDescent="0.35">
      <c r="B571" s="18"/>
    </row>
    <row r="572" spans="2:2" ht="15.5" x14ac:dyDescent="0.35">
      <c r="B572" s="18"/>
    </row>
    <row r="573" spans="2:2" ht="15.5" x14ac:dyDescent="0.35">
      <c r="B573" s="18"/>
    </row>
    <row r="574" spans="2:2" ht="15.5" x14ac:dyDescent="0.35">
      <c r="B574" s="18"/>
    </row>
    <row r="575" spans="2:2" ht="15.5" x14ac:dyDescent="0.35">
      <c r="B575" s="18"/>
    </row>
    <row r="576" spans="2:2" ht="15.5" x14ac:dyDescent="0.35">
      <c r="B576" s="18"/>
    </row>
    <row r="577" spans="2:2" ht="15.5" x14ac:dyDescent="0.35">
      <c r="B577" s="18"/>
    </row>
    <row r="578" spans="2:2" ht="15.5" x14ac:dyDescent="0.35">
      <c r="B578" s="18"/>
    </row>
    <row r="579" spans="2:2" ht="15.5" x14ac:dyDescent="0.35">
      <c r="B579" s="18"/>
    </row>
    <row r="580" spans="2:2" ht="15.5" x14ac:dyDescent="0.35">
      <c r="B580" s="18"/>
    </row>
    <row r="581" spans="2:2" ht="15.5" x14ac:dyDescent="0.35">
      <c r="B581" s="18"/>
    </row>
    <row r="582" spans="2:2" ht="15.5" x14ac:dyDescent="0.35">
      <c r="B582" s="18"/>
    </row>
    <row r="583" spans="2:2" ht="15.5" x14ac:dyDescent="0.35">
      <c r="B583" s="18"/>
    </row>
    <row r="584" spans="2:2" ht="15.5" x14ac:dyDescent="0.35">
      <c r="B584" s="18"/>
    </row>
    <row r="585" spans="2:2" ht="15.5" x14ac:dyDescent="0.35">
      <c r="B585" s="18"/>
    </row>
    <row r="586" spans="2:2" ht="15.5" x14ac:dyDescent="0.35">
      <c r="B586" s="18"/>
    </row>
    <row r="587" spans="2:2" ht="15.5" x14ac:dyDescent="0.35">
      <c r="B587" s="18"/>
    </row>
    <row r="588" spans="2:2" ht="15.5" x14ac:dyDescent="0.35">
      <c r="B588" s="18"/>
    </row>
    <row r="589" spans="2:2" ht="15.5" x14ac:dyDescent="0.35">
      <c r="B589" s="18"/>
    </row>
    <row r="590" spans="2:2" ht="15.5" x14ac:dyDescent="0.35">
      <c r="B590" s="18"/>
    </row>
    <row r="591" spans="2:2" ht="15.5" x14ac:dyDescent="0.35">
      <c r="B591" s="18"/>
    </row>
    <row r="592" spans="2:2" ht="15.5" x14ac:dyDescent="0.35">
      <c r="B592" s="18"/>
    </row>
    <row r="593" spans="2:2" ht="15.5" x14ac:dyDescent="0.35">
      <c r="B593" s="18"/>
    </row>
    <row r="594" spans="2:2" ht="15.5" x14ac:dyDescent="0.35">
      <c r="B594" s="18"/>
    </row>
    <row r="595" spans="2:2" ht="15.5" x14ac:dyDescent="0.35">
      <c r="B595" s="18"/>
    </row>
    <row r="596" spans="2:2" ht="15.5" x14ac:dyDescent="0.35">
      <c r="B596" s="18"/>
    </row>
    <row r="597" spans="2:2" ht="15.5" x14ac:dyDescent="0.35">
      <c r="B597" s="18"/>
    </row>
    <row r="598" spans="2:2" ht="15.5" x14ac:dyDescent="0.35">
      <c r="B598" s="18"/>
    </row>
    <row r="599" spans="2:2" ht="15.5" x14ac:dyDescent="0.35">
      <c r="B599" s="18"/>
    </row>
    <row r="600" spans="2:2" ht="15.5" x14ac:dyDescent="0.35">
      <c r="B600" s="18"/>
    </row>
    <row r="601" spans="2:2" ht="15.5" x14ac:dyDescent="0.35">
      <c r="B601" s="18"/>
    </row>
    <row r="602" spans="2:2" ht="15.5" x14ac:dyDescent="0.35">
      <c r="B602" s="18"/>
    </row>
    <row r="603" spans="2:2" ht="15.5" x14ac:dyDescent="0.35">
      <c r="B603" s="18"/>
    </row>
    <row r="604" spans="2:2" ht="15.5" x14ac:dyDescent="0.35">
      <c r="B604" s="18"/>
    </row>
    <row r="605" spans="2:2" ht="15.5" x14ac:dyDescent="0.35">
      <c r="B605" s="18"/>
    </row>
    <row r="606" spans="2:2" ht="15.5" x14ac:dyDescent="0.35">
      <c r="B606" s="18"/>
    </row>
    <row r="607" spans="2:2" ht="15.5" x14ac:dyDescent="0.35">
      <c r="B607" s="18"/>
    </row>
    <row r="608" spans="2:2" ht="15.5" x14ac:dyDescent="0.35">
      <c r="B608" s="18"/>
    </row>
    <row r="609" spans="2:2" ht="15.5" x14ac:dyDescent="0.35">
      <c r="B609" s="18"/>
    </row>
    <row r="610" spans="2:2" ht="15.5" x14ac:dyDescent="0.35">
      <c r="B610" s="18"/>
    </row>
    <row r="611" spans="2:2" ht="15.5" x14ac:dyDescent="0.35">
      <c r="B611" s="18"/>
    </row>
    <row r="612" spans="2:2" ht="15.5" x14ac:dyDescent="0.35">
      <c r="B612" s="18"/>
    </row>
    <row r="613" spans="2:2" ht="15.5" x14ac:dyDescent="0.35">
      <c r="B613" s="18"/>
    </row>
    <row r="614" spans="2:2" ht="15.5" x14ac:dyDescent="0.35">
      <c r="B614" s="18"/>
    </row>
    <row r="615" spans="2:2" ht="15.5" x14ac:dyDescent="0.35">
      <c r="B615" s="18"/>
    </row>
    <row r="616" spans="2:2" ht="15.5" x14ac:dyDescent="0.35">
      <c r="B616" s="18"/>
    </row>
    <row r="617" spans="2:2" ht="15.5" x14ac:dyDescent="0.35">
      <c r="B617" s="18"/>
    </row>
    <row r="618" spans="2:2" ht="15.5" x14ac:dyDescent="0.35">
      <c r="B618" s="18"/>
    </row>
    <row r="619" spans="2:2" ht="15.5" x14ac:dyDescent="0.35">
      <c r="B619" s="18"/>
    </row>
    <row r="620" spans="2:2" ht="15.5" x14ac:dyDescent="0.35">
      <c r="B620" s="18"/>
    </row>
    <row r="621" spans="2:2" ht="15.5" x14ac:dyDescent="0.35">
      <c r="B621" s="18"/>
    </row>
    <row r="622" spans="2:2" ht="15.5" x14ac:dyDescent="0.35">
      <c r="B622" s="18"/>
    </row>
    <row r="623" spans="2:2" ht="15.5" x14ac:dyDescent="0.35">
      <c r="B623" s="18"/>
    </row>
    <row r="624" spans="2:2" ht="15.5" x14ac:dyDescent="0.35">
      <c r="B624" s="18"/>
    </row>
    <row r="625" spans="2:2" ht="15.5" x14ac:dyDescent="0.35">
      <c r="B625" s="18"/>
    </row>
    <row r="626" spans="2:2" ht="15.5" x14ac:dyDescent="0.35">
      <c r="B626" s="18"/>
    </row>
    <row r="627" spans="2:2" ht="15.5" x14ac:dyDescent="0.35">
      <c r="B627" s="18"/>
    </row>
    <row r="628" spans="2:2" ht="15.5" x14ac:dyDescent="0.35">
      <c r="B628" s="18"/>
    </row>
    <row r="629" spans="2:2" ht="15.5" x14ac:dyDescent="0.35">
      <c r="B629" s="18"/>
    </row>
    <row r="630" spans="2:2" ht="15.5" x14ac:dyDescent="0.35">
      <c r="B630" s="18"/>
    </row>
    <row r="631" spans="2:2" ht="15.5" x14ac:dyDescent="0.35">
      <c r="B631" s="18"/>
    </row>
    <row r="632" spans="2:2" ht="15.5" x14ac:dyDescent="0.35">
      <c r="B632" s="18"/>
    </row>
    <row r="633" spans="2:2" ht="15.5" x14ac:dyDescent="0.35">
      <c r="B633" s="18"/>
    </row>
    <row r="634" spans="2:2" ht="15.5" x14ac:dyDescent="0.35">
      <c r="B634" s="18"/>
    </row>
    <row r="635" spans="2:2" ht="15.5" x14ac:dyDescent="0.35">
      <c r="B635" s="18"/>
    </row>
    <row r="636" spans="2:2" ht="15.5" x14ac:dyDescent="0.35">
      <c r="B636" s="18"/>
    </row>
    <row r="637" spans="2:2" ht="15.5" x14ac:dyDescent="0.35">
      <c r="B637" s="18"/>
    </row>
    <row r="638" spans="2:2" ht="15.5" x14ac:dyDescent="0.35">
      <c r="B638" s="18"/>
    </row>
    <row r="639" spans="2:2" ht="15.5" x14ac:dyDescent="0.35">
      <c r="B639" s="18"/>
    </row>
    <row r="640" spans="2:2" ht="15.5" x14ac:dyDescent="0.35">
      <c r="B640" s="18"/>
    </row>
    <row r="641" spans="2:2" ht="15.5" x14ac:dyDescent="0.35">
      <c r="B641" s="18"/>
    </row>
    <row r="642" spans="2:2" ht="15.5" x14ac:dyDescent="0.35">
      <c r="B642" s="18"/>
    </row>
    <row r="643" spans="2:2" ht="15.5" x14ac:dyDescent="0.35">
      <c r="B643" s="18"/>
    </row>
    <row r="644" spans="2:2" ht="15.5" x14ac:dyDescent="0.35">
      <c r="B644" s="18"/>
    </row>
    <row r="645" spans="2:2" ht="15.5" x14ac:dyDescent="0.35">
      <c r="B645" s="18"/>
    </row>
    <row r="646" spans="2:2" ht="15.5" x14ac:dyDescent="0.35">
      <c r="B646" s="18"/>
    </row>
    <row r="647" spans="2:2" ht="15.5" x14ac:dyDescent="0.35">
      <c r="B647" s="18"/>
    </row>
    <row r="648" spans="2:2" ht="15.5" x14ac:dyDescent="0.35">
      <c r="B648" s="18"/>
    </row>
    <row r="649" spans="2:2" ht="15.5" x14ac:dyDescent="0.35">
      <c r="B649" s="18"/>
    </row>
    <row r="650" spans="2:2" ht="15.5" x14ac:dyDescent="0.35">
      <c r="B650" s="18"/>
    </row>
    <row r="651" spans="2:2" ht="15.5" x14ac:dyDescent="0.35">
      <c r="B651" s="18"/>
    </row>
    <row r="652" spans="2:2" ht="15.5" x14ac:dyDescent="0.35">
      <c r="B652" s="18"/>
    </row>
    <row r="653" spans="2:2" ht="15.5" x14ac:dyDescent="0.35">
      <c r="B653" s="18"/>
    </row>
    <row r="654" spans="2:2" ht="15.5" x14ac:dyDescent="0.35">
      <c r="B654" s="18"/>
    </row>
    <row r="655" spans="2:2" ht="15.5" x14ac:dyDescent="0.35">
      <c r="B655" s="18"/>
    </row>
    <row r="656" spans="2:2" ht="15.5" x14ac:dyDescent="0.35">
      <c r="B656" s="18"/>
    </row>
    <row r="657" spans="2:2" ht="15.5" x14ac:dyDescent="0.35">
      <c r="B657" s="18"/>
    </row>
    <row r="658" spans="2:2" ht="15.5" x14ac:dyDescent="0.35">
      <c r="B658" s="18"/>
    </row>
    <row r="659" spans="2:2" ht="15.5" x14ac:dyDescent="0.35">
      <c r="B659" s="18"/>
    </row>
    <row r="660" spans="2:2" ht="15.5" x14ac:dyDescent="0.35">
      <c r="B660" s="18"/>
    </row>
    <row r="661" spans="2:2" ht="15.5" x14ac:dyDescent="0.35">
      <c r="B661" s="18"/>
    </row>
    <row r="662" spans="2:2" ht="15.5" x14ac:dyDescent="0.35">
      <c r="B662" s="18"/>
    </row>
    <row r="663" spans="2:2" ht="15.5" x14ac:dyDescent="0.35">
      <c r="B663" s="18"/>
    </row>
    <row r="664" spans="2:2" ht="15.5" x14ac:dyDescent="0.35">
      <c r="B664" s="18"/>
    </row>
    <row r="665" spans="2:2" ht="15.5" x14ac:dyDescent="0.35">
      <c r="B665" s="18"/>
    </row>
    <row r="666" spans="2:2" ht="15.5" x14ac:dyDescent="0.35">
      <c r="B666" s="18"/>
    </row>
    <row r="667" spans="2:2" ht="15.5" x14ac:dyDescent="0.35">
      <c r="B667" s="18"/>
    </row>
    <row r="668" spans="2:2" ht="15.5" x14ac:dyDescent="0.35">
      <c r="B668" s="18"/>
    </row>
    <row r="669" spans="2:2" ht="15.5" x14ac:dyDescent="0.35">
      <c r="B669" s="18"/>
    </row>
    <row r="670" spans="2:2" ht="15.5" x14ac:dyDescent="0.35">
      <c r="B670" s="18"/>
    </row>
    <row r="671" spans="2:2" ht="15.5" x14ac:dyDescent="0.35">
      <c r="B671" s="18"/>
    </row>
    <row r="672" spans="2:2" ht="15.5" x14ac:dyDescent="0.35">
      <c r="B672" s="18"/>
    </row>
    <row r="673" spans="2:2" ht="15.5" x14ac:dyDescent="0.35">
      <c r="B673" s="18"/>
    </row>
    <row r="674" spans="2:2" ht="15.5" x14ac:dyDescent="0.35">
      <c r="B674" s="18"/>
    </row>
    <row r="675" spans="2:2" ht="15.5" x14ac:dyDescent="0.35">
      <c r="B675" s="18"/>
    </row>
    <row r="676" spans="2:2" ht="15.5" x14ac:dyDescent="0.35">
      <c r="B676" s="18"/>
    </row>
    <row r="677" spans="2:2" ht="15.5" x14ac:dyDescent="0.35">
      <c r="B677" s="18"/>
    </row>
    <row r="678" spans="2:2" ht="15.5" x14ac:dyDescent="0.35">
      <c r="B678" s="18"/>
    </row>
    <row r="679" spans="2:2" ht="15.5" x14ac:dyDescent="0.35">
      <c r="B679" s="18"/>
    </row>
    <row r="680" spans="2:2" ht="15.5" x14ac:dyDescent="0.35">
      <c r="B680" s="18"/>
    </row>
    <row r="681" spans="2:2" ht="15.5" x14ac:dyDescent="0.35">
      <c r="B681" s="18"/>
    </row>
    <row r="682" spans="2:2" ht="15.5" x14ac:dyDescent="0.35">
      <c r="B682" s="18"/>
    </row>
    <row r="683" spans="2:2" ht="15.5" x14ac:dyDescent="0.35">
      <c r="B683" s="18"/>
    </row>
    <row r="684" spans="2:2" ht="15.5" x14ac:dyDescent="0.35">
      <c r="B684" s="18"/>
    </row>
    <row r="685" spans="2:2" ht="15.5" x14ac:dyDescent="0.35">
      <c r="B685" s="18"/>
    </row>
    <row r="686" spans="2:2" ht="15.5" x14ac:dyDescent="0.35">
      <c r="B686" s="18"/>
    </row>
    <row r="687" spans="2:2" ht="15.5" x14ac:dyDescent="0.35">
      <c r="B687" s="18"/>
    </row>
    <row r="688" spans="2:2" ht="15.5" x14ac:dyDescent="0.35">
      <c r="B688" s="18"/>
    </row>
    <row r="689" spans="2:2" ht="15.5" x14ac:dyDescent="0.35">
      <c r="B689" s="18"/>
    </row>
    <row r="690" spans="2:2" ht="15.5" x14ac:dyDescent="0.35">
      <c r="B690" s="18"/>
    </row>
    <row r="691" spans="2:2" ht="15.5" x14ac:dyDescent="0.35">
      <c r="B691" s="18"/>
    </row>
    <row r="692" spans="2:2" ht="15.5" x14ac:dyDescent="0.35">
      <c r="B692" s="18"/>
    </row>
    <row r="693" spans="2:2" ht="15.5" x14ac:dyDescent="0.35">
      <c r="B693" s="18"/>
    </row>
    <row r="694" spans="2:2" ht="15.5" x14ac:dyDescent="0.35">
      <c r="B694" s="18"/>
    </row>
    <row r="695" spans="2:2" ht="15.5" x14ac:dyDescent="0.35">
      <c r="B695" s="18"/>
    </row>
    <row r="696" spans="2:2" ht="15.5" x14ac:dyDescent="0.35">
      <c r="B696" s="18"/>
    </row>
    <row r="697" spans="2:2" ht="15.5" x14ac:dyDescent="0.35">
      <c r="B697" s="18"/>
    </row>
    <row r="698" spans="2:2" ht="15.5" x14ac:dyDescent="0.35">
      <c r="B698" s="18"/>
    </row>
    <row r="699" spans="2:2" ht="15.5" x14ac:dyDescent="0.35">
      <c r="B699" s="18"/>
    </row>
    <row r="700" spans="2:2" ht="15.5" x14ac:dyDescent="0.35">
      <c r="B700" s="18"/>
    </row>
    <row r="701" spans="2:2" ht="15.5" x14ac:dyDescent="0.35">
      <c r="B701" s="18"/>
    </row>
    <row r="702" spans="2:2" ht="15.5" x14ac:dyDescent="0.35">
      <c r="B702" s="18"/>
    </row>
    <row r="703" spans="2:2" ht="15.5" x14ac:dyDescent="0.35">
      <c r="B703" s="18"/>
    </row>
    <row r="704" spans="2:2" ht="15.5" x14ac:dyDescent="0.35">
      <c r="B704" s="18"/>
    </row>
    <row r="705" spans="2:2" ht="15.5" x14ac:dyDescent="0.35">
      <c r="B705" s="18"/>
    </row>
    <row r="706" spans="2:2" ht="15.5" x14ac:dyDescent="0.35">
      <c r="B706" s="18"/>
    </row>
    <row r="707" spans="2:2" ht="15.5" x14ac:dyDescent="0.35">
      <c r="B707" s="18"/>
    </row>
    <row r="708" spans="2:2" ht="15.5" x14ac:dyDescent="0.35">
      <c r="B708" s="18"/>
    </row>
    <row r="709" spans="2:2" ht="15.5" x14ac:dyDescent="0.35">
      <c r="B709" s="18"/>
    </row>
    <row r="710" spans="2:2" ht="15.5" x14ac:dyDescent="0.35">
      <c r="B710" s="18"/>
    </row>
    <row r="711" spans="2:2" ht="15.5" x14ac:dyDescent="0.35">
      <c r="B711" s="18"/>
    </row>
    <row r="712" spans="2:2" ht="15.5" x14ac:dyDescent="0.35">
      <c r="B712" s="18"/>
    </row>
    <row r="713" spans="2:2" ht="15.5" x14ac:dyDescent="0.35">
      <c r="B713" s="18"/>
    </row>
    <row r="714" spans="2:2" ht="15.5" x14ac:dyDescent="0.35">
      <c r="B714" s="18"/>
    </row>
    <row r="715" spans="2:2" ht="15.5" x14ac:dyDescent="0.35">
      <c r="B715" s="18"/>
    </row>
    <row r="716" spans="2:2" ht="15.5" x14ac:dyDescent="0.35">
      <c r="B716" s="18"/>
    </row>
    <row r="717" spans="2:2" ht="15.5" x14ac:dyDescent="0.35">
      <c r="B717" s="18"/>
    </row>
    <row r="718" spans="2:2" ht="15.5" x14ac:dyDescent="0.35">
      <c r="B718" s="18"/>
    </row>
    <row r="719" spans="2:2" ht="15.5" x14ac:dyDescent="0.35">
      <c r="B719" s="18"/>
    </row>
    <row r="720" spans="2:2" ht="15.5" x14ac:dyDescent="0.35">
      <c r="B720" s="18"/>
    </row>
    <row r="721" spans="2:2" ht="15.5" x14ac:dyDescent="0.35">
      <c r="B721" s="18"/>
    </row>
    <row r="722" spans="2:2" ht="15.5" x14ac:dyDescent="0.35">
      <c r="B722" s="18"/>
    </row>
    <row r="723" spans="2:2" ht="15.5" x14ac:dyDescent="0.35">
      <c r="B723" s="18"/>
    </row>
    <row r="724" spans="2:2" ht="15.5" x14ac:dyDescent="0.35">
      <c r="B724" s="18"/>
    </row>
    <row r="725" spans="2:2" ht="15.5" x14ac:dyDescent="0.35">
      <c r="B725" s="18"/>
    </row>
    <row r="726" spans="2:2" ht="15.5" x14ac:dyDescent="0.35">
      <c r="B726" s="18"/>
    </row>
    <row r="727" spans="2:2" ht="15.5" x14ac:dyDescent="0.35">
      <c r="B727" s="18"/>
    </row>
    <row r="728" spans="2:2" ht="15.5" x14ac:dyDescent="0.35">
      <c r="B728" s="18"/>
    </row>
    <row r="729" spans="2:2" ht="15.5" x14ac:dyDescent="0.35">
      <c r="B729" s="18"/>
    </row>
    <row r="730" spans="2:2" ht="15.5" x14ac:dyDescent="0.35">
      <c r="B730" s="18"/>
    </row>
    <row r="731" spans="2:2" ht="15.5" x14ac:dyDescent="0.35">
      <c r="B731" s="18"/>
    </row>
    <row r="732" spans="2:2" ht="15.5" x14ac:dyDescent="0.35">
      <c r="B732" s="18"/>
    </row>
    <row r="733" spans="2:2" ht="15.5" x14ac:dyDescent="0.35">
      <c r="B733" s="18"/>
    </row>
    <row r="734" spans="2:2" ht="15.5" x14ac:dyDescent="0.35">
      <c r="B734" s="18"/>
    </row>
    <row r="735" spans="2:2" ht="15.5" x14ac:dyDescent="0.35">
      <c r="B735" s="18"/>
    </row>
    <row r="736" spans="2:2" ht="15.5" x14ac:dyDescent="0.35">
      <c r="B736" s="18"/>
    </row>
    <row r="737" spans="2:48" ht="15.5" x14ac:dyDescent="0.35">
      <c r="B737" s="18"/>
    </row>
    <row r="738" spans="2:48" ht="15.5" x14ac:dyDescent="0.35">
      <c r="B738" s="18"/>
    </row>
    <row r="739" spans="2:48" ht="15.5" x14ac:dyDescent="0.35">
      <c r="B739" s="18"/>
    </row>
    <row r="740" spans="2:48" ht="15.5" x14ac:dyDescent="0.35">
      <c r="B740" s="18"/>
    </row>
    <row r="741" spans="2:48" ht="15.5" x14ac:dyDescent="0.35">
      <c r="B741" s="18"/>
    </row>
    <row r="750" spans="2:48" ht="14.5" x14ac:dyDescent="0.35">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row>
    <row r="751" spans="2:48" ht="14.5" x14ac:dyDescent="0.35">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row>
    <row r="752" spans="2:48" ht="14.5" x14ac:dyDescent="0.35">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row>
    <row r="753" spans="2:48" x14ac:dyDescent="0.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row>
    <row r="754" spans="2:48" x14ac:dyDescent="0.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row>
    <row r="755" spans="2:48" x14ac:dyDescent="0.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row>
    <row r="764" spans="2:48" ht="14.5" x14ac:dyDescent="0.35">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row>
    <row r="765" spans="2:48" ht="14.5" x14ac:dyDescent="0.3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row>
    <row r="766" spans="2:48" ht="14.5" x14ac:dyDescent="0.35">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row>
    <row r="767" spans="2:48" x14ac:dyDescent="0.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row>
    <row r="768" spans="2:48" x14ac:dyDescent="0.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row>
    <row r="769" spans="2:48" x14ac:dyDescent="0.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row>
    <row r="778" spans="2:48" ht="14.5" x14ac:dyDescent="0.35">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row>
    <row r="779" spans="2:48" ht="14.5" x14ac:dyDescent="0.35">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row>
    <row r="780" spans="2:48" ht="14.5" x14ac:dyDescent="0.35">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row>
    <row r="781" spans="2:48" x14ac:dyDescent="0.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row>
    <row r="782" spans="2:48" x14ac:dyDescent="0.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row>
    <row r="783" spans="2:48" x14ac:dyDescent="0.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row>
    <row r="792" spans="2:48" ht="14.5" x14ac:dyDescent="0.35">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row>
    <row r="793" spans="2:48" ht="14.5" x14ac:dyDescent="0.35">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row>
    <row r="794" spans="2:48" ht="14.5" x14ac:dyDescent="0.35">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row>
    <row r="795" spans="2:48" x14ac:dyDescent="0.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row>
    <row r="796" spans="2:48" x14ac:dyDescent="0.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row>
    <row r="797" spans="2:48" x14ac:dyDescent="0.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row>
    <row r="806" spans="2:48" ht="14.5" x14ac:dyDescent="0.35">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row>
    <row r="807" spans="2:48" ht="14.5" x14ac:dyDescent="0.35">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row>
    <row r="808" spans="2:48" ht="14.5" x14ac:dyDescent="0.35">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row>
    <row r="809" spans="2:48" x14ac:dyDescent="0.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row>
    <row r="810" spans="2:48" x14ac:dyDescent="0.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row>
    <row r="811" spans="2:48" x14ac:dyDescent="0.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row>
    <row r="820" spans="2:48" ht="14.5" x14ac:dyDescent="0.35">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row>
    <row r="821" spans="2:48" ht="14.5" x14ac:dyDescent="0.35">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row>
    <row r="822" spans="2:48" ht="14.5" x14ac:dyDescent="0.35">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row>
    <row r="823" spans="2:48" x14ac:dyDescent="0.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row>
    <row r="824" spans="2:48" x14ac:dyDescent="0.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row>
    <row r="825" spans="2:48" x14ac:dyDescent="0.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row>
    <row r="834" spans="2:48" ht="14.5" x14ac:dyDescent="0.35">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row>
    <row r="835" spans="2:48" ht="14.5" x14ac:dyDescent="0.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row>
    <row r="836" spans="2:48" ht="14.5" x14ac:dyDescent="0.35">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row>
    <row r="837" spans="2:48" x14ac:dyDescent="0.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row>
    <row r="838" spans="2:48" x14ac:dyDescent="0.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row>
    <row r="839" spans="2:48" x14ac:dyDescent="0.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row>
    <row r="848" spans="2:48" ht="14.5" x14ac:dyDescent="0.35">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row>
    <row r="849" spans="2:48" ht="14.5" x14ac:dyDescent="0.35">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row>
    <row r="850" spans="2:48" ht="14.5" x14ac:dyDescent="0.35">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row>
    <row r="851" spans="2:48" x14ac:dyDescent="0.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row>
    <row r="852" spans="2:48" x14ac:dyDescent="0.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row>
    <row r="853" spans="2:48" x14ac:dyDescent="0.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row>
    <row r="862" spans="2:48" ht="14.5" x14ac:dyDescent="0.35">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row>
    <row r="863" spans="2:48" ht="14.5" x14ac:dyDescent="0.35">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row>
    <row r="864" spans="2:48" ht="14.5" x14ac:dyDescent="0.35">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row>
    <row r="865" spans="2:48" x14ac:dyDescent="0.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row>
    <row r="866" spans="2:48" x14ac:dyDescent="0.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row>
    <row r="867" spans="2:48" x14ac:dyDescent="0.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row>
    <row r="876" spans="2:48" ht="14.5" x14ac:dyDescent="0.35">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row>
    <row r="877" spans="2:48" ht="14.5" x14ac:dyDescent="0.35">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row>
    <row r="878" spans="2:48" ht="14.5" x14ac:dyDescent="0.35">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row>
    <row r="879" spans="2:48" x14ac:dyDescent="0.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row>
    <row r="880" spans="2:48" x14ac:dyDescent="0.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row>
    <row r="881" spans="2:48" x14ac:dyDescent="0.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row>
    <row r="886" spans="2:48" ht="15.5" x14ac:dyDescent="0.35">
      <c r="B886" s="18"/>
    </row>
    <row r="887" spans="2:48" ht="15.5" x14ac:dyDescent="0.35">
      <c r="B887" s="18"/>
    </row>
    <row r="888" spans="2:48" ht="15.5" x14ac:dyDescent="0.35">
      <c r="B888" s="18"/>
    </row>
    <row r="889" spans="2:48" ht="15.5" x14ac:dyDescent="0.35">
      <c r="B889" s="18"/>
    </row>
    <row r="890" spans="2:48" ht="15.5" x14ac:dyDescent="0.35">
      <c r="B890" s="18"/>
    </row>
    <row r="891" spans="2:48" ht="15.5" x14ac:dyDescent="0.35">
      <c r="B891" s="18"/>
    </row>
    <row r="892" spans="2:48" ht="15.5" x14ac:dyDescent="0.35">
      <c r="B892" s="18"/>
    </row>
    <row r="893" spans="2:48" ht="15.5" x14ac:dyDescent="0.35">
      <c r="B893" s="18"/>
    </row>
    <row r="894" spans="2:48" ht="15.5" x14ac:dyDescent="0.35">
      <c r="B894" s="18"/>
    </row>
    <row r="895" spans="2:48" ht="15.5" x14ac:dyDescent="0.35">
      <c r="B895" s="18"/>
    </row>
    <row r="896" spans="2:48" ht="15.5" x14ac:dyDescent="0.35">
      <c r="B896" s="18"/>
    </row>
    <row r="897" spans="2:2" ht="15.5" x14ac:dyDescent="0.35">
      <c r="B897" s="18"/>
    </row>
    <row r="898" spans="2:2" ht="15.5" x14ac:dyDescent="0.35">
      <c r="B898" s="18"/>
    </row>
    <row r="899" spans="2:2" ht="15.5" x14ac:dyDescent="0.35">
      <c r="B899" s="18"/>
    </row>
    <row r="900" spans="2:2" ht="15.5" x14ac:dyDescent="0.35">
      <c r="B900" s="18"/>
    </row>
    <row r="901" spans="2:2" ht="15.5" x14ac:dyDescent="0.35">
      <c r="B901" s="18"/>
    </row>
    <row r="902" spans="2:2" ht="15.5" x14ac:dyDescent="0.35">
      <c r="B902" s="18"/>
    </row>
    <row r="903" spans="2:2" ht="15.5" x14ac:dyDescent="0.35">
      <c r="B903" s="18"/>
    </row>
    <row r="904" spans="2:2" ht="15.5" x14ac:dyDescent="0.35">
      <c r="B904" s="18"/>
    </row>
    <row r="905" spans="2:2" ht="15.5" x14ac:dyDescent="0.35">
      <c r="B905" s="18"/>
    </row>
    <row r="906" spans="2:2" ht="15.5" x14ac:dyDescent="0.35">
      <c r="B906" s="18"/>
    </row>
    <row r="907" spans="2:2" ht="15.5" x14ac:dyDescent="0.35">
      <c r="B907" s="18"/>
    </row>
    <row r="908" spans="2:2" ht="15.5" x14ac:dyDescent="0.35">
      <c r="B908" s="18"/>
    </row>
    <row r="909" spans="2:2" ht="15.5" x14ac:dyDescent="0.35">
      <c r="B909" s="18"/>
    </row>
    <row r="910" spans="2:2" ht="15.5" x14ac:dyDescent="0.35">
      <c r="B910" s="18"/>
    </row>
    <row r="911" spans="2:2" ht="15.5" x14ac:dyDescent="0.35">
      <c r="B911" s="18"/>
    </row>
    <row r="912" spans="2:2" ht="15.5" x14ac:dyDescent="0.35">
      <c r="B912" s="18"/>
    </row>
    <row r="913" spans="2:2" ht="15.5" x14ac:dyDescent="0.35">
      <c r="B913" s="18"/>
    </row>
    <row r="914" spans="2:2" ht="15.5" x14ac:dyDescent="0.35">
      <c r="B914" s="18"/>
    </row>
    <row r="915" spans="2:2" ht="15.5" x14ac:dyDescent="0.35">
      <c r="B915" s="18"/>
    </row>
    <row r="916" spans="2:2" ht="15.5" x14ac:dyDescent="0.35">
      <c r="B916" s="18"/>
    </row>
    <row r="917" spans="2:2" ht="15.5" x14ac:dyDescent="0.35">
      <c r="B917" s="18"/>
    </row>
    <row r="918" spans="2:2" ht="15.5" x14ac:dyDescent="0.35">
      <c r="B918" s="18"/>
    </row>
    <row r="919" spans="2:2" ht="15.5" x14ac:dyDescent="0.35">
      <c r="B919" s="18"/>
    </row>
    <row r="920" spans="2:2" ht="15.5" x14ac:dyDescent="0.35">
      <c r="B920" s="18"/>
    </row>
    <row r="921" spans="2:2" ht="15.5" x14ac:dyDescent="0.35">
      <c r="B921" s="18"/>
    </row>
    <row r="922" spans="2:2" ht="15.5" x14ac:dyDescent="0.35">
      <c r="B922" s="18"/>
    </row>
    <row r="923" spans="2:2" ht="15.5" x14ac:dyDescent="0.35">
      <c r="B923" s="18"/>
    </row>
    <row r="924" spans="2:2" ht="15.5" x14ac:dyDescent="0.35">
      <c r="B924" s="18"/>
    </row>
    <row r="925" spans="2:2" ht="15.5" x14ac:dyDescent="0.35">
      <c r="B925" s="18"/>
    </row>
    <row r="926" spans="2:2" ht="15.5" x14ac:dyDescent="0.35">
      <c r="B926" s="18"/>
    </row>
    <row r="927" spans="2:2" ht="15.5" x14ac:dyDescent="0.35">
      <c r="B927" s="18"/>
    </row>
    <row r="928" spans="2:2" ht="15.5" x14ac:dyDescent="0.35">
      <c r="B928" s="18"/>
    </row>
    <row r="929" spans="2:2" ht="15.5" x14ac:dyDescent="0.35">
      <c r="B929" s="18"/>
    </row>
    <row r="930" spans="2:2" ht="15.5" x14ac:dyDescent="0.35">
      <c r="B930" s="18"/>
    </row>
    <row r="931" spans="2:2" ht="15.5" x14ac:dyDescent="0.35">
      <c r="B931" s="18"/>
    </row>
    <row r="932" spans="2:2" ht="15.5" x14ac:dyDescent="0.35">
      <c r="B932" s="18"/>
    </row>
    <row r="933" spans="2:2" ht="15.5" x14ac:dyDescent="0.35">
      <c r="B933" s="18"/>
    </row>
    <row r="934" spans="2:2" ht="15.5" x14ac:dyDescent="0.35">
      <c r="B934" s="18"/>
    </row>
    <row r="935" spans="2:2" ht="15.5" x14ac:dyDescent="0.35">
      <c r="B935" s="18"/>
    </row>
    <row r="936" spans="2:2" ht="15.5" x14ac:dyDescent="0.35">
      <c r="B936" s="18"/>
    </row>
    <row r="937" spans="2:2" ht="15.5" x14ac:dyDescent="0.35">
      <c r="B937" s="18"/>
    </row>
    <row r="938" spans="2:2" ht="15.5" x14ac:dyDescent="0.35">
      <c r="B938" s="18"/>
    </row>
    <row r="939" spans="2:2" ht="15.5" x14ac:dyDescent="0.35">
      <c r="B939" s="18"/>
    </row>
    <row r="940" spans="2:2" ht="15.5" x14ac:dyDescent="0.35">
      <c r="B940" s="18"/>
    </row>
    <row r="941" spans="2:2" ht="15.5" x14ac:dyDescent="0.35">
      <c r="B941" s="18"/>
    </row>
    <row r="942" spans="2:2" ht="15.5" x14ac:dyDescent="0.35">
      <c r="B942" s="18"/>
    </row>
    <row r="943" spans="2:2" ht="15.5" x14ac:dyDescent="0.35">
      <c r="B943" s="18"/>
    </row>
    <row r="944" spans="2:2" ht="15.5" x14ac:dyDescent="0.35">
      <c r="B944" s="18"/>
    </row>
    <row r="945" spans="2:2" ht="15.5" x14ac:dyDescent="0.35">
      <c r="B945" s="18"/>
    </row>
    <row r="946" spans="2:2" ht="15.5" x14ac:dyDescent="0.35">
      <c r="B946" s="18"/>
    </row>
    <row r="947" spans="2:2" ht="15.5" x14ac:dyDescent="0.35">
      <c r="B947" s="18"/>
    </row>
    <row r="948" spans="2:2" ht="15.5" x14ac:dyDescent="0.35">
      <c r="B948" s="18"/>
    </row>
    <row r="949" spans="2:2" ht="15.5" x14ac:dyDescent="0.35">
      <c r="B949" s="18"/>
    </row>
    <row r="950" spans="2:2" ht="15.5" x14ac:dyDescent="0.35">
      <c r="B950" s="18"/>
    </row>
    <row r="951" spans="2:2" ht="15.5" x14ac:dyDescent="0.35">
      <c r="B951" s="18"/>
    </row>
    <row r="952" spans="2:2" ht="15.5" x14ac:dyDescent="0.35">
      <c r="B952" s="18"/>
    </row>
    <row r="953" spans="2:2" ht="15.5" x14ac:dyDescent="0.35">
      <c r="B953" s="18"/>
    </row>
    <row r="954" spans="2:2" ht="15.5" x14ac:dyDescent="0.35">
      <c r="B954" s="18"/>
    </row>
    <row r="955" spans="2:2" ht="15.5" x14ac:dyDescent="0.35">
      <c r="B955" s="18"/>
    </row>
    <row r="956" spans="2:2" ht="15.5" x14ac:dyDescent="0.35">
      <c r="B956" s="18"/>
    </row>
    <row r="957" spans="2:2" ht="15.5" x14ac:dyDescent="0.35">
      <c r="B957" s="18"/>
    </row>
    <row r="958" spans="2:2" ht="15.5" x14ac:dyDescent="0.35">
      <c r="B958" s="18"/>
    </row>
    <row r="959" spans="2:2" ht="15.5" x14ac:dyDescent="0.35">
      <c r="B959" s="18"/>
    </row>
    <row r="960" spans="2:2" ht="15.5" x14ac:dyDescent="0.35">
      <c r="B960" s="18"/>
    </row>
    <row r="961" spans="2:2" ht="15.5" x14ac:dyDescent="0.35">
      <c r="B961" s="18"/>
    </row>
    <row r="962" spans="2:2" ht="15.5" x14ac:dyDescent="0.35">
      <c r="B962" s="18"/>
    </row>
    <row r="963" spans="2:2" ht="15.5" x14ac:dyDescent="0.35">
      <c r="B963" s="18"/>
    </row>
    <row r="964" spans="2:2" ht="15.5" x14ac:dyDescent="0.35">
      <c r="B964" s="18"/>
    </row>
    <row r="965" spans="2:2" ht="15.5" x14ac:dyDescent="0.35">
      <c r="B965" s="18"/>
    </row>
    <row r="966" spans="2:2" ht="15.5" x14ac:dyDescent="0.35">
      <c r="B966" s="18"/>
    </row>
    <row r="967" spans="2:2" ht="15.5" x14ac:dyDescent="0.35">
      <c r="B967" s="18"/>
    </row>
    <row r="968" spans="2:2" ht="15.5" x14ac:dyDescent="0.35">
      <c r="B968" s="18"/>
    </row>
    <row r="969" spans="2:2" ht="15.5" x14ac:dyDescent="0.35">
      <c r="B969" s="18"/>
    </row>
    <row r="970" spans="2:2" ht="15.5" x14ac:dyDescent="0.35">
      <c r="B970" s="18"/>
    </row>
    <row r="971" spans="2:2" ht="15.5" x14ac:dyDescent="0.35">
      <c r="B971" s="18"/>
    </row>
    <row r="972" spans="2:2" ht="15.5" x14ac:dyDescent="0.35">
      <c r="B972" s="18"/>
    </row>
    <row r="973" spans="2:2" ht="15.5" x14ac:dyDescent="0.35">
      <c r="B973" s="18"/>
    </row>
    <row r="974" spans="2:2" ht="15.5" x14ac:dyDescent="0.35">
      <c r="B974" s="18"/>
    </row>
    <row r="975" spans="2:2" ht="15.5" x14ac:dyDescent="0.35">
      <c r="B975" s="18"/>
    </row>
    <row r="976" spans="2:2" ht="15.5" x14ac:dyDescent="0.35">
      <c r="B976" s="18"/>
    </row>
    <row r="977" spans="2:2" ht="15.5" x14ac:dyDescent="0.35">
      <c r="B977" s="18"/>
    </row>
    <row r="978" spans="2:2" ht="15.5" x14ac:dyDescent="0.35">
      <c r="B978" s="18"/>
    </row>
    <row r="979" spans="2:2" ht="15.5" x14ac:dyDescent="0.35">
      <c r="B979" s="18"/>
    </row>
    <row r="980" spans="2:2" ht="15.5" x14ac:dyDescent="0.35">
      <c r="B980" s="18"/>
    </row>
    <row r="981" spans="2:2" ht="15.5" x14ac:dyDescent="0.35">
      <c r="B981" s="18"/>
    </row>
    <row r="982" spans="2:2" ht="15.5" x14ac:dyDescent="0.35">
      <c r="B982" s="18"/>
    </row>
    <row r="983" spans="2:2" ht="15.5" x14ac:dyDescent="0.35">
      <c r="B983" s="18"/>
    </row>
    <row r="984" spans="2:2" ht="15.5" x14ac:dyDescent="0.35">
      <c r="B984" s="18"/>
    </row>
    <row r="985" spans="2:2" ht="15.5" x14ac:dyDescent="0.35">
      <c r="B985" s="18"/>
    </row>
    <row r="986" spans="2:2" ht="15.5" x14ac:dyDescent="0.35">
      <c r="B986" s="18"/>
    </row>
    <row r="987" spans="2:2" ht="15.5" x14ac:dyDescent="0.35">
      <c r="B987" s="18"/>
    </row>
    <row r="988" spans="2:2" ht="15.5" x14ac:dyDescent="0.35">
      <c r="B988" s="18"/>
    </row>
    <row r="989" spans="2:2" ht="15.5" x14ac:dyDescent="0.35">
      <c r="B989" s="18"/>
    </row>
    <row r="990" spans="2:2" ht="15.5" x14ac:dyDescent="0.35">
      <c r="B990" s="18"/>
    </row>
    <row r="991" spans="2:2" ht="15.5" x14ac:dyDescent="0.35">
      <c r="B991" s="18"/>
    </row>
    <row r="992" spans="2:2" ht="15.5" x14ac:dyDescent="0.35">
      <c r="B992" s="18"/>
    </row>
    <row r="993" spans="2:2" ht="15.5" x14ac:dyDescent="0.35">
      <c r="B993" s="18"/>
    </row>
    <row r="994" spans="2:2" ht="15.5" x14ac:dyDescent="0.35">
      <c r="B994" s="18"/>
    </row>
    <row r="995" spans="2:2" ht="15.5" x14ac:dyDescent="0.35">
      <c r="B995" s="18"/>
    </row>
    <row r="996" spans="2:2" ht="15.5" x14ac:dyDescent="0.35">
      <c r="B996" s="18"/>
    </row>
    <row r="997" spans="2:2" ht="15.5" x14ac:dyDescent="0.35">
      <c r="B997" s="18"/>
    </row>
    <row r="998" spans="2:2" ht="15.5" x14ac:dyDescent="0.35">
      <c r="B998" s="18"/>
    </row>
    <row r="999" spans="2:2" ht="15.5" x14ac:dyDescent="0.35">
      <c r="B999" s="18"/>
    </row>
    <row r="1000" spans="2:2" ht="15.5" x14ac:dyDescent="0.35">
      <c r="B1000" s="18"/>
    </row>
    <row r="1001" spans="2:2" ht="15.5" x14ac:dyDescent="0.35">
      <c r="B1001" s="18"/>
    </row>
    <row r="1002" spans="2:2" ht="15.5" x14ac:dyDescent="0.35">
      <c r="B1002" s="18"/>
    </row>
    <row r="1003" spans="2:2" ht="15.5" x14ac:dyDescent="0.35">
      <c r="B1003" s="18"/>
    </row>
    <row r="1004" spans="2:2" ht="15.5" x14ac:dyDescent="0.35">
      <c r="B1004" s="18"/>
    </row>
    <row r="1005" spans="2:2" ht="15.5" x14ac:dyDescent="0.35">
      <c r="B1005" s="18"/>
    </row>
    <row r="1006" spans="2:2" ht="15.5" x14ac:dyDescent="0.35">
      <c r="B1006" s="18"/>
    </row>
    <row r="1007" spans="2:2" ht="15.5" x14ac:dyDescent="0.35">
      <c r="B1007" s="18"/>
    </row>
    <row r="1008" spans="2:2" ht="15.5" x14ac:dyDescent="0.35">
      <c r="B1008" s="18"/>
    </row>
    <row r="1009" spans="2:2" ht="15.5" x14ac:dyDescent="0.35">
      <c r="B1009" s="18"/>
    </row>
    <row r="1010" spans="2:2" ht="15.5" x14ac:dyDescent="0.35">
      <c r="B1010" s="18"/>
    </row>
    <row r="1011" spans="2:2" ht="15.5" x14ac:dyDescent="0.35">
      <c r="B1011" s="18"/>
    </row>
    <row r="1012" spans="2:2" ht="15.5" x14ac:dyDescent="0.35">
      <c r="B1012" s="18"/>
    </row>
    <row r="1013" spans="2:2" ht="15.5" x14ac:dyDescent="0.35">
      <c r="B1013" s="18"/>
    </row>
    <row r="1014" spans="2:2" ht="15.5" x14ac:dyDescent="0.35">
      <c r="B1014" s="18"/>
    </row>
    <row r="1015" spans="2:2" ht="15.5" x14ac:dyDescent="0.35">
      <c r="B1015" s="18"/>
    </row>
    <row r="1016" spans="2:2" ht="15.5" x14ac:dyDescent="0.35">
      <c r="B1016" s="18"/>
    </row>
    <row r="1017" spans="2:2" ht="15.5" x14ac:dyDescent="0.35">
      <c r="B1017" s="18"/>
    </row>
    <row r="1018" spans="2:2" ht="15.5" x14ac:dyDescent="0.35">
      <c r="B1018" s="18"/>
    </row>
    <row r="1019" spans="2:2" ht="15.5" x14ac:dyDescent="0.35">
      <c r="B1019" s="18"/>
    </row>
    <row r="1020" spans="2:2" ht="15.5" x14ac:dyDescent="0.35">
      <c r="B1020" s="18"/>
    </row>
    <row r="1021" spans="2:2" ht="15.5" x14ac:dyDescent="0.35">
      <c r="B1021" s="18"/>
    </row>
    <row r="1022" spans="2:2" ht="15.5" x14ac:dyDescent="0.35">
      <c r="B1022" s="18"/>
    </row>
    <row r="1023" spans="2:2" ht="15.5" x14ac:dyDescent="0.35">
      <c r="B1023" s="18"/>
    </row>
    <row r="1024" spans="2:2" ht="15.5" x14ac:dyDescent="0.35">
      <c r="B1024" s="18"/>
    </row>
    <row r="1025" spans="2:7" ht="15.5" x14ac:dyDescent="0.35">
      <c r="B1025" s="18"/>
    </row>
    <row r="1026" spans="2:7" ht="15.5" x14ac:dyDescent="0.35">
      <c r="B1026" s="18"/>
    </row>
    <row r="1027" spans="2:7" ht="15.5" x14ac:dyDescent="0.35">
      <c r="B1027" s="18"/>
    </row>
    <row r="1028" spans="2:7" x14ac:dyDescent="0.3">
      <c r="B1028" s="14"/>
      <c r="C1028" s="14"/>
      <c r="D1028" s="14"/>
      <c r="E1028" s="14"/>
      <c r="F1028" s="14"/>
      <c r="G1028" s="14"/>
    </row>
    <row r="1029" spans="2:7" s="14" customFormat="1" x14ac:dyDescent="0.3">
      <c r="B1029" s="3"/>
      <c r="C1029" s="3"/>
      <c r="D1029" s="3"/>
      <c r="E1029" s="3"/>
      <c r="F1029" s="3"/>
      <c r="G1029" s="3"/>
    </row>
    <row r="1030" spans="2:7" s="14" customFormat="1" x14ac:dyDescent="0.3">
      <c r="B1030" s="3"/>
      <c r="C1030" s="3"/>
      <c r="D1030" s="3"/>
      <c r="E1030" s="3"/>
      <c r="F1030" s="3"/>
      <c r="G1030" s="3"/>
    </row>
    <row r="1031" spans="2:7" s="14" customFormat="1" x14ac:dyDescent="0.3">
      <c r="B1031" s="3"/>
      <c r="C1031" s="3"/>
      <c r="D1031" s="3"/>
      <c r="E1031" s="3"/>
      <c r="F1031" s="3"/>
      <c r="G1031" s="3"/>
    </row>
    <row r="1032" spans="2:7" s="14" customFormat="1" x14ac:dyDescent="0.3">
      <c r="B1032" s="3"/>
      <c r="C1032" s="3"/>
      <c r="D1032" s="3"/>
      <c r="E1032" s="3"/>
      <c r="F1032" s="3"/>
      <c r="G1032" s="3"/>
    </row>
    <row r="1033" spans="2:7" s="14" customFormat="1" x14ac:dyDescent="0.3">
      <c r="B1033" s="3"/>
      <c r="C1033" s="3"/>
      <c r="D1033" s="3"/>
      <c r="E1033" s="3"/>
      <c r="F1033" s="3"/>
      <c r="G1033" s="3"/>
    </row>
    <row r="1034" spans="2:7" s="14" customFormat="1" x14ac:dyDescent="0.3">
      <c r="B1034" s="3"/>
      <c r="C1034" s="3"/>
      <c r="D1034" s="3"/>
      <c r="E1034" s="3"/>
      <c r="F1034" s="3"/>
      <c r="G1034" s="3"/>
    </row>
    <row r="1035" spans="2:7" s="14" customFormat="1" x14ac:dyDescent="0.3">
      <c r="B1035" s="3"/>
      <c r="C1035" s="3"/>
      <c r="D1035" s="3"/>
      <c r="E1035" s="3"/>
      <c r="F1035" s="3"/>
      <c r="G1035" s="3"/>
    </row>
    <row r="1036" spans="2:7" s="14" customFormat="1" x14ac:dyDescent="0.3">
      <c r="B1036" s="3"/>
      <c r="C1036" s="3"/>
      <c r="D1036" s="3"/>
      <c r="E1036" s="3"/>
      <c r="F1036" s="3"/>
      <c r="G1036" s="3"/>
    </row>
    <row r="1037" spans="2:7" s="14" customFormat="1" x14ac:dyDescent="0.3">
      <c r="B1037" s="3"/>
      <c r="C1037" s="3"/>
      <c r="D1037" s="3"/>
      <c r="E1037" s="3"/>
      <c r="F1037" s="3"/>
      <c r="G1037" s="3"/>
    </row>
    <row r="1038" spans="2:7" s="14" customFormat="1" x14ac:dyDescent="0.3">
      <c r="B1038" s="3"/>
      <c r="C1038" s="3"/>
      <c r="D1038" s="3"/>
      <c r="E1038" s="3"/>
      <c r="F1038" s="3"/>
      <c r="G1038" s="3"/>
    </row>
    <row r="1039" spans="2:7" s="14" customFormat="1" x14ac:dyDescent="0.3">
      <c r="B1039" s="3"/>
      <c r="C1039" s="3"/>
      <c r="D1039" s="3"/>
      <c r="E1039" s="3"/>
      <c r="F1039" s="3"/>
      <c r="G1039" s="3"/>
    </row>
  </sheetData>
  <conditionalFormatting sqref="B130:T181">
    <cfRule type="expression" dxfId="4" priority="9">
      <formula>+ISODD($B130)</formula>
    </cfRule>
  </conditionalFormatting>
  <conditionalFormatting sqref="V182:V338">
    <cfRule type="expression" dxfId="3" priority="8">
      <formula>ISODD($B182)</formula>
    </cfRule>
  </conditionalFormatting>
  <conditionalFormatting sqref="V339">
    <cfRule type="expression" dxfId="2" priority="32">
      <formula>ISODD($B130)</formula>
    </cfRule>
  </conditionalFormatting>
  <conditionalFormatting sqref="Z130:AB149 V130:X181">
    <cfRule type="expression" dxfId="1" priority="33">
      <formula>ISODD(#REF!)</formula>
    </cfRule>
  </conditionalFormatting>
  <conditionalFormatting sqref="AU130:AX149">
    <cfRule type="expression" dxfId="0" priority="1">
      <formula>ISODD(#REF!)</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AB6FA710679D84987822BB29E94B9F0" ma:contentTypeVersion="3" ma:contentTypeDescription="Create a new document." ma:contentTypeScope="" ma:versionID="80e1bab99bb6bfacb576de6039eb3d20">
  <xsd:schema xmlns:xsd="http://www.w3.org/2001/XMLSchema" xmlns:xs="http://www.w3.org/2001/XMLSchema" xmlns:p="http://schemas.microsoft.com/office/2006/metadata/properties" xmlns:ns2="e7f44cd1-0dda-4cb6-993c-8da2e47fe662" targetNamespace="http://schemas.microsoft.com/office/2006/metadata/properties" ma:root="true" ma:fieldsID="dd07644e41183a108c5fc549134f2003" ns2:_="">
    <xsd:import namespace="e7f44cd1-0dda-4cb6-993c-8da2e47fe66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f44cd1-0dda-4cb6-993c-8da2e47fe6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9951E77-136E-40D8-BD22-D10FF7B3F181}">
  <ds:schemaRefs>
    <ds:schemaRef ds:uri="http://schemas.microsoft.com/sharepoint/v3/contenttype/forms"/>
  </ds:schemaRefs>
</ds:datastoreItem>
</file>

<file path=customXml/itemProps2.xml><?xml version="1.0" encoding="utf-8"?>
<ds:datastoreItem xmlns:ds="http://schemas.openxmlformats.org/officeDocument/2006/customXml" ds:itemID="{C9ADA521-C707-42A5-BDF9-32D7D8F5158A}"/>
</file>

<file path=customXml/itemProps3.xml><?xml version="1.0" encoding="utf-8"?>
<ds:datastoreItem xmlns:ds="http://schemas.openxmlformats.org/officeDocument/2006/customXml" ds:itemID="{A4229098-6FE4-45FB-9D50-3FC55E33B826}">
  <ds:schemaRefs>
    <ds:schemaRef ds:uri="http://purl.org/dc/elements/1.1/"/>
    <ds:schemaRef ds:uri="http://schemas.microsoft.com/office/infopath/2007/PartnerControls"/>
    <ds:schemaRef ds:uri="http://schemas.microsoft.com/office/2006/documentManagement/types"/>
    <ds:schemaRef ds:uri="e7f44cd1-0dda-4cb6-993c-8da2e47fe662"/>
    <ds:schemaRef ds:uri="http://www.w3.org/XML/1998/namespace"/>
    <ds:schemaRef ds:uri="http://schemas.microsoft.com/office/2006/metadata/properties"/>
    <ds:schemaRef ds:uri="http://purl.org/dc/term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Cover</vt:lpstr>
      <vt:lpstr>Summary</vt:lpstr>
      <vt:lpstr>Sheet1</vt:lpstr>
      <vt:lpstr>Inputs --&gt;</vt:lpstr>
      <vt:lpstr>Assumptions</vt:lpstr>
      <vt:lpstr>ZCB rates</vt:lpstr>
      <vt:lpstr>Computations --&gt;</vt:lpstr>
      <vt:lpstr>31Mar24</vt:lpstr>
      <vt:lpstr>30Jun24</vt:lpstr>
      <vt:lpstr>30Sep24</vt:lpstr>
      <vt:lpstr>31Dec24</vt:lpstr>
      <vt:lpstr>dates</vt:lpstr>
      <vt:lpstr>days_in_year</vt:lpstr>
      <vt:lpstr>Lambda</vt:lpstr>
      <vt:lpstr>month_in_a_year</vt:lpstr>
      <vt:lpstr>months_in_a_year</vt:lpstr>
      <vt:lpstr>RET_header</vt:lpstr>
      <vt:lpstr>ZCP_header</vt:lpstr>
      <vt:lpstr>ZCR_header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Resti</dc:creator>
  <cp:keywords/>
  <dc:description/>
  <cp:lastModifiedBy>LORENZO PASSIONI</cp:lastModifiedBy>
  <cp:revision/>
  <dcterms:created xsi:type="dcterms:W3CDTF">2026-01-16T14:39:10Z</dcterms:created>
  <dcterms:modified xsi:type="dcterms:W3CDTF">2026-04-12T15:36:33Z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0x0101008AB6FA710679D84987822BB29E94B9F0</vt:lpwstr>
  </property>
</Properties>
</file>